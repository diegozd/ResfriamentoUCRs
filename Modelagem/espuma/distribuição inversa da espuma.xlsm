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/>
  <bookViews>
    <workbookView xWindow="0" yWindow="0" windowWidth="21600" windowHeight="9600" activeTab="2"/>
  </bookViews>
  <sheets>
    <sheet name="exp" sheetId="1" r:id="rId1"/>
    <sheet name="inversa" sheetId="3" r:id="rId2"/>
    <sheet name="inversa (2)" sheetId="4" r:id="rId3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4" l="1"/>
  <c r="J2" i="4"/>
  <c r="F2" i="3"/>
  <c r="H2" i="1"/>
  <c r="H2" i="3"/>
  <c r="D2" i="3"/>
  <c r="F2" i="1"/>
  <c r="D2" i="1"/>
  <c r="H2" i="4"/>
  <c r="F2" i="4"/>
  <c r="D2" i="4"/>
  <c r="J2" i="3"/>
  <c r="J2" i="1"/>
  <c r="I12" i="1" l="1"/>
  <c r="I33" i="1"/>
  <c r="I32" i="1"/>
  <c r="I6" i="1"/>
  <c r="I14" i="1"/>
  <c r="I21" i="1"/>
  <c r="I8" i="1"/>
  <c r="I15" i="1"/>
  <c r="I13" i="1"/>
  <c r="I26" i="1"/>
  <c r="I11" i="1"/>
  <c r="I20" i="1"/>
  <c r="I25" i="1"/>
  <c r="I24" i="1"/>
  <c r="I29" i="1"/>
  <c r="I22" i="1"/>
  <c r="I28" i="1"/>
  <c r="I23" i="1"/>
  <c r="I30" i="1"/>
  <c r="I4" i="1"/>
  <c r="J4" i="1" s="1"/>
  <c r="I31" i="1"/>
  <c r="I7" i="1"/>
  <c r="I18" i="1"/>
  <c r="I27" i="1"/>
  <c r="I17" i="1"/>
  <c r="I10" i="1"/>
  <c r="I9" i="1"/>
  <c r="I19" i="1"/>
  <c r="I16" i="1"/>
  <c r="I5" i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I27" i="3"/>
  <c r="I30" i="3"/>
  <c r="I26" i="3"/>
  <c r="I5" i="3"/>
  <c r="I20" i="3"/>
  <c r="I21" i="3"/>
  <c r="I12" i="3"/>
  <c r="I28" i="3"/>
  <c r="I31" i="3"/>
  <c r="I4" i="3"/>
  <c r="J4" i="3" s="1"/>
  <c r="I9" i="3"/>
  <c r="I10" i="3"/>
  <c r="I7" i="3"/>
  <c r="I18" i="3"/>
  <c r="I25" i="3"/>
  <c r="I29" i="3"/>
  <c r="I16" i="3"/>
  <c r="I33" i="3"/>
  <c r="I13" i="3"/>
  <c r="I22" i="3"/>
  <c r="I11" i="3"/>
  <c r="I15" i="3"/>
  <c r="I32" i="3"/>
  <c r="I8" i="3"/>
  <c r="I19" i="3"/>
  <c r="I6" i="3"/>
  <c r="I23" i="3"/>
  <c r="I14" i="3"/>
  <c r="I24" i="3"/>
  <c r="I17" i="3"/>
  <c r="C5" i="4"/>
  <c r="C6" i="4"/>
  <c r="C4" i="4"/>
  <c r="D4" i="4" s="1"/>
  <c r="E7" i="4"/>
  <c r="E8" i="4"/>
  <c r="E5" i="4"/>
  <c r="E9" i="4"/>
  <c r="E6" i="4"/>
  <c r="E4" i="4"/>
  <c r="F4" i="4" s="1"/>
  <c r="E11" i="4"/>
  <c r="E12" i="4"/>
  <c r="E13" i="4"/>
  <c r="E10" i="4"/>
  <c r="G21" i="4"/>
  <c r="G14" i="4"/>
  <c r="G15" i="4"/>
  <c r="G12" i="4"/>
  <c r="G4" i="4"/>
  <c r="H4" i="4" s="1"/>
  <c r="G23" i="4"/>
  <c r="G13" i="4"/>
  <c r="G17" i="4"/>
  <c r="G22" i="4"/>
  <c r="G11" i="4"/>
  <c r="G16" i="4"/>
  <c r="G10" i="4"/>
  <c r="G18" i="4"/>
  <c r="G19" i="4"/>
  <c r="G20" i="4"/>
  <c r="G5" i="4"/>
  <c r="H5" i="4" s="1"/>
  <c r="G6" i="4"/>
  <c r="G7" i="4"/>
  <c r="G8" i="4"/>
  <c r="G9" i="4"/>
  <c r="C4" i="1"/>
  <c r="D4" i="1" s="1"/>
  <c r="C6" i="1"/>
  <c r="C5" i="1"/>
  <c r="D5" i="1" s="1"/>
  <c r="D6" i="1" s="1"/>
  <c r="E5" i="1"/>
  <c r="E4" i="1"/>
  <c r="F4" i="1" s="1"/>
  <c r="E6" i="1"/>
  <c r="E11" i="1"/>
  <c r="E7" i="1"/>
  <c r="E12" i="1"/>
  <c r="E10" i="1"/>
  <c r="E9" i="1"/>
  <c r="E13" i="1"/>
  <c r="E8" i="1"/>
  <c r="C6" i="3"/>
  <c r="C5" i="3"/>
  <c r="C4" i="3"/>
  <c r="D4" i="3" s="1"/>
  <c r="G12" i="3"/>
  <c r="G20" i="3"/>
  <c r="G22" i="3"/>
  <c r="G14" i="3"/>
  <c r="G9" i="3"/>
  <c r="G7" i="3"/>
  <c r="G18" i="3"/>
  <c r="G8" i="3"/>
  <c r="G15" i="3"/>
  <c r="G5" i="3"/>
  <c r="G19" i="3"/>
  <c r="G6" i="3"/>
  <c r="G16" i="3"/>
  <c r="G13" i="3"/>
  <c r="G17" i="3"/>
  <c r="G23" i="3"/>
  <c r="G10" i="3"/>
  <c r="G11" i="3"/>
  <c r="G4" i="3"/>
  <c r="H4" i="3" s="1"/>
  <c r="G21" i="3"/>
  <c r="G21" i="1"/>
  <c r="G9" i="1"/>
  <c r="G13" i="1"/>
  <c r="G8" i="1"/>
  <c r="G15" i="1"/>
  <c r="G11" i="1"/>
  <c r="G4" i="1"/>
  <c r="H4" i="1" s="1"/>
  <c r="G22" i="1"/>
  <c r="G20" i="1"/>
  <c r="G5" i="1"/>
  <c r="H5" i="1" s="1"/>
  <c r="G12" i="1"/>
  <c r="G7" i="1"/>
  <c r="G23" i="1"/>
  <c r="G17" i="1"/>
  <c r="G18" i="1"/>
  <c r="G6" i="1"/>
  <c r="G19" i="1"/>
  <c r="G16" i="1"/>
  <c r="G10" i="1"/>
  <c r="G14" i="1"/>
  <c r="E12" i="3"/>
  <c r="E7" i="3"/>
  <c r="E4" i="3"/>
  <c r="F4" i="3" s="1"/>
  <c r="E13" i="3"/>
  <c r="E5" i="3"/>
  <c r="F5" i="3" s="1"/>
  <c r="E9" i="3"/>
  <c r="E6" i="3"/>
  <c r="E11" i="3"/>
  <c r="E10" i="3"/>
  <c r="E8" i="3"/>
  <c r="I21" i="4"/>
  <c r="I14" i="4"/>
  <c r="I30" i="4"/>
  <c r="I8" i="4"/>
  <c r="I32" i="4"/>
  <c r="I5" i="4"/>
  <c r="I25" i="4"/>
  <c r="I29" i="4"/>
  <c r="I10" i="4"/>
  <c r="I22" i="4"/>
  <c r="I26" i="4"/>
  <c r="I7" i="4"/>
  <c r="I19" i="4"/>
  <c r="I31" i="4"/>
  <c r="I12" i="4"/>
  <c r="I24" i="4"/>
  <c r="I9" i="4"/>
  <c r="I33" i="4"/>
  <c r="I4" i="4"/>
  <c r="J4" i="4" s="1"/>
  <c r="I23" i="4"/>
  <c r="I16" i="4"/>
  <c r="I17" i="4"/>
  <c r="I18" i="4"/>
  <c r="I15" i="4"/>
  <c r="I20" i="4"/>
  <c r="I28" i="4"/>
  <c r="I13" i="4"/>
  <c r="I6" i="4"/>
  <c r="I11" i="4"/>
  <c r="I27" i="4"/>
  <c r="J19" i="1" l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F6" i="3"/>
  <c r="F7" i="3" s="1"/>
  <c r="F8" i="3" s="1"/>
  <c r="F9" i="3" s="1"/>
  <c r="F10" i="3" s="1"/>
  <c r="F11" i="3" s="1"/>
  <c r="F12" i="3" s="1"/>
  <c r="F13" i="3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5" i="3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6" i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D5" i="4"/>
  <c r="D6" i="4" s="1"/>
  <c r="D5" i="3"/>
  <c r="D6" i="3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F5" i="4"/>
  <c r="F6" i="4" s="1"/>
  <c r="F7" i="4" s="1"/>
  <c r="F8" i="4" s="1"/>
  <c r="F9" i="4" s="1"/>
  <c r="F10" i="4" s="1"/>
  <c r="F11" i="4" s="1"/>
  <c r="F12" i="4" s="1"/>
  <c r="F13" i="4" s="1"/>
  <c r="J5" i="3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F5" i="1"/>
  <c r="F6" i="1" s="1"/>
  <c r="F7" i="1" s="1"/>
  <c r="F8" i="1" s="1"/>
  <c r="F9" i="1" s="1"/>
  <c r="F10" i="1" s="1"/>
  <c r="F11" i="1" s="1"/>
  <c r="F12" i="1" s="1"/>
  <c r="F13" i="1" s="1"/>
</calcChain>
</file>

<file path=xl/sharedStrings.xml><?xml version="1.0" encoding="utf-8"?>
<sst xmlns="http://schemas.openxmlformats.org/spreadsheetml/2006/main" count="55" uniqueCount="9">
  <si>
    <t>x</t>
  </si>
  <si>
    <t>f(x)</t>
  </si>
  <si>
    <t>∑f(x)</t>
  </si>
  <si>
    <t>N</t>
  </si>
  <si>
    <t>A</t>
  </si>
  <si>
    <t>B</t>
  </si>
  <si>
    <t>Le</t>
  </si>
  <si>
    <t>dL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</si>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</sst>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exp!$C$2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exp!$B$4:$B$6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exp!$C$4:$C$6</c:f>
              <c:numCache>
                <c:formatCode>#,#00%</c:formatCode>
                <c:ptCount val="3"/>
                <c:pt idx="0">
                  <c:v>0.57896947193953241</c:v>
                </c:pt>
                <c:pt idx="1">
                  <c:v>0.25657052008215286</c:v>
                </c:pt>
                <c:pt idx="2">
                  <c:v>0.16446000797831473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ABC-4EA6-84C0-1838F47680F3}"/>
            </c:ext>
          </c:extLst>
        </c:ser>
        <c:ser>
          <c:idx val="1"/>
          <c:order val="1"/>
          <c:tx>
            <c:strRef>
              <c:f>exp!$E$2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exp!$B$4:$B$13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exp!$E$4:$E$13</c:f>
              <c:numCache>
                <c:formatCode>#,#00%</c:formatCode>
                <c:ptCount val="10"/>
                <c:pt idx="0">
                  <c:v>0.36781167261795877</c:v>
                </c:pt>
                <c:pt idx="1">
                  <c:v>0.16953481034895179</c:v>
                </c:pt>
                <c:pt idx="2">
                  <c:v>0.11004887716433953</c:v>
                </c:pt>
                <c:pt idx="3">
                  <c:v>8.1450327268410394E-2</c:v>
                </c:pt>
                <c:pt idx="4">
                  <c:v>6.4646084279266658E-2</c:v>
                </c:pt>
                <c:pt idx="5">
                  <c:v>5.3588571105599669E-2</c:v>
                </c:pt>
                <c:pt idx="6">
                  <c:v>4.5760730066646049E-2</c:v>
                </c:pt>
                <c:pt idx="7">
                  <c:v>3.9928039466390342E-2</c:v>
                </c:pt>
                <c:pt idx="8">
                  <c:v>3.5414002630022701E-2</c:v>
                </c:pt>
                <c:pt idx="9">
                  <c:v>3.181688505241409E-2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BC-4EA6-84C0-1838F47680F3}"/>
            </c:ext>
          </c:extLst>
        </c:ser>
        <c:ser>
          <c:idx val="2"/>
          <c:order val="2"/>
          <c:tx>
            <c:strRef>
              <c:f>exp!$G$2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exp!$B$4:$B$23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exp!$G$4:$G$23</c:f>
              <c:numCache>
                <c:formatCode>#,#00%</c:formatCode>
                <c:ptCount val="20"/>
                <c:pt idx="0">
                  <c:v>0.29913789879059638</c:v>
                </c:pt>
                <c:pt idx="1">
                  <c:v>0.13979730601129092</c:v>
                </c:pt>
                <c:pt idx="2">
                  <c:v>9.1151575577371968E-2</c:v>
                </c:pt>
                <c:pt idx="3">
                  <c:v>6.7612900826554689E-2</c:v>
                </c:pt>
                <c:pt idx="4">
                  <c:v>5.373413866067267E-2</c:v>
                </c:pt>
                <c:pt idx="5">
                  <c:v>4.4582009981682491E-2</c:v>
                </c:pt>
                <c:pt idx="6">
                  <c:v>3.809348300471771E-2</c:v>
                </c:pt>
                <c:pt idx="7">
                  <c:v>3.3253551083447741E-2</c:v>
                </c:pt>
                <c:pt idx="8">
                  <c:v>2.9504765719271075E-2</c:v>
                </c:pt>
                <c:pt idx="9">
                  <c:v>2.6515532595913882E-2</c:v>
                </c:pt>
                <c:pt idx="10">
                  <c:v>2.4076253315562512E-2</c:v>
                </c:pt>
                <c:pt idx="11">
                  <c:v>2.2047948964079911E-2</c:v>
                </c:pt>
                <c:pt idx="12">
                  <c:v>2.0334829525288978E-2</c:v>
                </c:pt>
                <c:pt idx="13">
                  <c:v>1.8868727071705615E-2</c:v>
                </c:pt>
                <c:pt idx="14">
                  <c:v>1.7599809074569928E-2</c:v>
                </c:pt>
                <c:pt idx="15">
                  <c:v>1.6490802262099979E-2</c:v>
                </c:pt>
                <c:pt idx="16">
                  <c:v>1.5513270584289307E-2</c:v>
                </c:pt>
                <c:pt idx="17">
                  <c:v>1.4645142756456897E-2</c:v>
                </c:pt>
                <c:pt idx="18">
                  <c:v>1.3869025889770459E-2</c:v>
                </c:pt>
                <c:pt idx="19">
                  <c:v>1.3171028304655996E-2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ABC-4EA6-84C0-1838F47680F3}"/>
            </c:ext>
          </c:extLst>
        </c:ser>
        <c:ser>
          <c:idx val="3"/>
          <c:order val="3"/>
          <c:tx>
            <c:strRef>
              <c:f>exp!$I$2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exp!$B$4:$B$33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exp!$I$4:$I$33</c:f>
              <c:numCache>
                <c:formatCode>#,#00%</c:formatCode>
                <c:ptCount val="30"/>
                <c:pt idx="0">
                  <c:v>0.26890532013075363</c:v>
                </c:pt>
                <c:pt idx="1">
                  <c:v>0.12645697659997368</c:v>
                </c:pt>
                <c:pt idx="2">
                  <c:v>8.2620897983342489E-2</c:v>
                </c:pt>
                <c:pt idx="3">
                  <c:v>6.1346774904401213E-2</c:v>
                </c:pt>
                <c:pt idx="4">
                  <c:v>4.8783493860838911E-2</c:v>
                </c:pt>
                <c:pt idx="5">
                  <c:v>4.0490700575138483E-2</c:v>
                </c:pt>
                <c:pt idx="6">
                  <c:v>3.4607452991390675E-2</c:v>
                </c:pt>
                <c:pt idx="7">
                  <c:v>3.0216858192682272E-2</c:v>
                </c:pt>
                <c:pt idx="8">
                  <c:v>2.6814836909596629E-2</c:v>
                </c:pt>
                <c:pt idx="9">
                  <c:v>2.4101310350123084E-2</c:v>
                </c:pt>
                <c:pt idx="10">
                  <c:v>2.1886486867095378E-2</c:v>
                </c:pt>
                <c:pt idx="11">
                  <c:v>2.0044460097273564E-2</c:v>
                </c:pt>
                <c:pt idx="12">
                  <c:v>1.8488415742567543E-2</c:v>
                </c:pt>
                <c:pt idx="13">
                  <c:v>1.7156552842968686E-2</c:v>
                </c:pt>
                <c:pt idx="14">
                  <c:v>1.6003680553257293E-2</c:v>
                </c:pt>
                <c:pt idx="15">
                  <c:v>1.4995989249554809E-2</c:v>
                </c:pt>
                <c:pt idx="16">
                  <c:v>1.410767988675965E-2</c:v>
                </c:pt>
                <c:pt idx="17">
                  <c:v>1.3318724247014302E-2</c:v>
                </c:pt>
                <c:pt idx="18">
                  <c:v>1.2613336861386104E-2</c:v>
                </c:pt>
                <c:pt idx="19">
                  <c:v>1.1978908055954918E-2</c:v>
                </c:pt>
                <c:pt idx="20">
                  <c:v>1.1405243553516131E-2</c:v>
                </c:pt>
                <c:pt idx="21">
                  <c:v>1.0884012568749268E-2</c:v>
                </c:pt>
                <c:pt idx="22">
                  <c:v>1.040834061745799E-2</c:v>
                </c:pt>
                <c:pt idx="23">
                  <c:v>9.9725046243950288E-3</c:v>
                </c:pt>
                <c:pt idx="24">
                  <c:v>9.5717015510048409E-3</c:v>
                </c:pt>
                <c:pt idx="25">
                  <c:v>9.2018706594669819E-3</c:v>
                </c:pt>
                <c:pt idx="26">
                  <c:v>8.8595554465649151E-3</c:v>
                </c:pt>
                <c:pt idx="27">
                  <c:v>8.541795288112386E-3</c:v>
                </c:pt>
                <c:pt idx="28">
                  <c:v>8.2460395932215658E-3</c:v>
                </c:pt>
                <c:pt idx="29">
                  <c:v>7.9700791954377959E-3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ABC-4EA6-84C0-1838F4768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495936"/>
        <c:axId val="339505920"/>
      </c:scatterChart>
      <c:valAx>
        <c:axId val="339495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505920"/>
        <c:crosses val="autoZero"/>
        <c:crossBetween val="midCat"/>
      </c:valAx>
      <c:valAx>
        <c:axId val="339505920"/>
        <c:scaling>
          <c:orientation val="minMax"/>
          <c:max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495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inversa!$C$2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inversa!$B$4:$B$6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inversa!$C$4:$C$6</c:f>
              <c:numCache>
                <c:formatCode>#,#00%</c:formatCode>
                <c:ptCount val="3"/>
                <c:pt idx="0">
                  <c:v>0.54545454545454553</c:v>
                </c:pt>
                <c:pt idx="1">
                  <c:v>0.27272727272727276</c:v>
                </c:pt>
                <c:pt idx="2">
                  <c:v>0.18181818181818185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F2-46A7-AB99-3D8C7DBCB012}"/>
            </c:ext>
          </c:extLst>
        </c:ser>
        <c:ser>
          <c:idx val="1"/>
          <c:order val="1"/>
          <c:tx>
            <c:strRef>
              <c:f>inversa!$E$2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inversa!$B$4:$B$13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inversa!$E$4:$E$13</c:f>
              <c:numCache>
                <c:formatCode>#,#00%</c:formatCode>
                <c:ptCount val="10"/>
                <c:pt idx="0">
                  <c:v>0.34141715214740553</c:v>
                </c:pt>
                <c:pt idx="1">
                  <c:v>0.17070857607370277</c:v>
                </c:pt>
                <c:pt idx="2">
                  <c:v>0.11380571738246852</c:v>
                </c:pt>
                <c:pt idx="3">
                  <c:v>8.5354288036851383E-2</c:v>
                </c:pt>
                <c:pt idx="4">
                  <c:v>6.828343042948111E-2</c:v>
                </c:pt>
                <c:pt idx="5">
                  <c:v>5.6902858691234258E-2</c:v>
                </c:pt>
                <c:pt idx="6">
                  <c:v>4.877387887820079E-2</c:v>
                </c:pt>
                <c:pt idx="7">
                  <c:v>4.2677144018425692E-2</c:v>
                </c:pt>
                <c:pt idx="8">
                  <c:v>3.7935239127489501E-2</c:v>
                </c:pt>
                <c:pt idx="9">
                  <c:v>3.4141715214740555E-2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2F2-46A7-AB99-3D8C7DBCB012}"/>
            </c:ext>
          </c:extLst>
        </c:ser>
        <c:ser>
          <c:idx val="2"/>
          <c:order val="2"/>
          <c:tx>
            <c:strRef>
              <c:f>inversa!$G$2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inversa!$B$4:$B$23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inversa!$G$4:$G$23</c:f>
              <c:numCache>
                <c:formatCode>#,#00%</c:formatCode>
                <c:ptCount val="20"/>
                <c:pt idx="0">
                  <c:v>0.27795229652440168</c:v>
                </c:pt>
                <c:pt idx="1">
                  <c:v>0.13897614826220084</c:v>
                </c:pt>
                <c:pt idx="2">
                  <c:v>9.2650765508133892E-2</c:v>
                </c:pt>
                <c:pt idx="3">
                  <c:v>6.9488074131100419E-2</c:v>
                </c:pt>
                <c:pt idx="4">
                  <c:v>5.5590459304880338E-2</c:v>
                </c:pt>
                <c:pt idx="5">
                  <c:v>4.6325382754066946E-2</c:v>
                </c:pt>
                <c:pt idx="6">
                  <c:v>3.9707470932057384E-2</c:v>
                </c:pt>
                <c:pt idx="7">
                  <c:v>3.474403706555021E-2</c:v>
                </c:pt>
                <c:pt idx="8">
                  <c:v>3.0883588502711296E-2</c:v>
                </c:pt>
                <c:pt idx="9">
                  <c:v>2.7795229652440169E-2</c:v>
                </c:pt>
                <c:pt idx="10">
                  <c:v>2.5268390593127424E-2</c:v>
                </c:pt>
                <c:pt idx="11">
                  <c:v>2.3162691377033473E-2</c:v>
                </c:pt>
                <c:pt idx="12">
                  <c:v>2.1380945886492437E-2</c:v>
                </c:pt>
                <c:pt idx="13">
                  <c:v>1.9853735466028692E-2</c:v>
                </c:pt>
                <c:pt idx="14">
                  <c:v>1.8530153101626777E-2</c:v>
                </c:pt>
                <c:pt idx="15">
                  <c:v>1.7372018532775105E-2</c:v>
                </c:pt>
                <c:pt idx="16">
                  <c:v>1.6350135089670686E-2</c:v>
                </c:pt>
                <c:pt idx="17">
                  <c:v>1.5441794251355648E-2</c:v>
                </c:pt>
                <c:pt idx="18">
                  <c:v>1.4629068238126404E-2</c:v>
                </c:pt>
                <c:pt idx="19">
                  <c:v>1.3897614826220085E-2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F2-46A7-AB99-3D8C7DBCB012}"/>
            </c:ext>
          </c:extLst>
        </c:ser>
        <c:ser>
          <c:idx val="3"/>
          <c:order val="3"/>
          <c:tx>
            <c:strRef>
              <c:f>inversa!$I$2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inversa!$B$4:$B$33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inversa!$I$4:$I$33</c:f>
              <c:numCache>
                <c:formatCode>#,#00%</c:formatCode>
                <c:ptCount val="30"/>
                <c:pt idx="0">
                  <c:v>0.2503136974485356</c:v>
                </c:pt>
                <c:pt idx="1">
                  <c:v>0.1251568487242678</c:v>
                </c:pt>
                <c:pt idx="2">
                  <c:v>8.3437899149511871E-2</c:v>
                </c:pt>
                <c:pt idx="3">
                  <c:v>6.25784243621339E-2</c:v>
                </c:pt>
                <c:pt idx="4">
                  <c:v>5.0062739489707117E-2</c:v>
                </c:pt>
                <c:pt idx="5">
                  <c:v>4.1718949574755936E-2</c:v>
                </c:pt>
                <c:pt idx="6">
                  <c:v>3.5759099635505089E-2</c:v>
                </c:pt>
                <c:pt idx="7">
                  <c:v>3.128921218106695E-2</c:v>
                </c:pt>
                <c:pt idx="8">
                  <c:v>2.781263304983729E-2</c:v>
                </c:pt>
                <c:pt idx="9">
                  <c:v>2.5031369744853559E-2</c:v>
                </c:pt>
                <c:pt idx="10">
                  <c:v>2.2755790677139599E-2</c:v>
                </c:pt>
                <c:pt idx="11">
                  <c:v>2.0859474787377968E-2</c:v>
                </c:pt>
                <c:pt idx="12">
                  <c:v>1.9254899803733509E-2</c:v>
                </c:pt>
                <c:pt idx="13">
                  <c:v>1.7879549817752544E-2</c:v>
                </c:pt>
                <c:pt idx="14">
                  <c:v>1.6687579829902374E-2</c:v>
                </c:pt>
                <c:pt idx="15">
                  <c:v>1.5644606090533475E-2</c:v>
                </c:pt>
                <c:pt idx="16">
                  <c:v>1.4724335144031505E-2</c:v>
                </c:pt>
                <c:pt idx="17">
                  <c:v>1.3906316524918645E-2</c:v>
                </c:pt>
                <c:pt idx="18">
                  <c:v>1.3174405128870295E-2</c:v>
                </c:pt>
                <c:pt idx="19">
                  <c:v>1.2515684872426779E-2</c:v>
                </c:pt>
                <c:pt idx="20">
                  <c:v>1.1919699878501696E-2</c:v>
                </c:pt>
                <c:pt idx="21">
                  <c:v>1.13778953385698E-2</c:v>
                </c:pt>
                <c:pt idx="22">
                  <c:v>1.0883204236892851E-2</c:v>
                </c:pt>
                <c:pt idx="23">
                  <c:v>1.0429737393688984E-2</c:v>
                </c:pt>
                <c:pt idx="24">
                  <c:v>1.0012547897941424E-2</c:v>
                </c:pt>
                <c:pt idx="25">
                  <c:v>9.6274499018667546E-3</c:v>
                </c:pt>
                <c:pt idx="26">
                  <c:v>9.2708776832790968E-3</c:v>
                </c:pt>
                <c:pt idx="27">
                  <c:v>8.9397749088762721E-3</c:v>
                </c:pt>
                <c:pt idx="28">
                  <c:v>8.6315068085701923E-3</c:v>
                </c:pt>
                <c:pt idx="29">
                  <c:v>8.3437899149511868E-3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2F2-46A7-AB99-3D8C7DBCB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491712"/>
        <c:axId val="343493248"/>
      </c:scatterChart>
      <c:valAx>
        <c:axId val="34349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493248"/>
        <c:crosses val="autoZero"/>
        <c:crossBetween val="midCat"/>
      </c:valAx>
      <c:valAx>
        <c:axId val="3434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49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'inversa (2)'!$C$2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'inversa (2)'!$B$4:$B$6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'inversa (2)'!$C$4:$C$6</c:f>
              <c:numCache>
                <c:formatCode>#,#00%</c:formatCode>
                <c:ptCount val="3"/>
                <c:pt idx="0">
                  <c:v>0.43774077513750309</c:v>
                </c:pt>
                <c:pt idx="1">
                  <c:v>0.30952947050158408</c:v>
                </c:pt>
                <c:pt idx="2">
                  <c:v>0.25272975436091288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AD-435B-9477-2AC63D77B6A8}"/>
            </c:ext>
          </c:extLst>
        </c:ser>
        <c:ser>
          <c:idx val="1"/>
          <c:order val="1"/>
          <c:tx>
            <c:strRef>
              <c:f>'inversa (2)'!$E$2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'inversa (2)'!$B$4:$B$13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'inversa (2)'!$E$4:$E$13</c:f>
              <c:numCache>
                <c:formatCode>#,#00%</c:formatCode>
                <c:ptCount val="10"/>
                <c:pt idx="0">
                  <c:v>0.19916359657128618</c:v>
                </c:pt>
                <c:pt idx="1">
                  <c:v>0.14082992970105829</c:v>
                </c:pt>
                <c:pt idx="2">
                  <c:v>0.11498715609320612</c:v>
                </c:pt>
                <c:pt idx="3">
                  <c:v>9.9581798285643092E-2</c:v>
                </c:pt>
                <c:pt idx="4">
                  <c:v>8.9068668115347985E-2</c:v>
                </c:pt>
                <c:pt idx="5">
                  <c:v>8.1308197822862083E-2</c:v>
                </c:pt>
                <c:pt idx="6">
                  <c:v>7.5276763820688514E-2</c:v>
                </c:pt>
                <c:pt idx="7">
                  <c:v>7.0414964850529144E-2</c:v>
                </c:pt>
                <c:pt idx="8">
                  <c:v>6.6387865523762066E-2</c:v>
                </c:pt>
                <c:pt idx="9">
                  <c:v>6.2981059215616586E-2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2AD-435B-9477-2AC63D77B6A8}"/>
            </c:ext>
          </c:extLst>
        </c:ser>
        <c:ser>
          <c:idx val="2"/>
          <c:order val="2"/>
          <c:tx>
            <c:strRef>
              <c:f>'inversa (2)'!$G$2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'inversa (2)'!$B$4:$B$23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'inversa (2)'!$G$4:$G$23</c:f>
              <c:numCache>
                <c:formatCode>#,#00%</c:formatCode>
                <c:ptCount val="20"/>
                <c:pt idx="0">
                  <c:v>0.13166114852895808</c:v>
                </c:pt>
                <c:pt idx="1">
                  <c:v>9.3098490943635481E-2</c:v>
                </c:pt>
                <c:pt idx="2">
                  <c:v>7.6014599545009248E-2</c:v>
                </c:pt>
                <c:pt idx="3">
                  <c:v>6.5830574264479039E-2</c:v>
                </c:pt>
                <c:pt idx="4">
                  <c:v>5.8880655621289336E-2</c:v>
                </c:pt>
                <c:pt idx="5">
                  <c:v>5.3750438807455891E-2</c:v>
                </c:pt>
                <c:pt idx="6">
                  <c:v>4.9763236619537229E-2</c:v>
                </c:pt>
                <c:pt idx="7">
                  <c:v>4.6549245471817741E-2</c:v>
                </c:pt>
                <c:pt idx="8">
                  <c:v>4.3887049509652692E-2</c:v>
                </c:pt>
                <c:pt idx="9">
                  <c:v>4.1634910870523498E-2</c:v>
                </c:pt>
                <c:pt idx="10">
                  <c:v>3.9697329921618799E-2</c:v>
                </c:pt>
                <c:pt idx="11">
                  <c:v>3.8007299772504624E-2</c:v>
                </c:pt>
                <c:pt idx="12">
                  <c:v>3.6516232462126041E-2</c:v>
                </c:pt>
                <c:pt idx="13">
                  <c:v>3.5187922067465502E-2</c:v>
                </c:pt>
                <c:pt idx="14">
                  <c:v>3.3994762373013049E-2</c:v>
                </c:pt>
                <c:pt idx="15">
                  <c:v>3.2915287132239519E-2</c:v>
                </c:pt>
                <c:pt idx="16">
                  <c:v>3.1932518951472318E-2</c:v>
                </c:pt>
                <c:pt idx="17">
                  <c:v>3.1032830314545169E-2</c:v>
                </c:pt>
                <c:pt idx="18">
                  <c:v>3.0205139012011949E-2</c:v>
                </c:pt>
                <c:pt idx="19">
                  <c:v>2.9440327810644668E-2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AD-435B-9477-2AC63D77B6A8}"/>
            </c:ext>
          </c:extLst>
        </c:ser>
        <c:ser>
          <c:idx val="3"/>
          <c:order val="3"/>
          <c:tx>
            <c:strRef>
              <c:f>'inversa (2)'!$I$2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'inversa (2)'!$B$4:$B$33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'inversa (2)'!$I$4:$I$33</c:f>
              <c:numCache>
                <c:formatCode>#,#00%</c:formatCode>
                <c:ptCount val="30"/>
                <c:pt idx="0">
                  <c:v>0.10432826488324103</c:v>
                </c:pt>
                <c:pt idx="1">
                  <c:v>7.3771223568366073E-2</c:v>
                </c:pt>
                <c:pt idx="2">
                  <c:v>6.0233951814425792E-2</c:v>
                </c:pt>
                <c:pt idx="3">
                  <c:v>5.2164132441620513E-2</c:v>
                </c:pt>
                <c:pt idx="4">
                  <c:v>4.6657018450706217E-2</c:v>
                </c:pt>
                <c:pt idx="5">
                  <c:v>4.2591835785644225E-2</c:v>
                </c:pt>
                <c:pt idx="6">
                  <c:v>3.9432377656561261E-2</c:v>
                </c:pt>
                <c:pt idx="7">
                  <c:v>3.6885611784183037E-2</c:v>
                </c:pt>
                <c:pt idx="8">
                  <c:v>3.4776088294413678E-2</c:v>
                </c:pt>
                <c:pt idx="9">
                  <c:v>3.299149413644023E-2</c:v>
                </c:pt>
                <c:pt idx="10">
                  <c:v>3.1456155422411085E-2</c:v>
                </c:pt>
                <c:pt idx="11">
                  <c:v>3.0116975907212896E-2</c:v>
                </c:pt>
                <c:pt idx="12">
                  <c:v>2.8935454501285741E-2</c:v>
                </c:pt>
                <c:pt idx="13">
                  <c:v>2.788290163926337E-2</c:v>
                </c:pt>
                <c:pt idx="14">
                  <c:v>2.6937442162100571E-2</c:v>
                </c:pt>
                <c:pt idx="15">
                  <c:v>2.6082066220810256E-2</c:v>
                </c:pt>
                <c:pt idx="16">
                  <c:v>2.530332093241297E-2</c:v>
                </c:pt>
                <c:pt idx="17">
                  <c:v>2.4590407856122029E-2</c:v>
                </c:pt>
                <c:pt idx="18">
                  <c:v>2.3934545451631095E-2</c:v>
                </c:pt>
                <c:pt idx="19">
                  <c:v>2.3328509225353108E-2</c:v>
                </c:pt>
                <c:pt idx="20">
                  <c:v>2.2766293854802628E-2</c:v>
                </c:pt>
                <c:pt idx="21">
                  <c:v>2.2242860809244862E-2</c:v>
                </c:pt>
                <c:pt idx="22">
                  <c:v>2.1753947021720295E-2</c:v>
                </c:pt>
                <c:pt idx="23">
                  <c:v>2.1295917892822112E-2</c:v>
                </c:pt>
                <c:pt idx="24">
                  <c:v>2.0865652976648205E-2</c:v>
                </c:pt>
                <c:pt idx="25">
                  <c:v>2.0460456094573958E-2</c:v>
                </c:pt>
                <c:pt idx="26">
                  <c:v>2.0077983938141929E-2</c:v>
                </c:pt>
                <c:pt idx="27">
                  <c:v>1.9716188828280631E-2</c:v>
                </c:pt>
                <c:pt idx="28">
                  <c:v>1.9373272428918488E-2</c:v>
                </c:pt>
                <c:pt idx="29">
                  <c:v>1.9047648020641728E-2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2AD-435B-9477-2AC63D77B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174144"/>
        <c:axId val="343180032"/>
      </c:scatterChart>
      <c:valAx>
        <c:axId val="34317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80032"/>
        <c:crosses val="autoZero"/>
        <c:crossBetween val="midCat"/>
      </c:valAx>
      <c:valAx>
        <c:axId val="34318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31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542924</xdr:colOff>
      <xdr:row>0</xdr:row>
      <xdr:rowOff>114299</xdr:rowOff>
    </xdr:from>
    <xdr:to>
      <xdr:col>21</xdr:col>
      <xdr:colOff>361949</xdr:colOff>
      <xdr:row>30</xdr:row>
      <xdr:rowOff>133348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542924</xdr:colOff>
      <xdr:row>0</xdr:row>
      <xdr:rowOff>114299</xdr:rowOff>
    </xdr:from>
    <xdr:to>
      <xdr:col>21</xdr:col>
      <xdr:colOff>361949</xdr:colOff>
      <xdr:row>30</xdr:row>
      <xdr:rowOff>133348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533399</xdr:colOff>
      <xdr:row>0</xdr:row>
      <xdr:rowOff>114299</xdr:rowOff>
    </xdr:from>
    <xdr:to>
      <xdr:col>23</xdr:col>
      <xdr:colOff>352424</xdr:colOff>
      <xdr:row>30</xdr:row>
      <xdr:rowOff>133348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J33"/>
  <sheetViews>
    <sheetView zoomScaleNormal="100" workbookViewId="0">
      <selection activeCell="D24" sqref="D24"/>
    </sheetView>
  </sheetViews>
  <sheetFormatPr defaultRowHeight="15" x14ac:dyDescent="0.25"/>
  <sheetData>
    <row r="1" spans="2:10" x14ac:dyDescent="0.25">
      <c r="C1" t="s">
        <v>3</v>
      </c>
      <c r="D1" t="s">
        <v>4</v>
      </c>
      <c r="E1" t="s">
        <v>3</v>
      </c>
      <c r="F1" t="s">
        <v>4</v>
      </c>
      <c r="G1" t="s">
        <v>3</v>
      </c>
      <c r="H1" t="s">
        <v>4</v>
      </c>
      <c r="I1" t="s">
        <v>3</v>
      </c>
      <c r="J1" t="s">
        <v>4</v>
      </c>
    </row>
    <row r="2" spans="2:10" x14ac:dyDescent="0.25">
      <c r="B2" s="1"/>
      <c r="C2">
        <v>3</v>
      </c>
      <c r="D2">
        <f>calcAexp(C2)</f>
        <v>0.45677240129276847</v>
      </c>
      <c r="E2">
        <v>10</v>
      </c>
      <c r="F2">
        <f>calcAexp(E2)</f>
        <v>0.31321214350855309</v>
      </c>
      <c r="G2">
        <v>20</v>
      </c>
      <c r="H2">
        <f>calcAexp(G2)</f>
        <v>0.26170088970663685</v>
      </c>
      <c r="I2">
        <v>30</v>
      </c>
      <c r="J2">
        <f>calcAexp(I2)</f>
        <v>0.23815457612275778</v>
      </c>
    </row>
    <row r="3" spans="2:10" x14ac:dyDescent="0.25">
      <c r="B3" t="s">
        <v>0</v>
      </c>
      <c r="C3" t="s">
        <v>1</v>
      </c>
      <c r="D3" s="2" t="s">
        <v>2</v>
      </c>
      <c r="E3" t="s">
        <v>1</v>
      </c>
      <c r="F3" s="2" t="s">
        <v>2</v>
      </c>
      <c r="G3" t="s">
        <v>1</v>
      </c>
      <c r="H3" s="2" t="s">
        <v>2</v>
      </c>
      <c r="I3" t="s">
        <v>1</v>
      </c>
      <c r="J3" s="2" t="s">
        <v>2</v>
      </c>
    </row>
    <row r="4" spans="2:10" x14ac:dyDescent="0.25">
      <c r="B4">
        <v>1</v>
      </c>
      <c r="C4" s="4">
        <f>EXP($D$2/B4)-1</f>
        <v>0.57896947193953241</v>
      </c>
      <c r="D4" s="4">
        <f>C4</f>
        <v>0.57896947193953241</v>
      </c>
      <c r="E4" s="4">
        <f>EXP(F$2/$B4)-1</f>
        <v>0.36781167261795877</v>
      </c>
      <c r="F4" s="4">
        <f>E4</f>
        <v>0.36781167261795877</v>
      </c>
      <c r="G4" s="4">
        <f>EXP(H$2/$B4)-1</f>
        <v>0.29913789879059638</v>
      </c>
      <c r="H4" s="4">
        <f>G4</f>
        <v>0.29913789879059638</v>
      </c>
      <c r="I4" s="4">
        <f>EXP(J$2/$B4)-1</f>
        <v>0.26890532013075363</v>
      </c>
      <c r="J4" s="4">
        <f>I4</f>
        <v>0.26890532013075363</v>
      </c>
    </row>
    <row r="5" spans="2:10" x14ac:dyDescent="0.25">
      <c r="B5">
        <v>2</v>
      </c>
      <c r="C5" s="4">
        <f>EXP($D$2/B5)-1</f>
        <v>0.25657052008215286</v>
      </c>
      <c r="D5" s="4">
        <f>C5+D4</f>
        <v>0.83553999202168527</v>
      </c>
      <c r="E5" s="4">
        <f>EXP(F$2/$B5)-1</f>
        <v>0.16953481034895179</v>
      </c>
      <c r="F5" s="4">
        <f>E5+F4</f>
        <v>0.53734648296691057</v>
      </c>
      <c r="G5" s="4">
        <f t="shared" ref="G5:I23" si="0">EXP(H$2/$B5)-1</f>
        <v>0.13979730601129092</v>
      </c>
      <c r="H5" s="4">
        <f>G5+H4</f>
        <v>0.4389352048018873</v>
      </c>
      <c r="I5" s="4">
        <f t="shared" si="0"/>
        <v>0.12645697659997368</v>
      </c>
      <c r="J5" s="4">
        <f>I5+J4</f>
        <v>0.39536229673072731</v>
      </c>
    </row>
    <row r="6" spans="2:10" x14ac:dyDescent="0.25">
      <c r="B6">
        <v>3</v>
      </c>
      <c r="C6" s="4">
        <f>EXP($D$2/B6)-1</f>
        <v>0.16446000797831473</v>
      </c>
      <c r="D6" s="4">
        <f t="shared" ref="D6" si="1">C6+D5</f>
        <v>1</v>
      </c>
      <c r="E6" s="4">
        <f t="shared" ref="E6:E13" si="2">EXP(F$2/$B6)-1</f>
        <v>0.11004887716433953</v>
      </c>
      <c r="F6" s="4">
        <f t="shared" ref="F6:F13" si="3">E6+F5</f>
        <v>0.6473953601312501</v>
      </c>
      <c r="G6" s="4">
        <f t="shared" si="0"/>
        <v>9.1151575577371968E-2</v>
      </c>
      <c r="H6" s="4">
        <f t="shared" ref="H6:H23" si="4">G6+H5</f>
        <v>0.53008678037925927</v>
      </c>
      <c r="I6" s="4">
        <f t="shared" ref="I6" si="5">EXP(J$2/$B6)-1</f>
        <v>8.2620897983342489E-2</v>
      </c>
      <c r="J6" s="4">
        <f t="shared" ref="J6:J33" si="6">I6+J5</f>
        <v>0.4779831947140698</v>
      </c>
    </row>
    <row r="7" spans="2:10" x14ac:dyDescent="0.25">
      <c r="B7">
        <v>4</v>
      </c>
      <c r="C7" s="4"/>
      <c r="D7" s="4"/>
      <c r="E7" s="4">
        <f t="shared" si="2"/>
        <v>8.1450327268410394E-2</v>
      </c>
      <c r="F7" s="4">
        <f t="shared" si="3"/>
        <v>0.72884568739966049</v>
      </c>
      <c r="G7" s="4">
        <f t="shared" si="0"/>
        <v>6.7612900826554689E-2</v>
      </c>
      <c r="H7" s="4">
        <f t="shared" si="4"/>
        <v>0.59769968120581396</v>
      </c>
      <c r="I7" s="4">
        <f t="shared" ref="I7" si="7">EXP(J$2/$B7)-1</f>
        <v>6.1346774904401213E-2</v>
      </c>
      <c r="J7" s="4">
        <f t="shared" si="6"/>
        <v>0.53932996961847102</v>
      </c>
    </row>
    <row r="8" spans="2:10" x14ac:dyDescent="0.25">
      <c r="B8">
        <v>5</v>
      </c>
      <c r="C8" s="4"/>
      <c r="D8" s="4"/>
      <c r="E8" s="4">
        <f t="shared" si="2"/>
        <v>6.4646084279266658E-2</v>
      </c>
      <c r="F8" s="4">
        <f t="shared" si="3"/>
        <v>0.79349177167892715</v>
      </c>
      <c r="G8" s="4">
        <f t="shared" si="0"/>
        <v>5.373413866067267E-2</v>
      </c>
      <c r="H8" s="4">
        <f t="shared" si="4"/>
        <v>0.65143381986648663</v>
      </c>
      <c r="I8" s="4">
        <f t="shared" ref="I8" si="8">EXP(J$2/$B8)-1</f>
        <v>4.8783493860838911E-2</v>
      </c>
      <c r="J8" s="4">
        <f t="shared" si="6"/>
        <v>0.58811346347930993</v>
      </c>
    </row>
    <row r="9" spans="2:10" x14ac:dyDescent="0.25">
      <c r="B9">
        <v>6</v>
      </c>
      <c r="C9" s="4"/>
      <c r="D9" s="4"/>
      <c r="E9" s="4">
        <f t="shared" si="2"/>
        <v>5.3588571105599669E-2</v>
      </c>
      <c r="F9" s="4">
        <f t="shared" si="3"/>
        <v>0.84708034278452682</v>
      </c>
      <c r="G9" s="4">
        <f t="shared" si="0"/>
        <v>4.4582009981682491E-2</v>
      </c>
      <c r="H9" s="4">
        <f t="shared" si="4"/>
        <v>0.69601582984816912</v>
      </c>
      <c r="I9" s="4">
        <f t="shared" ref="I9" si="9">EXP(J$2/$B9)-1</f>
        <v>4.0490700575138483E-2</v>
      </c>
      <c r="J9" s="4">
        <f t="shared" si="6"/>
        <v>0.62860416405444841</v>
      </c>
    </row>
    <row r="10" spans="2:10" x14ac:dyDescent="0.25">
      <c r="B10">
        <v>7</v>
      </c>
      <c r="C10" s="4"/>
      <c r="D10" s="4"/>
      <c r="E10" s="4">
        <f t="shared" si="2"/>
        <v>4.5760730066646049E-2</v>
      </c>
      <c r="F10" s="4">
        <f t="shared" si="3"/>
        <v>0.89284107285117287</v>
      </c>
      <c r="G10" s="4">
        <f t="shared" si="0"/>
        <v>3.809348300471771E-2</v>
      </c>
      <c r="H10" s="4">
        <f t="shared" si="4"/>
        <v>0.73410931285288683</v>
      </c>
      <c r="I10" s="4">
        <f t="shared" ref="I10" si="10">EXP(J$2/$B10)-1</f>
        <v>3.4607452991390675E-2</v>
      </c>
      <c r="J10" s="4">
        <f t="shared" si="6"/>
        <v>0.66321161704583909</v>
      </c>
    </row>
    <row r="11" spans="2:10" x14ac:dyDescent="0.25">
      <c r="B11">
        <v>8</v>
      </c>
      <c r="C11" s="4"/>
      <c r="D11" s="4"/>
      <c r="E11" s="4">
        <f t="shared" si="2"/>
        <v>3.9928039466390342E-2</v>
      </c>
      <c r="F11" s="4">
        <f t="shared" si="3"/>
        <v>0.93276911231756321</v>
      </c>
      <c r="G11" s="4">
        <f t="shared" si="0"/>
        <v>3.3253551083447741E-2</v>
      </c>
      <c r="H11" s="4">
        <f t="shared" si="4"/>
        <v>0.76736286393633457</v>
      </c>
      <c r="I11" s="4">
        <f t="shared" ref="I11" si="11">EXP(J$2/$B11)-1</f>
        <v>3.0216858192682272E-2</v>
      </c>
      <c r="J11" s="4">
        <f t="shared" si="6"/>
        <v>0.69342847523852136</v>
      </c>
    </row>
    <row r="12" spans="2:10" x14ac:dyDescent="0.25">
      <c r="B12">
        <v>9</v>
      </c>
      <c r="C12" s="4"/>
      <c r="D12" s="4"/>
      <c r="E12" s="4">
        <f t="shared" si="2"/>
        <v>3.5414002630022701E-2</v>
      </c>
      <c r="F12" s="4">
        <f t="shared" si="3"/>
        <v>0.96818311494758591</v>
      </c>
      <c r="G12" s="4">
        <f t="shared" si="0"/>
        <v>2.9504765719271075E-2</v>
      </c>
      <c r="H12" s="4">
        <f t="shared" si="4"/>
        <v>0.79686762965560565</v>
      </c>
      <c r="I12" s="4">
        <f t="shared" ref="I12" si="12">EXP(J$2/$B12)-1</f>
        <v>2.6814836909596629E-2</v>
      </c>
      <c r="J12" s="4">
        <f t="shared" si="6"/>
        <v>0.72024331214811799</v>
      </c>
    </row>
    <row r="13" spans="2:10" x14ac:dyDescent="0.25">
      <c r="B13">
        <v>10</v>
      </c>
      <c r="C13" s="4"/>
      <c r="D13" s="4"/>
      <c r="E13" s="4">
        <f t="shared" si="2"/>
        <v>3.181688505241409E-2</v>
      </c>
      <c r="F13" s="4">
        <f t="shared" si="3"/>
        <v>1</v>
      </c>
      <c r="G13" s="4">
        <f t="shared" si="0"/>
        <v>2.6515532595913882E-2</v>
      </c>
      <c r="H13" s="4">
        <f t="shared" si="4"/>
        <v>0.82338316225151953</v>
      </c>
      <c r="I13" s="4">
        <f t="shared" ref="I13" si="13">EXP(J$2/$B13)-1</f>
        <v>2.4101310350123084E-2</v>
      </c>
      <c r="J13" s="4">
        <f t="shared" si="6"/>
        <v>0.74434462249824107</v>
      </c>
    </row>
    <row r="14" spans="2:10" x14ac:dyDescent="0.25">
      <c r="B14">
        <v>11</v>
      </c>
      <c r="C14" s="4"/>
      <c r="D14" s="4"/>
      <c r="E14" s="4"/>
      <c r="F14" s="4"/>
      <c r="G14" s="4">
        <f t="shared" si="0"/>
        <v>2.4076253315562512E-2</v>
      </c>
      <c r="H14" s="4">
        <f t="shared" si="4"/>
        <v>0.84745941556708204</v>
      </c>
      <c r="I14" s="4">
        <f t="shared" ref="I14" si="14">EXP(J$2/$B14)-1</f>
        <v>2.1886486867095378E-2</v>
      </c>
      <c r="J14" s="4">
        <f t="shared" si="6"/>
        <v>0.76623110936533645</v>
      </c>
    </row>
    <row r="15" spans="2:10" x14ac:dyDescent="0.25">
      <c r="B15">
        <v>12</v>
      </c>
      <c r="C15" s="4"/>
      <c r="D15" s="4"/>
      <c r="E15" s="4"/>
      <c r="F15" s="4"/>
      <c r="G15" s="4">
        <f t="shared" si="0"/>
        <v>2.2047948964079911E-2</v>
      </c>
      <c r="H15" s="4">
        <f t="shared" si="4"/>
        <v>0.86950736453116195</v>
      </c>
      <c r="I15" s="4">
        <f t="shared" ref="I15" si="15">EXP(J$2/$B15)-1</f>
        <v>2.0044460097273564E-2</v>
      </c>
      <c r="J15" s="4">
        <f t="shared" si="6"/>
        <v>0.78627556946261001</v>
      </c>
    </row>
    <row r="16" spans="2:10" x14ac:dyDescent="0.25">
      <c r="B16">
        <v>13</v>
      </c>
      <c r="C16" s="4"/>
      <c r="D16" s="4"/>
      <c r="E16" s="4"/>
      <c r="F16" s="4"/>
      <c r="G16" s="4">
        <f t="shared" si="0"/>
        <v>2.0334829525288978E-2</v>
      </c>
      <c r="H16" s="4">
        <f t="shared" si="4"/>
        <v>0.88984219405645093</v>
      </c>
      <c r="I16" s="4">
        <f t="shared" ref="I16" si="16">EXP(J$2/$B16)-1</f>
        <v>1.8488415742567543E-2</v>
      </c>
      <c r="J16" s="4">
        <f t="shared" si="6"/>
        <v>0.80476398520517756</v>
      </c>
    </row>
    <row r="17" spans="2:10" x14ac:dyDescent="0.25">
      <c r="B17">
        <v>14</v>
      </c>
      <c r="C17" s="4"/>
      <c r="D17" s="4"/>
      <c r="E17" s="4"/>
      <c r="F17" s="4"/>
      <c r="G17" s="4">
        <f t="shared" si="0"/>
        <v>1.8868727071705615E-2</v>
      </c>
      <c r="H17" s="4">
        <f t="shared" si="4"/>
        <v>0.90871092112815655</v>
      </c>
      <c r="I17" s="4">
        <f t="shared" ref="I17" si="17">EXP(J$2/$B17)-1</f>
        <v>1.7156552842968686E-2</v>
      </c>
      <c r="J17" s="4">
        <f t="shared" si="6"/>
        <v>0.82192053804814624</v>
      </c>
    </row>
    <row r="18" spans="2:10" x14ac:dyDescent="0.25">
      <c r="B18">
        <v>15</v>
      </c>
      <c r="C18" s="4"/>
      <c r="D18" s="4"/>
      <c r="E18" s="4"/>
      <c r="F18" s="4"/>
      <c r="G18" s="4">
        <f t="shared" si="0"/>
        <v>1.7599809074569928E-2</v>
      </c>
      <c r="H18" s="4">
        <f t="shared" si="4"/>
        <v>0.92631073020272647</v>
      </c>
      <c r="I18" s="4">
        <f t="shared" ref="I18" si="18">EXP(J$2/$B18)-1</f>
        <v>1.6003680553257293E-2</v>
      </c>
      <c r="J18" s="4">
        <f t="shared" si="6"/>
        <v>0.83792421860140354</v>
      </c>
    </row>
    <row r="19" spans="2:10" x14ac:dyDescent="0.25">
      <c r="B19">
        <v>16</v>
      </c>
      <c r="C19" s="4"/>
      <c r="D19" s="4"/>
      <c r="E19" s="4"/>
      <c r="F19" s="4"/>
      <c r="G19" s="4">
        <f t="shared" si="0"/>
        <v>1.6490802262099979E-2</v>
      </c>
      <c r="H19" s="4">
        <f t="shared" si="4"/>
        <v>0.94280153246482645</v>
      </c>
      <c r="I19" s="4">
        <f t="shared" ref="I19" si="19">EXP(J$2/$B19)-1</f>
        <v>1.4995989249554809E-2</v>
      </c>
      <c r="J19" s="4">
        <f t="shared" si="6"/>
        <v>0.85292020785095835</v>
      </c>
    </row>
    <row r="20" spans="2:10" x14ac:dyDescent="0.25">
      <c r="B20">
        <v>17</v>
      </c>
      <c r="C20" s="4"/>
      <c r="D20" s="4"/>
      <c r="E20" s="4"/>
      <c r="F20" s="4"/>
      <c r="G20" s="4">
        <f t="shared" si="0"/>
        <v>1.5513270584289307E-2</v>
      </c>
      <c r="H20" s="4">
        <f t="shared" si="4"/>
        <v>0.95831480304911576</v>
      </c>
      <c r="I20" s="4">
        <f t="shared" ref="I20" si="20">EXP(J$2/$B20)-1</f>
        <v>1.410767988675965E-2</v>
      </c>
      <c r="J20" s="4">
        <f t="shared" si="6"/>
        <v>0.86702788773771799</v>
      </c>
    </row>
    <row r="21" spans="2:10" x14ac:dyDescent="0.25">
      <c r="B21">
        <v>18</v>
      </c>
      <c r="C21" s="4"/>
      <c r="D21" s="4"/>
      <c r="E21" s="4"/>
      <c r="F21" s="4"/>
      <c r="G21" s="4">
        <f t="shared" si="0"/>
        <v>1.4645142756456897E-2</v>
      </c>
      <c r="H21" s="4">
        <f t="shared" si="4"/>
        <v>0.97295994580557266</v>
      </c>
      <c r="I21" s="4">
        <f t="shared" ref="I21" si="21">EXP(J$2/$B21)-1</f>
        <v>1.3318724247014302E-2</v>
      </c>
      <c r="J21" s="4">
        <f t="shared" si="6"/>
        <v>0.8803466119847323</v>
      </c>
    </row>
    <row r="22" spans="2:10" x14ac:dyDescent="0.25">
      <c r="B22">
        <v>19</v>
      </c>
      <c r="C22" s="4"/>
      <c r="D22" s="4"/>
      <c r="E22" s="4"/>
      <c r="F22" s="4"/>
      <c r="G22" s="4">
        <f t="shared" si="0"/>
        <v>1.3869025889770459E-2</v>
      </c>
      <c r="H22" s="4">
        <f t="shared" si="4"/>
        <v>0.98682897169534312</v>
      </c>
      <c r="I22" s="4">
        <f t="shared" ref="I22" si="22">EXP(J$2/$B22)-1</f>
        <v>1.2613336861386104E-2</v>
      </c>
      <c r="J22" s="4">
        <f t="shared" si="6"/>
        <v>0.8929599488461184</v>
      </c>
    </row>
    <row r="23" spans="2:10" x14ac:dyDescent="0.25">
      <c r="B23">
        <v>20</v>
      </c>
      <c r="C23" s="4"/>
      <c r="D23" s="4"/>
      <c r="E23" s="4"/>
      <c r="F23" s="4"/>
      <c r="G23" s="4">
        <f t="shared" si="0"/>
        <v>1.3171028304655996E-2</v>
      </c>
      <c r="H23" s="4">
        <f t="shared" si="4"/>
        <v>0.99999999999999911</v>
      </c>
      <c r="I23" s="4">
        <f t="shared" ref="I23" si="23">EXP(J$2/$B23)-1</f>
        <v>1.1978908055954918E-2</v>
      </c>
      <c r="J23" s="4">
        <f t="shared" si="6"/>
        <v>0.90493885690207332</v>
      </c>
    </row>
    <row r="24" spans="2:10" x14ac:dyDescent="0.25">
      <c r="B24">
        <v>21</v>
      </c>
      <c r="C24" s="4"/>
      <c r="D24" s="4"/>
      <c r="E24" s="4"/>
      <c r="F24" s="4"/>
      <c r="G24" s="4"/>
      <c r="H24" s="4"/>
      <c r="I24" s="4">
        <f t="shared" ref="I24" si="24">EXP(J$2/$B24)-1</f>
        <v>1.1405243553516131E-2</v>
      </c>
      <c r="J24" s="4">
        <f t="shared" si="6"/>
        <v>0.91634410045558945</v>
      </c>
    </row>
    <row r="25" spans="2:10" x14ac:dyDescent="0.25">
      <c r="B25">
        <v>22</v>
      </c>
      <c r="C25" s="4"/>
      <c r="D25" s="4"/>
      <c r="E25" s="4"/>
      <c r="F25" s="4"/>
      <c r="G25" s="4"/>
      <c r="H25" s="4"/>
      <c r="I25" s="4">
        <f t="shared" ref="I25" si="25">EXP(J$2/$B25)-1</f>
        <v>1.0884012568749268E-2</v>
      </c>
      <c r="J25" s="4">
        <f t="shared" si="6"/>
        <v>0.92722811302433872</v>
      </c>
    </row>
    <row r="26" spans="2:10" x14ac:dyDescent="0.25">
      <c r="B26">
        <v>23</v>
      </c>
      <c r="C26" s="4"/>
      <c r="D26" s="4"/>
      <c r="E26" s="4"/>
      <c r="F26" s="4"/>
      <c r="G26" s="4"/>
      <c r="H26" s="4"/>
      <c r="I26" s="4">
        <f t="shared" ref="I26" si="26">EXP(J$2/$B26)-1</f>
        <v>1.040834061745799E-2</v>
      </c>
      <c r="J26" s="4">
        <f t="shared" si="6"/>
        <v>0.93763645364179671</v>
      </c>
    </row>
    <row r="27" spans="2:10" x14ac:dyDescent="0.25">
      <c r="B27">
        <v>24</v>
      </c>
      <c r="C27" s="4"/>
      <c r="D27" s="4"/>
      <c r="E27" s="4"/>
      <c r="F27" s="4"/>
      <c r="G27" s="4"/>
      <c r="H27" s="4"/>
      <c r="I27" s="4">
        <f t="shared" ref="I27" si="27">EXP(J$2/$B27)-1</f>
        <v>9.9725046243950288E-3</v>
      </c>
      <c r="J27" s="4">
        <f t="shared" si="6"/>
        <v>0.94760895826619174</v>
      </c>
    </row>
    <row r="28" spans="2:10" x14ac:dyDescent="0.25">
      <c r="B28">
        <v>25</v>
      </c>
      <c r="C28" s="4"/>
      <c r="D28" s="4"/>
      <c r="E28" s="4"/>
      <c r="F28" s="4"/>
      <c r="G28" s="4"/>
      <c r="H28" s="4"/>
      <c r="I28" s="4">
        <f t="shared" ref="I28" si="28">EXP(J$2/$B28)-1</f>
        <v>9.5717015510048409E-3</v>
      </c>
      <c r="J28" s="4">
        <f t="shared" si="6"/>
        <v>0.95718065981719658</v>
      </c>
    </row>
    <row r="29" spans="2:10" x14ac:dyDescent="0.25">
      <c r="B29">
        <v>26</v>
      </c>
      <c r="C29" s="4"/>
      <c r="D29" s="4"/>
      <c r="E29" s="4"/>
      <c r="F29" s="4"/>
      <c r="G29" s="4"/>
      <c r="H29" s="4"/>
      <c r="I29" s="4">
        <f t="shared" ref="I29" si="29">EXP(J$2/$B29)-1</f>
        <v>9.2018706594669819E-3</v>
      </c>
      <c r="J29" s="4">
        <f t="shared" si="6"/>
        <v>0.96638253047666356</v>
      </c>
    </row>
    <row r="30" spans="2:10" x14ac:dyDescent="0.25">
      <c r="B30">
        <v>27</v>
      </c>
      <c r="C30" s="4"/>
      <c r="D30" s="4"/>
      <c r="E30" s="4"/>
      <c r="F30" s="4"/>
      <c r="G30" s="4"/>
      <c r="H30" s="4"/>
      <c r="I30" s="4">
        <f t="shared" ref="I30" si="30">EXP(J$2/$B30)-1</f>
        <v>8.8595554465649151E-3</v>
      </c>
      <c r="J30" s="4">
        <f t="shared" si="6"/>
        <v>0.97524208592322847</v>
      </c>
    </row>
    <row r="31" spans="2:10" x14ac:dyDescent="0.25">
      <c r="B31">
        <v>28</v>
      </c>
      <c r="C31" s="4"/>
      <c r="D31" s="4"/>
      <c r="E31" s="4"/>
      <c r="F31" s="4"/>
      <c r="G31" s="4"/>
      <c r="H31" s="4"/>
      <c r="I31" s="4">
        <f t="shared" ref="I31" si="31">EXP(J$2/$B31)-1</f>
        <v>8.541795288112386E-3</v>
      </c>
      <c r="J31" s="4">
        <f t="shared" si="6"/>
        <v>0.98378388121134086</v>
      </c>
    </row>
    <row r="32" spans="2:10" x14ac:dyDescent="0.25">
      <c r="B32">
        <v>29</v>
      </c>
      <c r="C32" s="4"/>
      <c r="D32" s="4"/>
      <c r="E32" s="4"/>
      <c r="F32" s="4"/>
      <c r="G32" s="4"/>
      <c r="H32" s="4"/>
      <c r="I32" s="4">
        <f t="shared" ref="I32" si="32">EXP(J$2/$B32)-1</f>
        <v>8.2460395932215658E-3</v>
      </c>
      <c r="J32" s="4">
        <f t="shared" si="6"/>
        <v>0.99202992080456243</v>
      </c>
    </row>
    <row r="33" spans="2:10" x14ac:dyDescent="0.25">
      <c r="B33">
        <v>30</v>
      </c>
      <c r="C33" s="3"/>
      <c r="D33" s="3"/>
      <c r="E33" s="3"/>
      <c r="F33" s="3"/>
      <c r="G33" s="3"/>
      <c r="H33" s="3"/>
      <c r="I33" s="4">
        <f t="shared" ref="I33" si="33">EXP(J$2/$B33)-1</f>
        <v>7.9700791954377959E-3</v>
      </c>
      <c r="J33" s="4">
        <f t="shared" si="6"/>
        <v>1.0000000000000002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1:J33"/>
  <sheetViews>
    <sheetView zoomScaleNormal="100" workbookViewId="0">
      <selection activeCell="C4" sqref="C4"/>
    </sheetView>
  </sheetViews>
  <sheetFormatPr defaultRowHeight="15" x14ac:dyDescent="0.25"/>
  <sheetData>
    <row r="1" spans="2:10" x14ac:dyDescent="0.25">
      <c r="C1" t="s">
        <v>3</v>
      </c>
      <c r="D1" t="s">
        <v>4</v>
      </c>
      <c r="E1" t="s">
        <v>3</v>
      </c>
      <c r="F1" t="s">
        <v>4</v>
      </c>
      <c r="G1" t="s">
        <v>3</v>
      </c>
      <c r="H1" t="s">
        <v>4</v>
      </c>
      <c r="I1" t="s">
        <v>3</v>
      </c>
      <c r="J1" t="s">
        <v>4</v>
      </c>
    </row>
    <row r="2" spans="2:10" x14ac:dyDescent="0.25">
      <c r="B2" s="1"/>
      <c r="C2">
        <v>3</v>
      </c>
      <c r="D2">
        <f>calcAinv(C2)</f>
        <v>0.54545454545454553</v>
      </c>
      <c r="E2">
        <v>10</v>
      </c>
      <c r="F2">
        <f>calcAinv(E2)</f>
        <v>0.34141715214740553</v>
      </c>
      <c r="G2">
        <v>20</v>
      </c>
      <c r="H2">
        <f>calcAinv(G2)</f>
        <v>0.27795229652440168</v>
      </c>
      <c r="I2">
        <v>30</v>
      </c>
      <c r="J2">
        <f>calcAinv(I2)</f>
        <v>0.2503136974485356</v>
      </c>
    </row>
    <row r="3" spans="2:10" x14ac:dyDescent="0.25">
      <c r="B3" t="s">
        <v>0</v>
      </c>
      <c r="C3" t="s">
        <v>1</v>
      </c>
      <c r="D3" s="2" t="s">
        <v>2</v>
      </c>
      <c r="E3" t="s">
        <v>1</v>
      </c>
      <c r="F3" s="2" t="s">
        <v>2</v>
      </c>
      <c r="G3" t="s">
        <v>1</v>
      </c>
      <c r="H3" s="2" t="s">
        <v>2</v>
      </c>
      <c r="I3" t="s">
        <v>1</v>
      </c>
      <c r="J3" s="2" t="s">
        <v>2</v>
      </c>
    </row>
    <row r="4" spans="2:10" x14ac:dyDescent="0.25">
      <c r="B4">
        <v>1</v>
      </c>
      <c r="C4" s="4">
        <f>$D$2/B4</f>
        <v>0.54545454545454553</v>
      </c>
      <c r="D4" s="4">
        <f>C4</f>
        <v>0.54545454545454553</v>
      </c>
      <c r="E4" s="4">
        <f>F$2/$B4</f>
        <v>0.34141715214740553</v>
      </c>
      <c r="F4" s="4">
        <f>E4</f>
        <v>0.34141715214740553</v>
      </c>
      <c r="G4" s="4">
        <f>H$2/$B4</f>
        <v>0.27795229652440168</v>
      </c>
      <c r="H4" s="4">
        <f>G4</f>
        <v>0.27795229652440168</v>
      </c>
      <c r="I4" s="4">
        <f>J$2/$B4</f>
        <v>0.2503136974485356</v>
      </c>
      <c r="J4" s="4">
        <f>I4</f>
        <v>0.2503136974485356</v>
      </c>
    </row>
    <row r="5" spans="2:10" x14ac:dyDescent="0.25">
      <c r="B5">
        <v>2</v>
      </c>
      <c r="C5" s="4">
        <f t="shared" ref="C5:C6" si="0">$D$2/B5</f>
        <v>0.27272727272727276</v>
      </c>
      <c r="D5" s="4">
        <f>C5+D4</f>
        <v>0.81818181818181834</v>
      </c>
      <c r="E5" s="4">
        <f t="shared" ref="E5:E13" si="1">F$2/$B5</f>
        <v>0.17070857607370277</v>
      </c>
      <c r="F5" s="4">
        <f>E5+F4</f>
        <v>0.51212572822110825</v>
      </c>
      <c r="G5" s="4">
        <f t="shared" ref="G5:G23" si="2">H$2/$B5</f>
        <v>0.13897614826220084</v>
      </c>
      <c r="H5" s="4">
        <f>G5+H4</f>
        <v>0.41692844478660251</v>
      </c>
      <c r="I5" s="4">
        <f t="shared" ref="I5:I33" si="3">J$2/$B5</f>
        <v>0.1251568487242678</v>
      </c>
      <c r="J5" s="4">
        <f>I5+J4</f>
        <v>0.3754705461728034</v>
      </c>
    </row>
    <row r="6" spans="2:10" x14ac:dyDescent="0.25">
      <c r="B6">
        <v>3</v>
      </c>
      <c r="C6" s="4">
        <f t="shared" si="0"/>
        <v>0.18181818181818185</v>
      </c>
      <c r="D6" s="4">
        <f t="shared" ref="D6" si="4">C6+D5</f>
        <v>1.0000000000000002</v>
      </c>
      <c r="E6" s="4">
        <f t="shared" si="1"/>
        <v>0.11380571738246852</v>
      </c>
      <c r="F6" s="4">
        <f t="shared" ref="F6:F13" si="5">E6+F5</f>
        <v>0.62593144560357672</v>
      </c>
      <c r="G6" s="4">
        <f t="shared" si="2"/>
        <v>9.2650765508133892E-2</v>
      </c>
      <c r="H6" s="4">
        <f t="shared" ref="H6:H23" si="6">G6+H5</f>
        <v>0.50957921029473641</v>
      </c>
      <c r="I6" s="4">
        <f t="shared" si="3"/>
        <v>8.3437899149511871E-2</v>
      </c>
      <c r="J6" s="4">
        <f t="shared" ref="J6:J33" si="7">I6+J5</f>
        <v>0.45890844532231528</v>
      </c>
    </row>
    <row r="7" spans="2:10" x14ac:dyDescent="0.25">
      <c r="B7">
        <v>4</v>
      </c>
      <c r="C7" s="4"/>
      <c r="D7" s="4"/>
      <c r="E7" s="4">
        <f t="shared" si="1"/>
        <v>8.5354288036851383E-2</v>
      </c>
      <c r="F7" s="4">
        <f t="shared" si="5"/>
        <v>0.71128573364042813</v>
      </c>
      <c r="G7" s="4">
        <f t="shared" si="2"/>
        <v>6.9488074131100419E-2</v>
      </c>
      <c r="H7" s="4">
        <f t="shared" si="6"/>
        <v>0.57906728442583688</v>
      </c>
      <c r="I7" s="4">
        <f t="shared" si="3"/>
        <v>6.25784243621339E-2</v>
      </c>
      <c r="J7" s="4">
        <f t="shared" si="7"/>
        <v>0.52148686968444924</v>
      </c>
    </row>
    <row r="8" spans="2:10" x14ac:dyDescent="0.25">
      <c r="B8">
        <v>5</v>
      </c>
      <c r="C8" s="4"/>
      <c r="D8" s="4"/>
      <c r="E8" s="4">
        <f t="shared" si="1"/>
        <v>6.828343042948111E-2</v>
      </c>
      <c r="F8" s="4">
        <f t="shared" si="5"/>
        <v>0.77956916406990928</v>
      </c>
      <c r="G8" s="4">
        <f t="shared" si="2"/>
        <v>5.5590459304880338E-2</v>
      </c>
      <c r="H8" s="4">
        <f t="shared" si="6"/>
        <v>0.63465774373071726</v>
      </c>
      <c r="I8" s="4">
        <f t="shared" si="3"/>
        <v>5.0062739489707117E-2</v>
      </c>
      <c r="J8" s="4">
        <f t="shared" si="7"/>
        <v>0.57154960917415631</v>
      </c>
    </row>
    <row r="9" spans="2:10" x14ac:dyDescent="0.25">
      <c r="B9">
        <v>6</v>
      </c>
      <c r="C9" s="4"/>
      <c r="D9" s="4"/>
      <c r="E9" s="4">
        <f t="shared" si="1"/>
        <v>5.6902858691234258E-2</v>
      </c>
      <c r="F9" s="4">
        <f t="shared" si="5"/>
        <v>0.83647202276114352</v>
      </c>
      <c r="G9" s="4">
        <f t="shared" si="2"/>
        <v>4.6325382754066946E-2</v>
      </c>
      <c r="H9" s="4">
        <f t="shared" si="6"/>
        <v>0.68098312648478421</v>
      </c>
      <c r="I9" s="4">
        <f t="shared" si="3"/>
        <v>4.1718949574755936E-2</v>
      </c>
      <c r="J9" s="4">
        <f t="shared" si="7"/>
        <v>0.61326855874891228</v>
      </c>
    </row>
    <row r="10" spans="2:10" x14ac:dyDescent="0.25">
      <c r="B10">
        <v>7</v>
      </c>
      <c r="C10" s="4"/>
      <c r="D10" s="4"/>
      <c r="E10" s="4">
        <f t="shared" si="1"/>
        <v>4.877387887820079E-2</v>
      </c>
      <c r="F10" s="4">
        <f t="shared" si="5"/>
        <v>0.88524590163934436</v>
      </c>
      <c r="G10" s="4">
        <f t="shared" si="2"/>
        <v>3.9707470932057384E-2</v>
      </c>
      <c r="H10" s="4">
        <f t="shared" si="6"/>
        <v>0.72069059741684161</v>
      </c>
      <c r="I10" s="4">
        <f t="shared" si="3"/>
        <v>3.5759099635505089E-2</v>
      </c>
      <c r="J10" s="4">
        <f t="shared" si="7"/>
        <v>0.64902765838441734</v>
      </c>
    </row>
    <row r="11" spans="2:10" x14ac:dyDescent="0.25">
      <c r="B11">
        <v>8</v>
      </c>
      <c r="C11" s="4"/>
      <c r="D11" s="4"/>
      <c r="E11" s="4">
        <f t="shared" si="1"/>
        <v>4.2677144018425692E-2</v>
      </c>
      <c r="F11" s="4">
        <f t="shared" si="5"/>
        <v>0.92792304565777006</v>
      </c>
      <c r="G11" s="4">
        <f t="shared" si="2"/>
        <v>3.474403706555021E-2</v>
      </c>
      <c r="H11" s="4">
        <f t="shared" si="6"/>
        <v>0.75543463448239179</v>
      </c>
      <c r="I11" s="4">
        <f t="shared" si="3"/>
        <v>3.128921218106695E-2</v>
      </c>
      <c r="J11" s="4">
        <f t="shared" si="7"/>
        <v>0.68031687056548429</v>
      </c>
    </row>
    <row r="12" spans="2:10" x14ac:dyDescent="0.25">
      <c r="B12">
        <v>9</v>
      </c>
      <c r="C12" s="4"/>
      <c r="D12" s="4"/>
      <c r="E12" s="4">
        <f t="shared" si="1"/>
        <v>3.7935239127489501E-2</v>
      </c>
      <c r="F12" s="4">
        <f t="shared" si="5"/>
        <v>0.96585828478525959</v>
      </c>
      <c r="G12" s="4">
        <f t="shared" si="2"/>
        <v>3.0883588502711296E-2</v>
      </c>
      <c r="H12" s="4">
        <f t="shared" si="6"/>
        <v>0.78631822298510312</v>
      </c>
      <c r="I12" s="4">
        <f t="shared" si="3"/>
        <v>2.781263304983729E-2</v>
      </c>
      <c r="J12" s="4">
        <f t="shared" si="7"/>
        <v>0.70812950361532156</v>
      </c>
    </row>
    <row r="13" spans="2:10" x14ac:dyDescent="0.25">
      <c r="B13">
        <v>10</v>
      </c>
      <c r="C13" s="4"/>
      <c r="D13" s="4"/>
      <c r="E13" s="4">
        <f t="shared" si="1"/>
        <v>3.4141715214740555E-2</v>
      </c>
      <c r="F13" s="4">
        <f t="shared" si="5"/>
        <v>1.0000000000000002</v>
      </c>
      <c r="G13" s="4">
        <f t="shared" si="2"/>
        <v>2.7795229652440169E-2</v>
      </c>
      <c r="H13" s="4">
        <f t="shared" si="6"/>
        <v>0.81411345263754331</v>
      </c>
      <c r="I13" s="4">
        <f t="shared" si="3"/>
        <v>2.5031369744853559E-2</v>
      </c>
      <c r="J13" s="4">
        <f t="shared" si="7"/>
        <v>0.7331608733601751</v>
      </c>
    </row>
    <row r="14" spans="2:10" x14ac:dyDescent="0.25">
      <c r="B14">
        <v>11</v>
      </c>
      <c r="C14" s="4"/>
      <c r="D14" s="4"/>
      <c r="E14" s="4"/>
      <c r="F14" s="4"/>
      <c r="G14" s="4">
        <f t="shared" si="2"/>
        <v>2.5268390593127424E-2</v>
      </c>
      <c r="H14" s="4">
        <f t="shared" si="6"/>
        <v>0.83938184323067078</v>
      </c>
      <c r="I14" s="4">
        <f t="shared" si="3"/>
        <v>2.2755790677139599E-2</v>
      </c>
      <c r="J14" s="4">
        <f t="shared" si="7"/>
        <v>0.75591666403731472</v>
      </c>
    </row>
    <row r="15" spans="2:10" x14ac:dyDescent="0.25">
      <c r="B15">
        <v>12</v>
      </c>
      <c r="C15" s="4"/>
      <c r="D15" s="4"/>
      <c r="E15" s="4"/>
      <c r="F15" s="4"/>
      <c r="G15" s="4">
        <f t="shared" si="2"/>
        <v>2.3162691377033473E-2</v>
      </c>
      <c r="H15" s="4">
        <f t="shared" si="6"/>
        <v>0.86254453460770431</v>
      </c>
      <c r="I15" s="4">
        <f t="shared" si="3"/>
        <v>2.0859474787377968E-2</v>
      </c>
      <c r="J15" s="4">
        <f t="shared" si="7"/>
        <v>0.77677613882469265</v>
      </c>
    </row>
    <row r="16" spans="2:10" x14ac:dyDescent="0.25">
      <c r="B16">
        <v>13</v>
      </c>
      <c r="C16" s="4"/>
      <c r="D16" s="4"/>
      <c r="E16" s="4"/>
      <c r="F16" s="4"/>
      <c r="G16" s="4">
        <f t="shared" si="2"/>
        <v>2.1380945886492437E-2</v>
      </c>
      <c r="H16" s="4">
        <f t="shared" si="6"/>
        <v>0.88392548049419672</v>
      </c>
      <c r="I16" s="4">
        <f t="shared" si="3"/>
        <v>1.9254899803733509E-2</v>
      </c>
      <c r="J16" s="4">
        <f t="shared" si="7"/>
        <v>0.79603103862842617</v>
      </c>
    </row>
    <row r="17" spans="2:10" x14ac:dyDescent="0.25">
      <c r="B17">
        <v>14</v>
      </c>
      <c r="C17" s="4"/>
      <c r="D17" s="4"/>
      <c r="E17" s="4"/>
      <c r="F17" s="4"/>
      <c r="G17" s="4">
        <f t="shared" si="2"/>
        <v>1.9853735466028692E-2</v>
      </c>
      <c r="H17" s="4">
        <f t="shared" si="6"/>
        <v>0.90377921596022537</v>
      </c>
      <c r="I17" s="4">
        <f t="shared" si="3"/>
        <v>1.7879549817752544E-2</v>
      </c>
      <c r="J17" s="4">
        <f t="shared" si="7"/>
        <v>0.8139105884461787</v>
      </c>
    </row>
    <row r="18" spans="2:10" x14ac:dyDescent="0.25">
      <c r="B18">
        <v>15</v>
      </c>
      <c r="C18" s="4"/>
      <c r="D18" s="4"/>
      <c r="E18" s="4"/>
      <c r="F18" s="4"/>
      <c r="G18" s="4">
        <f t="shared" si="2"/>
        <v>1.8530153101626777E-2</v>
      </c>
      <c r="H18" s="4">
        <f t="shared" si="6"/>
        <v>0.92230936906185212</v>
      </c>
      <c r="I18" s="4">
        <f t="shared" si="3"/>
        <v>1.6687579829902374E-2</v>
      </c>
      <c r="J18" s="4">
        <f t="shared" si="7"/>
        <v>0.83059816827608102</v>
      </c>
    </row>
    <row r="19" spans="2:10" x14ac:dyDescent="0.25">
      <c r="B19">
        <v>16</v>
      </c>
      <c r="C19" s="4"/>
      <c r="D19" s="4"/>
      <c r="E19" s="4"/>
      <c r="F19" s="4"/>
      <c r="G19" s="4">
        <f t="shared" si="2"/>
        <v>1.7372018532775105E-2</v>
      </c>
      <c r="H19" s="4">
        <f t="shared" si="6"/>
        <v>0.93968138759462727</v>
      </c>
      <c r="I19" s="4">
        <f t="shared" si="3"/>
        <v>1.5644606090533475E-2</v>
      </c>
      <c r="J19" s="4">
        <f t="shared" si="7"/>
        <v>0.84624277436661455</v>
      </c>
    </row>
    <row r="20" spans="2:10" x14ac:dyDescent="0.25">
      <c r="B20">
        <v>17</v>
      </c>
      <c r="C20" s="4"/>
      <c r="D20" s="4"/>
      <c r="E20" s="4"/>
      <c r="F20" s="4"/>
      <c r="G20" s="4">
        <f t="shared" si="2"/>
        <v>1.6350135089670686E-2</v>
      </c>
      <c r="H20" s="4">
        <f t="shared" si="6"/>
        <v>0.95603152268429792</v>
      </c>
      <c r="I20" s="4">
        <f t="shared" si="3"/>
        <v>1.4724335144031505E-2</v>
      </c>
      <c r="J20" s="4">
        <f t="shared" si="7"/>
        <v>0.86096710951064603</v>
      </c>
    </row>
    <row r="21" spans="2:10" x14ac:dyDescent="0.25">
      <c r="B21">
        <v>18</v>
      </c>
      <c r="C21" s="4"/>
      <c r="D21" s="4"/>
      <c r="E21" s="4"/>
      <c r="F21" s="4"/>
      <c r="G21" s="4">
        <f t="shared" si="2"/>
        <v>1.5441794251355648E-2</v>
      </c>
      <c r="H21" s="4">
        <f t="shared" si="6"/>
        <v>0.97147331693565353</v>
      </c>
      <c r="I21" s="4">
        <f t="shared" si="3"/>
        <v>1.3906316524918645E-2</v>
      </c>
      <c r="J21" s="4">
        <f t="shared" si="7"/>
        <v>0.87487342603556473</v>
      </c>
    </row>
    <row r="22" spans="2:10" x14ac:dyDescent="0.25">
      <c r="B22">
        <v>19</v>
      </c>
      <c r="C22" s="4"/>
      <c r="D22" s="4"/>
      <c r="E22" s="4"/>
      <c r="F22" s="4"/>
      <c r="G22" s="4">
        <f t="shared" si="2"/>
        <v>1.4629068238126404E-2</v>
      </c>
      <c r="H22" s="4">
        <f t="shared" si="6"/>
        <v>0.98610238517377991</v>
      </c>
      <c r="I22" s="4">
        <f t="shared" si="3"/>
        <v>1.3174405128870295E-2</v>
      </c>
      <c r="J22" s="4">
        <f t="shared" si="7"/>
        <v>0.88804783116443498</v>
      </c>
    </row>
    <row r="23" spans="2:10" x14ac:dyDescent="0.25">
      <c r="B23">
        <v>20</v>
      </c>
      <c r="C23" s="4"/>
      <c r="D23" s="4"/>
      <c r="E23" s="4"/>
      <c r="F23" s="4"/>
      <c r="G23" s="4">
        <f t="shared" si="2"/>
        <v>1.3897614826220085E-2</v>
      </c>
      <c r="H23" s="4">
        <f t="shared" si="6"/>
        <v>1</v>
      </c>
      <c r="I23" s="4">
        <f t="shared" si="3"/>
        <v>1.2515684872426779E-2</v>
      </c>
      <c r="J23" s="4">
        <f t="shared" si="7"/>
        <v>0.9005635160368618</v>
      </c>
    </row>
    <row r="24" spans="2:10" x14ac:dyDescent="0.25">
      <c r="B24">
        <v>21</v>
      </c>
      <c r="C24" s="4"/>
      <c r="D24" s="4"/>
      <c r="E24" s="4"/>
      <c r="F24" s="4"/>
      <c r="G24" s="4"/>
      <c r="H24" s="4"/>
      <c r="I24" s="4">
        <f t="shared" si="3"/>
        <v>1.1919699878501696E-2</v>
      </c>
      <c r="J24" s="4">
        <f t="shared" si="7"/>
        <v>0.91248321591536352</v>
      </c>
    </row>
    <row r="25" spans="2:10" x14ac:dyDescent="0.25">
      <c r="B25">
        <v>22</v>
      </c>
      <c r="C25" s="4"/>
      <c r="D25" s="4"/>
      <c r="E25" s="4"/>
      <c r="F25" s="4"/>
      <c r="G25" s="4"/>
      <c r="H25" s="4"/>
      <c r="I25" s="4">
        <f t="shared" si="3"/>
        <v>1.13778953385698E-2</v>
      </c>
      <c r="J25" s="4">
        <f t="shared" si="7"/>
        <v>0.92386111125393333</v>
      </c>
    </row>
    <row r="26" spans="2:10" x14ac:dyDescent="0.25">
      <c r="B26">
        <v>23</v>
      </c>
      <c r="C26" s="4"/>
      <c r="D26" s="4"/>
      <c r="E26" s="4"/>
      <c r="F26" s="4"/>
      <c r="G26" s="4"/>
      <c r="H26" s="4"/>
      <c r="I26" s="4">
        <f t="shared" si="3"/>
        <v>1.0883204236892851E-2</v>
      </c>
      <c r="J26" s="4">
        <f t="shared" si="7"/>
        <v>0.93474431549082615</v>
      </c>
    </row>
    <row r="27" spans="2:10" x14ac:dyDescent="0.25">
      <c r="B27">
        <v>24</v>
      </c>
      <c r="C27" s="4"/>
      <c r="D27" s="4"/>
      <c r="E27" s="4"/>
      <c r="F27" s="4"/>
      <c r="G27" s="4"/>
      <c r="H27" s="4"/>
      <c r="I27" s="4">
        <f t="shared" si="3"/>
        <v>1.0429737393688984E-2</v>
      </c>
      <c r="J27" s="4">
        <f t="shared" si="7"/>
        <v>0.94517405288451517</v>
      </c>
    </row>
    <row r="28" spans="2:10" x14ac:dyDescent="0.25">
      <c r="B28">
        <v>25</v>
      </c>
      <c r="C28" s="4"/>
      <c r="D28" s="4"/>
      <c r="E28" s="4"/>
      <c r="F28" s="4"/>
      <c r="G28" s="4"/>
      <c r="H28" s="4"/>
      <c r="I28" s="4">
        <f t="shared" si="3"/>
        <v>1.0012547897941424E-2</v>
      </c>
      <c r="J28" s="4">
        <f t="shared" si="7"/>
        <v>0.95518660078245654</v>
      </c>
    </row>
    <row r="29" spans="2:10" x14ac:dyDescent="0.25">
      <c r="B29">
        <v>26</v>
      </c>
      <c r="C29" s="4"/>
      <c r="D29" s="4"/>
      <c r="E29" s="4"/>
      <c r="F29" s="4"/>
      <c r="G29" s="4"/>
      <c r="H29" s="4"/>
      <c r="I29" s="4">
        <f t="shared" si="3"/>
        <v>9.6274499018667546E-3</v>
      </c>
      <c r="J29" s="4">
        <f t="shared" si="7"/>
        <v>0.96481405068432324</v>
      </c>
    </row>
    <row r="30" spans="2:10" x14ac:dyDescent="0.25">
      <c r="B30">
        <v>27</v>
      </c>
      <c r="C30" s="4"/>
      <c r="D30" s="4"/>
      <c r="E30" s="4"/>
      <c r="F30" s="4"/>
      <c r="G30" s="4"/>
      <c r="H30" s="4"/>
      <c r="I30" s="4">
        <f t="shared" si="3"/>
        <v>9.2708776832790968E-3</v>
      </c>
      <c r="J30" s="4">
        <f t="shared" si="7"/>
        <v>0.9740849283676023</v>
      </c>
    </row>
    <row r="31" spans="2:10" x14ac:dyDescent="0.25">
      <c r="B31">
        <v>28</v>
      </c>
      <c r="C31" s="4"/>
      <c r="D31" s="4"/>
      <c r="E31" s="4"/>
      <c r="F31" s="4"/>
      <c r="G31" s="4"/>
      <c r="H31" s="4"/>
      <c r="I31" s="4">
        <f t="shared" si="3"/>
        <v>8.9397749088762721E-3</v>
      </c>
      <c r="J31" s="4">
        <f t="shared" si="7"/>
        <v>0.98302470327647862</v>
      </c>
    </row>
    <row r="32" spans="2:10" x14ac:dyDescent="0.25">
      <c r="B32">
        <v>29</v>
      </c>
      <c r="C32" s="4"/>
      <c r="D32" s="4"/>
      <c r="E32" s="4"/>
      <c r="F32" s="4"/>
      <c r="G32" s="4"/>
      <c r="H32" s="4"/>
      <c r="I32" s="4">
        <f t="shared" si="3"/>
        <v>8.6315068085701923E-3</v>
      </c>
      <c r="J32" s="4">
        <f t="shared" si="7"/>
        <v>0.99165621008504878</v>
      </c>
    </row>
    <row r="33" spans="2:10" x14ac:dyDescent="0.25">
      <c r="B33">
        <v>30</v>
      </c>
      <c r="C33" s="3"/>
      <c r="D33" s="3"/>
      <c r="E33" s="3"/>
      <c r="F33" s="3"/>
      <c r="G33" s="3"/>
      <c r="H33" s="3"/>
      <c r="I33" s="4">
        <f t="shared" si="3"/>
        <v>8.3437899149511868E-3</v>
      </c>
      <c r="J33" s="4">
        <f t="shared" si="7"/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J33"/>
  <sheetViews>
    <sheetView tabSelected="1" zoomScaleNormal="100" workbookViewId="0">
      <selection activeCell="B3" sqref="B3"/>
    </sheetView>
  </sheetViews>
  <sheetFormatPr defaultRowHeight="15" x14ac:dyDescent="0.25"/>
  <sheetData>
    <row r="1" spans="1:10" x14ac:dyDescent="0.25">
      <c r="A1" t="s">
        <v>6</v>
      </c>
      <c r="B1" t="s">
        <v>5</v>
      </c>
      <c r="C1" t="s">
        <v>3</v>
      </c>
      <c r="D1" t="s">
        <v>4</v>
      </c>
      <c r="E1" t="s">
        <v>3</v>
      </c>
      <c r="F1" t="s">
        <v>4</v>
      </c>
      <c r="G1" t="s">
        <v>3</v>
      </c>
      <c r="H1" t="s">
        <v>4</v>
      </c>
      <c r="I1" t="s">
        <v>3</v>
      </c>
      <c r="J1" t="s">
        <v>4</v>
      </c>
    </row>
    <row r="2" spans="1:10" x14ac:dyDescent="0.25">
      <c r="A2">
        <v>4</v>
      </c>
      <c r="B2" s="1">
        <v>0.5</v>
      </c>
      <c r="C2">
        <v>3</v>
      </c>
      <c r="D2">
        <f>calcAinv2(C2,$B$2)</f>
        <v>0.43774077513750309</v>
      </c>
      <c r="E2">
        <v>10</v>
      </c>
      <c r="F2">
        <f>calcAinv2(E2,$B$2)</f>
        <v>0.19916359657128618</v>
      </c>
      <c r="G2">
        <v>20</v>
      </c>
      <c r="H2">
        <f>calcAinv2(G2,$B$2)</f>
        <v>0.13166114852895808</v>
      </c>
      <c r="I2">
        <v>30</v>
      </c>
      <c r="J2">
        <f>calcAinv2(I2,$B$2)</f>
        <v>0.10432826488324103</v>
      </c>
    </row>
    <row r="3" spans="1:10" x14ac:dyDescent="0.25">
      <c r="A3" t="s">
        <v>7</v>
      </c>
      <c r="B3" t="s">
        <v>0</v>
      </c>
      <c r="C3" t="s">
        <v>1</v>
      </c>
      <c r="D3" s="2" t="s">
        <v>2</v>
      </c>
      <c r="E3" t="s">
        <v>1</v>
      </c>
      <c r="F3" s="2" t="s">
        <v>2</v>
      </c>
      <c r="G3" t="s">
        <v>1</v>
      </c>
      <c r="H3" s="2" t="s">
        <v>2</v>
      </c>
      <c r="I3" t="s">
        <v>1</v>
      </c>
      <c r="J3" s="2" t="s">
        <v>2</v>
      </c>
    </row>
    <row r="4" spans="1:10" x14ac:dyDescent="0.25">
      <c r="A4">
        <v>0.2</v>
      </c>
      <c r="B4">
        <v>1</v>
      </c>
      <c r="C4" s="4">
        <f>$D$2/(B4^$B$2)</f>
        <v>0.43774077513750309</v>
      </c>
      <c r="D4" s="4">
        <f>C4</f>
        <v>0.43774077513750309</v>
      </c>
      <c r="E4" s="4">
        <f>F$2/($B4^$B$2)</f>
        <v>0.19916359657128618</v>
      </c>
      <c r="F4" s="4">
        <f>E4</f>
        <v>0.19916359657128618</v>
      </c>
      <c r="G4" s="4">
        <f>H$2/($B4^$B$2)</f>
        <v>0.13166114852895808</v>
      </c>
      <c r="H4" s="4">
        <f>G4</f>
        <v>0.13166114852895808</v>
      </c>
      <c r="I4" s="4">
        <f>J$2/($B4^$B$2)</f>
        <v>0.10432826488324103</v>
      </c>
      <c r="J4" s="4">
        <f>I4</f>
        <v>0.10432826488324103</v>
      </c>
    </row>
    <row r="5" spans="1:10" x14ac:dyDescent="0.25">
      <c r="A5" t="s">
        <v>8</v>
      </c>
      <c r="B5">
        <v>2</v>
      </c>
      <c r="C5" s="4">
        <f t="shared" ref="C5:C6" si="0">$D$2/(B5^$B$2)</f>
        <v>0.30952947050158408</v>
      </c>
      <c r="D5" s="4">
        <f>C5+D4</f>
        <v>0.74727024563908717</v>
      </c>
      <c r="E5" s="4">
        <f t="shared" ref="E5:E13" si="1">F$2/($B5^$B$2)</f>
        <v>0.14082992970105829</v>
      </c>
      <c r="F5" s="4">
        <f>E5+F4</f>
        <v>0.33999352627234447</v>
      </c>
      <c r="G5" s="4">
        <f t="shared" ref="G5:G23" si="2">H$2/($B5^$B$2)</f>
        <v>9.3098490943635481E-2</v>
      </c>
      <c r="H5" s="4">
        <f>G5+H4</f>
        <v>0.22475963947259356</v>
      </c>
      <c r="I5" s="4">
        <f t="shared" ref="I5:I33" si="3">J$2/($B5^$B$2)</f>
        <v>7.3771223568366073E-2</v>
      </c>
      <c r="J5" s="4">
        <f>I5+J4</f>
        <v>0.17809948845160711</v>
      </c>
    </row>
    <row r="6" spans="1:10" x14ac:dyDescent="0.25">
      <c r="A6">
        <f>A2/A4</f>
        <v>20</v>
      </c>
      <c r="B6">
        <v>3</v>
      </c>
      <c r="C6" s="4">
        <f t="shared" si="0"/>
        <v>0.25272975436091288</v>
      </c>
      <c r="D6" s="4">
        <f t="shared" ref="D6" si="4">C6+D5</f>
        <v>1</v>
      </c>
      <c r="E6" s="4">
        <f t="shared" si="1"/>
        <v>0.11498715609320612</v>
      </c>
      <c r="F6" s="4">
        <f t="shared" ref="F6:F13" si="5">E6+F5</f>
        <v>0.45498068236555056</v>
      </c>
      <c r="G6" s="4">
        <f t="shared" si="2"/>
        <v>7.6014599545009248E-2</v>
      </c>
      <c r="H6" s="4">
        <f t="shared" ref="H6:H23" si="6">G6+H5</f>
        <v>0.30077423901760281</v>
      </c>
      <c r="I6" s="4">
        <f t="shared" si="3"/>
        <v>6.0233951814425792E-2</v>
      </c>
      <c r="J6" s="4">
        <f t="shared" ref="J6:J33" si="7">I6+J5</f>
        <v>0.2383334402660329</v>
      </c>
    </row>
    <row r="7" spans="1:10" x14ac:dyDescent="0.25">
      <c r="B7">
        <v>4</v>
      </c>
      <c r="C7" s="4"/>
      <c r="D7" s="4"/>
      <c r="E7" s="4">
        <f t="shared" si="1"/>
        <v>9.9581798285643092E-2</v>
      </c>
      <c r="F7" s="4">
        <f t="shared" si="5"/>
        <v>0.55456248065119362</v>
      </c>
      <c r="G7" s="4">
        <f t="shared" si="2"/>
        <v>6.5830574264479039E-2</v>
      </c>
      <c r="H7" s="4">
        <f t="shared" si="6"/>
        <v>0.36660481328208183</v>
      </c>
      <c r="I7" s="4">
        <f t="shared" si="3"/>
        <v>5.2164132441620513E-2</v>
      </c>
      <c r="J7" s="4">
        <f t="shared" si="7"/>
        <v>0.29049757270765342</v>
      </c>
    </row>
    <row r="8" spans="1:10" x14ac:dyDescent="0.25">
      <c r="B8">
        <v>5</v>
      </c>
      <c r="C8" s="4"/>
      <c r="D8" s="4"/>
      <c r="E8" s="4">
        <f t="shared" si="1"/>
        <v>8.9068668115347985E-2</v>
      </c>
      <c r="F8" s="4">
        <f t="shared" si="5"/>
        <v>0.64363114876654159</v>
      </c>
      <c r="G8" s="4">
        <f t="shared" si="2"/>
        <v>5.8880655621289336E-2</v>
      </c>
      <c r="H8" s="4">
        <f t="shared" si="6"/>
        <v>0.42548546890337119</v>
      </c>
      <c r="I8" s="4">
        <f t="shared" si="3"/>
        <v>4.6657018450706217E-2</v>
      </c>
      <c r="J8" s="4">
        <f t="shared" si="7"/>
        <v>0.33715459115835966</v>
      </c>
    </row>
    <row r="9" spans="1:10" x14ac:dyDescent="0.25">
      <c r="B9">
        <v>6</v>
      </c>
      <c r="C9" s="4"/>
      <c r="D9" s="4"/>
      <c r="E9" s="4">
        <f t="shared" si="1"/>
        <v>8.1308197822862083E-2</v>
      </c>
      <c r="F9" s="4">
        <f t="shared" si="5"/>
        <v>0.72493934658940362</v>
      </c>
      <c r="G9" s="4">
        <f t="shared" si="2"/>
        <v>5.3750438807455891E-2</v>
      </c>
      <c r="H9" s="4">
        <f t="shared" si="6"/>
        <v>0.47923590771082708</v>
      </c>
      <c r="I9" s="4">
        <f t="shared" si="3"/>
        <v>4.2591835785644225E-2</v>
      </c>
      <c r="J9" s="4">
        <f t="shared" si="7"/>
        <v>0.3797464269440039</v>
      </c>
    </row>
    <row r="10" spans="1:10" x14ac:dyDescent="0.25">
      <c r="B10">
        <v>7</v>
      </c>
      <c r="C10" s="4"/>
      <c r="D10" s="4"/>
      <c r="E10" s="4">
        <f t="shared" si="1"/>
        <v>7.5276763820688514E-2</v>
      </c>
      <c r="F10" s="4">
        <f t="shared" si="5"/>
        <v>0.80021611041009211</v>
      </c>
      <c r="G10" s="4">
        <f t="shared" si="2"/>
        <v>4.9763236619537229E-2</v>
      </c>
      <c r="H10" s="4">
        <f t="shared" si="6"/>
        <v>0.52899914433036432</v>
      </c>
      <c r="I10" s="4">
        <f t="shared" si="3"/>
        <v>3.9432377656561261E-2</v>
      </c>
      <c r="J10" s="4">
        <f t="shared" si="7"/>
        <v>0.41917880460056517</v>
      </c>
    </row>
    <row r="11" spans="1:10" x14ac:dyDescent="0.25">
      <c r="B11">
        <v>8</v>
      </c>
      <c r="C11" s="4"/>
      <c r="D11" s="4"/>
      <c r="E11" s="4">
        <f t="shared" si="1"/>
        <v>7.0414964850529144E-2</v>
      </c>
      <c r="F11" s="4">
        <f t="shared" si="5"/>
        <v>0.87063107526062122</v>
      </c>
      <c r="G11" s="4">
        <f t="shared" si="2"/>
        <v>4.6549245471817741E-2</v>
      </c>
      <c r="H11" s="4">
        <f t="shared" si="6"/>
        <v>0.57554838980218204</v>
      </c>
      <c r="I11" s="4">
        <f t="shared" si="3"/>
        <v>3.6885611784183037E-2</v>
      </c>
      <c r="J11" s="4">
        <f t="shared" si="7"/>
        <v>0.45606441638474821</v>
      </c>
    </row>
    <row r="12" spans="1:10" x14ac:dyDescent="0.25">
      <c r="B12">
        <v>9</v>
      </c>
      <c r="C12" s="4"/>
      <c r="D12" s="4"/>
      <c r="E12" s="4">
        <f t="shared" si="1"/>
        <v>6.6387865523762066E-2</v>
      </c>
      <c r="F12" s="4">
        <f t="shared" si="5"/>
        <v>0.9370189407843833</v>
      </c>
      <c r="G12" s="4">
        <f t="shared" si="2"/>
        <v>4.3887049509652692E-2</v>
      </c>
      <c r="H12" s="4">
        <f t="shared" si="6"/>
        <v>0.61943543931183476</v>
      </c>
      <c r="I12" s="4">
        <f t="shared" si="3"/>
        <v>3.4776088294413678E-2</v>
      </c>
      <c r="J12" s="4">
        <f t="shared" si="7"/>
        <v>0.4908405046791619</v>
      </c>
    </row>
    <row r="13" spans="1:10" x14ac:dyDescent="0.25">
      <c r="B13">
        <v>10</v>
      </c>
      <c r="C13" s="4"/>
      <c r="D13" s="4"/>
      <c r="E13" s="4">
        <f t="shared" si="1"/>
        <v>6.2981059215616586E-2</v>
      </c>
      <c r="F13" s="4">
        <f t="shared" si="5"/>
        <v>0.99999999999999989</v>
      </c>
      <c r="G13" s="4">
        <f t="shared" si="2"/>
        <v>4.1634910870523498E-2</v>
      </c>
      <c r="H13" s="4">
        <f t="shared" si="6"/>
        <v>0.66107035018235827</v>
      </c>
      <c r="I13" s="4">
        <f t="shared" si="3"/>
        <v>3.299149413644023E-2</v>
      </c>
      <c r="J13" s="4">
        <f t="shared" si="7"/>
        <v>0.52383199881560216</v>
      </c>
    </row>
    <row r="14" spans="1:10" x14ac:dyDescent="0.25">
      <c r="B14">
        <v>11</v>
      </c>
      <c r="C14" s="4"/>
      <c r="D14" s="4"/>
      <c r="E14" s="4"/>
      <c r="F14" s="4"/>
      <c r="G14" s="4">
        <f t="shared" si="2"/>
        <v>3.9697329921618799E-2</v>
      </c>
      <c r="H14" s="4">
        <f t="shared" si="6"/>
        <v>0.70076768010397705</v>
      </c>
      <c r="I14" s="4">
        <f t="shared" si="3"/>
        <v>3.1456155422411085E-2</v>
      </c>
      <c r="J14" s="4">
        <f t="shared" si="7"/>
        <v>0.55528815423801325</v>
      </c>
    </row>
    <row r="15" spans="1:10" x14ac:dyDescent="0.25">
      <c r="B15">
        <v>12</v>
      </c>
      <c r="C15" s="4"/>
      <c r="D15" s="4"/>
      <c r="E15" s="4"/>
      <c r="F15" s="4"/>
      <c r="G15" s="4">
        <f t="shared" si="2"/>
        <v>3.8007299772504624E-2</v>
      </c>
      <c r="H15" s="4">
        <f t="shared" si="6"/>
        <v>0.73877497987648166</v>
      </c>
      <c r="I15" s="4">
        <f t="shared" si="3"/>
        <v>3.0116975907212896E-2</v>
      </c>
      <c r="J15" s="4">
        <f t="shared" si="7"/>
        <v>0.5854051301452261</v>
      </c>
    </row>
    <row r="16" spans="1:10" x14ac:dyDescent="0.25">
      <c r="B16">
        <v>13</v>
      </c>
      <c r="C16" s="4"/>
      <c r="D16" s="4"/>
      <c r="E16" s="4"/>
      <c r="F16" s="4"/>
      <c r="G16" s="4">
        <f t="shared" si="2"/>
        <v>3.6516232462126041E-2</v>
      </c>
      <c r="H16" s="4">
        <f t="shared" si="6"/>
        <v>0.77529121233860776</v>
      </c>
      <c r="I16" s="4">
        <f t="shared" si="3"/>
        <v>2.8935454501285741E-2</v>
      </c>
      <c r="J16" s="4">
        <f t="shared" si="7"/>
        <v>0.61434058464651187</v>
      </c>
    </row>
    <row r="17" spans="2:10" x14ac:dyDescent="0.25">
      <c r="B17">
        <v>14</v>
      </c>
      <c r="C17" s="4"/>
      <c r="D17" s="4"/>
      <c r="E17" s="4"/>
      <c r="F17" s="4"/>
      <c r="G17" s="4">
        <f t="shared" si="2"/>
        <v>3.5187922067465502E-2</v>
      </c>
      <c r="H17" s="4">
        <f t="shared" si="6"/>
        <v>0.81047913440607322</v>
      </c>
      <c r="I17" s="4">
        <f t="shared" si="3"/>
        <v>2.788290163926337E-2</v>
      </c>
      <c r="J17" s="4">
        <f t="shared" si="7"/>
        <v>0.64222348628577519</v>
      </c>
    </row>
    <row r="18" spans="2:10" x14ac:dyDescent="0.25">
      <c r="B18">
        <v>15</v>
      </c>
      <c r="C18" s="4"/>
      <c r="D18" s="4"/>
      <c r="E18" s="4"/>
      <c r="F18" s="4"/>
      <c r="G18" s="4">
        <f t="shared" si="2"/>
        <v>3.3994762373013049E-2</v>
      </c>
      <c r="H18" s="4">
        <f t="shared" si="6"/>
        <v>0.84447389677908624</v>
      </c>
      <c r="I18" s="4">
        <f t="shared" si="3"/>
        <v>2.6937442162100571E-2</v>
      </c>
      <c r="J18" s="4">
        <f t="shared" si="7"/>
        <v>0.66916092844787578</v>
      </c>
    </row>
    <row r="19" spans="2:10" x14ac:dyDescent="0.25">
      <c r="B19">
        <v>16</v>
      </c>
      <c r="C19" s="4"/>
      <c r="D19" s="4"/>
      <c r="E19" s="4"/>
      <c r="F19" s="4"/>
      <c r="G19" s="4">
        <f t="shared" si="2"/>
        <v>3.2915287132239519E-2</v>
      </c>
      <c r="H19" s="4">
        <f t="shared" si="6"/>
        <v>0.87738918391132581</v>
      </c>
      <c r="I19" s="4">
        <f t="shared" si="3"/>
        <v>2.6082066220810256E-2</v>
      </c>
      <c r="J19" s="4">
        <f t="shared" si="7"/>
        <v>0.695242994668686</v>
      </c>
    </row>
    <row r="20" spans="2:10" x14ac:dyDescent="0.25">
      <c r="B20">
        <v>17</v>
      </c>
      <c r="C20" s="4"/>
      <c r="D20" s="4"/>
      <c r="E20" s="4"/>
      <c r="F20" s="4"/>
      <c r="G20" s="4">
        <f t="shared" si="2"/>
        <v>3.1932518951472318E-2</v>
      </c>
      <c r="H20" s="4">
        <f t="shared" si="6"/>
        <v>0.90932170286279812</v>
      </c>
      <c r="I20" s="4">
        <f t="shared" si="3"/>
        <v>2.530332093241297E-2</v>
      </c>
      <c r="J20" s="4">
        <f t="shared" si="7"/>
        <v>0.72054631560109894</v>
      </c>
    </row>
    <row r="21" spans="2:10" x14ac:dyDescent="0.25">
      <c r="B21">
        <v>18</v>
      </c>
      <c r="C21" s="4"/>
      <c r="D21" s="4"/>
      <c r="E21" s="4"/>
      <c r="F21" s="4"/>
      <c r="G21" s="4">
        <f t="shared" si="2"/>
        <v>3.1032830314545169E-2</v>
      </c>
      <c r="H21" s="4">
        <f t="shared" si="6"/>
        <v>0.9403545331773433</v>
      </c>
      <c r="I21" s="4">
        <f t="shared" si="3"/>
        <v>2.4590407856122029E-2</v>
      </c>
      <c r="J21" s="4">
        <f t="shared" si="7"/>
        <v>0.74513672345722093</v>
      </c>
    </row>
    <row r="22" spans="2:10" x14ac:dyDescent="0.25">
      <c r="B22">
        <v>19</v>
      </c>
      <c r="C22" s="4"/>
      <c r="D22" s="4"/>
      <c r="E22" s="4"/>
      <c r="F22" s="4"/>
      <c r="G22" s="4">
        <f t="shared" si="2"/>
        <v>3.0205139012011949E-2</v>
      </c>
      <c r="H22" s="4">
        <f t="shared" si="6"/>
        <v>0.97055967218935524</v>
      </c>
      <c r="I22" s="4">
        <f t="shared" si="3"/>
        <v>2.3934545451631095E-2</v>
      </c>
      <c r="J22" s="4">
        <f t="shared" si="7"/>
        <v>0.76907126890885202</v>
      </c>
    </row>
    <row r="23" spans="2:10" x14ac:dyDescent="0.25">
      <c r="B23">
        <v>20</v>
      </c>
      <c r="C23" s="4"/>
      <c r="D23" s="4"/>
      <c r="E23" s="4"/>
      <c r="F23" s="4"/>
      <c r="G23" s="4">
        <f t="shared" si="2"/>
        <v>2.9440327810644668E-2</v>
      </c>
      <c r="H23" s="4">
        <f t="shared" si="6"/>
        <v>0.99999999999999989</v>
      </c>
      <c r="I23" s="4">
        <f t="shared" si="3"/>
        <v>2.3328509225353108E-2</v>
      </c>
      <c r="J23" s="4">
        <f t="shared" si="7"/>
        <v>0.79239977813420515</v>
      </c>
    </row>
    <row r="24" spans="2:10" x14ac:dyDescent="0.25">
      <c r="B24">
        <v>21</v>
      </c>
      <c r="C24" s="4"/>
      <c r="D24" s="4"/>
      <c r="E24" s="4"/>
      <c r="F24" s="4"/>
      <c r="G24" s="4"/>
      <c r="H24" s="4"/>
      <c r="I24" s="4">
        <f t="shared" si="3"/>
        <v>2.2766293854802628E-2</v>
      </c>
      <c r="J24" s="4">
        <f t="shared" si="7"/>
        <v>0.81516607198900781</v>
      </c>
    </row>
    <row r="25" spans="2:10" x14ac:dyDescent="0.25">
      <c r="B25">
        <v>22</v>
      </c>
      <c r="C25" s="4"/>
      <c r="D25" s="4"/>
      <c r="E25" s="4"/>
      <c r="F25" s="4"/>
      <c r="G25" s="4"/>
      <c r="H25" s="4"/>
      <c r="I25" s="4">
        <f t="shared" si="3"/>
        <v>2.2242860809244862E-2</v>
      </c>
      <c r="J25" s="4">
        <f t="shared" si="7"/>
        <v>0.83740893279825268</v>
      </c>
    </row>
    <row r="26" spans="2:10" x14ac:dyDescent="0.25">
      <c r="B26">
        <v>23</v>
      </c>
      <c r="C26" s="4"/>
      <c r="D26" s="4"/>
      <c r="E26" s="4"/>
      <c r="F26" s="4"/>
      <c r="G26" s="4"/>
      <c r="H26" s="4"/>
      <c r="I26" s="4">
        <f t="shared" si="3"/>
        <v>2.1753947021720295E-2</v>
      </c>
      <c r="J26" s="4">
        <f t="shared" si="7"/>
        <v>0.85916287981997297</v>
      </c>
    </row>
    <row r="27" spans="2:10" x14ac:dyDescent="0.25">
      <c r="B27">
        <v>24</v>
      </c>
      <c r="C27" s="4"/>
      <c r="D27" s="4"/>
      <c r="E27" s="4"/>
      <c r="F27" s="4"/>
      <c r="G27" s="4"/>
      <c r="H27" s="4"/>
      <c r="I27" s="4">
        <f t="shared" si="3"/>
        <v>2.1295917892822112E-2</v>
      </c>
      <c r="J27" s="4">
        <f t="shared" si="7"/>
        <v>0.88045879771279512</v>
      </c>
    </row>
    <row r="28" spans="2:10" x14ac:dyDescent="0.25">
      <c r="B28">
        <v>25</v>
      </c>
      <c r="C28" s="4"/>
      <c r="D28" s="4"/>
      <c r="E28" s="4"/>
      <c r="F28" s="4"/>
      <c r="G28" s="4"/>
      <c r="H28" s="4"/>
      <c r="I28" s="4">
        <f t="shared" si="3"/>
        <v>2.0865652976648205E-2</v>
      </c>
      <c r="J28" s="4">
        <f t="shared" si="7"/>
        <v>0.90132445068944333</v>
      </c>
    </row>
    <row r="29" spans="2:10" x14ac:dyDescent="0.25">
      <c r="B29">
        <v>26</v>
      </c>
      <c r="C29" s="4"/>
      <c r="D29" s="4"/>
      <c r="E29" s="4"/>
      <c r="F29" s="4"/>
      <c r="G29" s="4"/>
      <c r="H29" s="4"/>
      <c r="I29" s="4">
        <f t="shared" si="3"/>
        <v>2.0460456094573958E-2</v>
      </c>
      <c r="J29" s="4">
        <f t="shared" si="7"/>
        <v>0.92178490678401725</v>
      </c>
    </row>
    <row r="30" spans="2:10" x14ac:dyDescent="0.25">
      <c r="B30">
        <v>27</v>
      </c>
      <c r="C30" s="4"/>
      <c r="D30" s="4"/>
      <c r="E30" s="4"/>
      <c r="F30" s="4"/>
      <c r="G30" s="4"/>
      <c r="H30" s="4"/>
      <c r="I30" s="4">
        <f t="shared" si="3"/>
        <v>2.0077983938141929E-2</v>
      </c>
      <c r="J30" s="4">
        <f t="shared" si="7"/>
        <v>0.94186289072215923</v>
      </c>
    </row>
    <row r="31" spans="2:10" x14ac:dyDescent="0.25">
      <c r="B31">
        <v>28</v>
      </c>
      <c r="C31" s="4"/>
      <c r="D31" s="4"/>
      <c r="E31" s="4"/>
      <c r="F31" s="4"/>
      <c r="G31" s="4"/>
      <c r="H31" s="4"/>
      <c r="I31" s="4">
        <f t="shared" si="3"/>
        <v>1.9716188828280631E-2</v>
      </c>
      <c r="J31" s="4">
        <f t="shared" si="7"/>
        <v>0.96157907955043986</v>
      </c>
    </row>
    <row r="32" spans="2:10" x14ac:dyDescent="0.25">
      <c r="B32">
        <v>29</v>
      </c>
      <c r="C32" s="4"/>
      <c r="D32" s="4"/>
      <c r="E32" s="4"/>
      <c r="F32" s="4"/>
      <c r="G32" s="4"/>
      <c r="H32" s="4"/>
      <c r="I32" s="4">
        <f t="shared" si="3"/>
        <v>1.9373272428918488E-2</v>
      </c>
      <c r="J32" s="4">
        <f t="shared" si="7"/>
        <v>0.98095235197935837</v>
      </c>
    </row>
    <row r="33" spans="2:10" x14ac:dyDescent="0.25">
      <c r="B33">
        <v>30</v>
      </c>
      <c r="C33" s="3"/>
      <c r="D33" s="3"/>
      <c r="E33" s="3"/>
      <c r="F33" s="3"/>
      <c r="G33" s="3"/>
      <c r="H33" s="3"/>
      <c r="I33" s="4">
        <f t="shared" si="3"/>
        <v>1.9047648020641728E-2</v>
      </c>
      <c r="J33" s="4">
        <f t="shared" si="7"/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exp</vt:lpstr>
      <vt:lpstr>inversa</vt:lpstr>
      <vt:lpstr>inversa (2)</vt:lpstr>
    </vt:vector>
  </TitlesOfParts>
  <Company>Petrobras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</dc:creator>
  <cp:lastModifiedBy>Diego Telles Fernandes</cp:lastModifiedBy>
  <dcterms:created xsi:type="dcterms:W3CDTF">2018-01-30T14:56:58Z</dcterms:created>
  <dcterms:modified xsi:type="dcterms:W3CDTF">2018-02-27T21:24:25Z</dcterms:modified>
</cp:coreProperties>
</file>