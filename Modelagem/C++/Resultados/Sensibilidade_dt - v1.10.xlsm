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V:\SRGE_ERGE_FCDS_CDS\NP-2\Tecnologia_de_Coque\P&amp;D\Processos\Resfriamento e Aquecimento dos Tambores\Modelagem\C++\Resultados\"/>
    </mc:Choice>
  </mc:AlternateContent>
  <bookViews>
    <workbookView xWindow="0" yWindow="0" windowWidth="21600" windowHeight="10185" tabRatio="781"/>
  </bookViews>
  <sheets>
    <sheet name="variando dt" sheetId="28" r:id="rId1"/>
    <sheet name="REFAP dt 200" sheetId="65" r:id="rId2"/>
    <sheet name="REFAP dt 100" sheetId="64" r:id="rId3"/>
    <sheet name="REFAP dt 50" sheetId="63" r:id="rId4"/>
    <sheet name="REFAP dt 20" sheetId="62" r:id="rId5"/>
    <sheet name="REFAP dt 10" sheetId="61" r:id="rId6"/>
    <sheet name="REFAP dt 5" sheetId="36" r:id="rId7"/>
    <sheet name="REFAP dt 2" sheetId="66" r:id="rId8"/>
    <sheet name="REFAP dt 1" sheetId="67" r:id="rId9"/>
  </sheets>
  <calcPr calcId="162913"/>
</workbook>
</file>

<file path=xl/calcChain.xml><?xml version="1.0" encoding="utf-8"?>
<calcChain xmlns="http://schemas.openxmlformats.org/spreadsheetml/2006/main">
  <c r="S27" i="67" l="1"/>
  <c r="S26" i="67"/>
  <c r="S27" i="66"/>
  <c r="S26" i="66"/>
  <c r="S27" i="61"/>
  <c r="S26" i="61"/>
  <c r="S27" i="62"/>
  <c r="S26" i="62"/>
  <c r="S27" i="63"/>
  <c r="S26" i="63"/>
  <c r="S27" i="64"/>
  <c r="S26" i="64"/>
  <c r="S23" i="64"/>
  <c r="S26" i="65"/>
  <c r="S24" i="65"/>
  <c r="S23" i="65"/>
  <c r="S21" i="65"/>
  <c r="S22" i="65"/>
  <c r="S26" i="36"/>
  <c r="S22" i="36"/>
  <c r="S25" i="36" s="1"/>
  <c r="S24" i="36"/>
  <c r="S23" i="36"/>
  <c r="S21" i="36"/>
  <c r="S27" i="36"/>
  <c r="S28" i="67" l="1"/>
  <c r="S24" i="67"/>
  <c r="S23" i="67"/>
  <c r="S22" i="67"/>
  <c r="S25" i="67" s="1"/>
  <c r="S21" i="67"/>
  <c r="S28" i="66"/>
  <c r="S24" i="66"/>
  <c r="S23" i="66"/>
  <c r="S22" i="66"/>
  <c r="S25" i="66" s="1"/>
  <c r="S21" i="66"/>
  <c r="S27" i="65"/>
  <c r="S28" i="65" s="1"/>
  <c r="S28" i="64"/>
  <c r="S24" i="64"/>
  <c r="S22" i="64"/>
  <c r="S25" i="64" s="1"/>
  <c r="S21" i="64"/>
  <c r="S28" i="63"/>
  <c r="S24" i="63"/>
  <c r="S23" i="63"/>
  <c r="S22" i="63"/>
  <c r="S21" i="63"/>
  <c r="S28" i="62"/>
  <c r="S24" i="62"/>
  <c r="S23" i="62"/>
  <c r="S22" i="62"/>
  <c r="S25" i="62" s="1"/>
  <c r="S21" i="62"/>
  <c r="S28" i="61"/>
  <c r="S24" i="61"/>
  <c r="S23" i="61"/>
  <c r="S22" i="61"/>
  <c r="S21" i="61"/>
  <c r="S25" i="65" l="1"/>
  <c r="S25" i="63"/>
  <c r="S25" i="61"/>
  <c r="S28" i="36"/>
</calcChain>
</file>

<file path=xl/sharedStrings.xml><?xml version="1.0" encoding="utf-8"?>
<sst xmlns="http://schemas.openxmlformats.org/spreadsheetml/2006/main" count="907" uniqueCount="58">
  <si>
    <t>Função</t>
  </si>
  <si>
    <t>objetivo</t>
  </si>
  <si>
    <t>mínima:</t>
  </si>
  <si>
    <t>Parâmetros</t>
  </si>
  <si>
    <t>Dp</t>
  </si>
  <si>
    <t>=</t>
  </si>
  <si>
    <t>Le</t>
  </si>
  <si>
    <t>zd</t>
  </si>
  <si>
    <t>psi</t>
  </si>
  <si>
    <t>mhc</t>
  </si>
  <si>
    <t>mhl</t>
  </si>
  <si>
    <t>mhe</t>
  </si>
  <si>
    <t>de</t>
  </si>
  <si>
    <t>t(min)</t>
  </si>
  <si>
    <t>Tvap(°C)</t>
  </si>
  <si>
    <t>TckIn(°C)</t>
  </si>
  <si>
    <t>TckSld(°C)</t>
  </si>
  <si>
    <t>TckOut(°C)</t>
  </si>
  <si>
    <t>Mvap(t/h)</t>
  </si>
  <si>
    <t>Nivel(m)</t>
  </si>
  <si>
    <t>TspSld(°C)</t>
  </si>
  <si>
    <t>Pico</t>
  </si>
  <si>
    <t>vazao</t>
  </si>
  <si>
    <t>vapor</t>
  </si>
  <si>
    <t>[t/h]</t>
  </si>
  <si>
    <t>Agua</t>
  </si>
  <si>
    <t>total</t>
  </si>
  <si>
    <t>adicionada</t>
  </si>
  <si>
    <t>[kg]</t>
  </si>
  <si>
    <t>Vapor</t>
  </si>
  <si>
    <t>gerado</t>
  </si>
  <si>
    <t>acumulada</t>
  </si>
  <si>
    <t>no</t>
  </si>
  <si>
    <t>leito</t>
  </si>
  <si>
    <t>balanco</t>
  </si>
  <si>
    <t>errobalanco</t>
  </si>
  <si>
    <t>[%]</t>
  </si>
  <si>
    <t>Tempo:</t>
  </si>
  <si>
    <t>s</t>
  </si>
  <si>
    <t>utilizados:</t>
  </si>
  <si>
    <t>dt =</t>
  </si>
  <si>
    <t>dL =</t>
  </si>
  <si>
    <t>m</t>
  </si>
  <si>
    <t>versão =</t>
  </si>
  <si>
    <t>tempo =</t>
  </si>
  <si>
    <t>min</t>
  </si>
  <si>
    <t>t/h</t>
  </si>
  <si>
    <t>pico vaz =</t>
  </si>
  <si>
    <t>Erro Bal =</t>
  </si>
  <si>
    <t>%</t>
  </si>
  <si>
    <t>Agua Adicionada =</t>
  </si>
  <si>
    <t>Vapor gerado =</t>
  </si>
  <si>
    <t>Agua acumulada =</t>
  </si>
  <si>
    <t>Balanço =</t>
  </si>
  <si>
    <t>t</t>
  </si>
  <si>
    <t>TspIn(°C)</t>
  </si>
  <si>
    <t>ResfPSO_v1.10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</si>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</sst>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22" fontId="0" fillId="0" borderId="0" xfId="0" applyNumberFormat="1" applyAlignment="1"/>
    <xf numFmtId="0" fontId="0" fillId="0" borderId="0" xfId="0" applyAlignment="1"/>
    <xf numFmtId="0" fontId="0" fillId="2" borderId="0" xfId="0" applyFill="1"/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right"/>
    </xf>
    <xf numFmtId="22" fontId="0" fillId="0" borderId="0" xfId="0" applyNumberFormat="1" applyAlignment="1">
      <alignment horizontal="center"/>
    </xf>
    <xf numFmtId="167" fontId="0" fillId="0" borderId="0" xfId="1" applyNumberFormat="1" applyFont="1"/>
    <xf numFmtId="2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0"/>
          <c:order val="0"/>
          <c:tx>
            <c:v>TckSld - dt=200</c:v>
          </c:tx>
          <c:spPr>
            <a:ln w="19050"/>
          </c:spPr>
          <c:marker>
            <c:symbol val="none"/>
          </c:marker>
          <c:xVal>
            <c:numRef>
              <c:f>'REFAP dt 200'!$A$33:$A$187</c:f>
              <c:numCache>
                <c:formatCode>0</c:formatCode>
                <c:ptCount val="155"/>
                <c:pt idx="0">
                  <c:v>0</c:v>
                </c:pt>
                <c:pt idx="1">
                  <c:v>3.3333300000000001</c:v>
                </c:pt>
                <c:pt idx="2">
                  <c:v>6.6666699999999999</c:v>
                </c:pt>
                <c:pt idx="3">
                  <c:v>10</c:v>
                </c:pt>
                <c:pt idx="4">
                  <c:v>13.333299999999999</c:v>
                </c:pt>
                <c:pt idx="5">
                  <c:v>16.666699999999999</c:v>
                </c:pt>
                <c:pt idx="6">
                  <c:v>20</c:v>
                </c:pt>
                <c:pt idx="7">
                  <c:v>23.333300000000001</c:v>
                </c:pt>
                <c:pt idx="8">
                  <c:v>26.666699999999999</c:v>
                </c:pt>
                <c:pt idx="9">
                  <c:v>30</c:v>
                </c:pt>
                <c:pt idx="10">
                  <c:v>33.333300000000001</c:v>
                </c:pt>
                <c:pt idx="11">
                  <c:v>36.666699999999999</c:v>
                </c:pt>
                <c:pt idx="12">
                  <c:v>40</c:v>
                </c:pt>
                <c:pt idx="13">
                  <c:v>43.333300000000001</c:v>
                </c:pt>
                <c:pt idx="14">
                  <c:v>46.666699999999999</c:v>
                </c:pt>
                <c:pt idx="15">
                  <c:v>50</c:v>
                </c:pt>
                <c:pt idx="16">
                  <c:v>53.333300000000001</c:v>
                </c:pt>
                <c:pt idx="17">
                  <c:v>56.666699999999999</c:v>
                </c:pt>
                <c:pt idx="18">
                  <c:v>60</c:v>
                </c:pt>
                <c:pt idx="19">
                  <c:v>63.333300000000001</c:v>
                </c:pt>
                <c:pt idx="20">
                  <c:v>66.666700000000006</c:v>
                </c:pt>
                <c:pt idx="21">
                  <c:v>70</c:v>
                </c:pt>
                <c:pt idx="22">
                  <c:v>73.333299999999994</c:v>
                </c:pt>
                <c:pt idx="23">
                  <c:v>76.666700000000006</c:v>
                </c:pt>
                <c:pt idx="24">
                  <c:v>80</c:v>
                </c:pt>
                <c:pt idx="25">
                  <c:v>83.333299999999994</c:v>
                </c:pt>
                <c:pt idx="26">
                  <c:v>86.666700000000006</c:v>
                </c:pt>
                <c:pt idx="27">
                  <c:v>90</c:v>
                </c:pt>
                <c:pt idx="28">
                  <c:v>93.333299999999994</c:v>
                </c:pt>
                <c:pt idx="29">
                  <c:v>96.666700000000006</c:v>
                </c:pt>
                <c:pt idx="30">
                  <c:v>100</c:v>
                </c:pt>
                <c:pt idx="31">
                  <c:v>103.333</c:v>
                </c:pt>
                <c:pt idx="32">
                  <c:v>106.667</c:v>
                </c:pt>
                <c:pt idx="33">
                  <c:v>110</c:v>
                </c:pt>
                <c:pt idx="34">
                  <c:v>113.333</c:v>
                </c:pt>
                <c:pt idx="35">
                  <c:v>116.667</c:v>
                </c:pt>
                <c:pt idx="36">
                  <c:v>120</c:v>
                </c:pt>
                <c:pt idx="37">
                  <c:v>123.333</c:v>
                </c:pt>
                <c:pt idx="38">
                  <c:v>126.667</c:v>
                </c:pt>
                <c:pt idx="39">
                  <c:v>130</c:v>
                </c:pt>
                <c:pt idx="40">
                  <c:v>133.333</c:v>
                </c:pt>
                <c:pt idx="41">
                  <c:v>136.667</c:v>
                </c:pt>
                <c:pt idx="42">
                  <c:v>140</c:v>
                </c:pt>
                <c:pt idx="43">
                  <c:v>143.333</c:v>
                </c:pt>
                <c:pt idx="44">
                  <c:v>146.667</c:v>
                </c:pt>
                <c:pt idx="45">
                  <c:v>150</c:v>
                </c:pt>
                <c:pt idx="46">
                  <c:v>153.333</c:v>
                </c:pt>
                <c:pt idx="47">
                  <c:v>156.667</c:v>
                </c:pt>
                <c:pt idx="48">
                  <c:v>160</c:v>
                </c:pt>
                <c:pt idx="49">
                  <c:v>163.333</c:v>
                </c:pt>
                <c:pt idx="50">
                  <c:v>166.667</c:v>
                </c:pt>
                <c:pt idx="51">
                  <c:v>170</c:v>
                </c:pt>
                <c:pt idx="52">
                  <c:v>173.333</c:v>
                </c:pt>
                <c:pt idx="53">
                  <c:v>176.667</c:v>
                </c:pt>
                <c:pt idx="54">
                  <c:v>180</c:v>
                </c:pt>
                <c:pt idx="55">
                  <c:v>183.333</c:v>
                </c:pt>
                <c:pt idx="56">
                  <c:v>186.667</c:v>
                </c:pt>
                <c:pt idx="57">
                  <c:v>190</c:v>
                </c:pt>
                <c:pt idx="58">
                  <c:v>193.333</c:v>
                </c:pt>
                <c:pt idx="59">
                  <c:v>196.667</c:v>
                </c:pt>
                <c:pt idx="60">
                  <c:v>200</c:v>
                </c:pt>
                <c:pt idx="61">
                  <c:v>203.333</c:v>
                </c:pt>
                <c:pt idx="62">
                  <c:v>206.667</c:v>
                </c:pt>
                <c:pt idx="63">
                  <c:v>210</c:v>
                </c:pt>
                <c:pt idx="64">
                  <c:v>213.333</c:v>
                </c:pt>
                <c:pt idx="65">
                  <c:v>216.667</c:v>
                </c:pt>
                <c:pt idx="66">
                  <c:v>220</c:v>
                </c:pt>
                <c:pt idx="67">
                  <c:v>223.333</c:v>
                </c:pt>
                <c:pt idx="68">
                  <c:v>226.667</c:v>
                </c:pt>
                <c:pt idx="69">
                  <c:v>230</c:v>
                </c:pt>
                <c:pt idx="70">
                  <c:v>233.333</c:v>
                </c:pt>
                <c:pt idx="71">
                  <c:v>236.667</c:v>
                </c:pt>
                <c:pt idx="72">
                  <c:v>240</c:v>
                </c:pt>
                <c:pt idx="73">
                  <c:v>243.333</c:v>
                </c:pt>
                <c:pt idx="74">
                  <c:v>246.667</c:v>
                </c:pt>
                <c:pt idx="75">
                  <c:v>250</c:v>
                </c:pt>
                <c:pt idx="76">
                  <c:v>253.333</c:v>
                </c:pt>
                <c:pt idx="77">
                  <c:v>256.66699999999997</c:v>
                </c:pt>
                <c:pt idx="78">
                  <c:v>260</c:v>
                </c:pt>
                <c:pt idx="79">
                  <c:v>263.33300000000003</c:v>
                </c:pt>
                <c:pt idx="80">
                  <c:v>266.66699999999997</c:v>
                </c:pt>
                <c:pt idx="81">
                  <c:v>270</c:v>
                </c:pt>
                <c:pt idx="82">
                  <c:v>273.33300000000003</c:v>
                </c:pt>
                <c:pt idx="83">
                  <c:v>276.66699999999997</c:v>
                </c:pt>
                <c:pt idx="84">
                  <c:v>280</c:v>
                </c:pt>
                <c:pt idx="85">
                  <c:v>283.33300000000003</c:v>
                </c:pt>
                <c:pt idx="86">
                  <c:v>286.66699999999997</c:v>
                </c:pt>
                <c:pt idx="87">
                  <c:v>290</c:v>
                </c:pt>
                <c:pt idx="88">
                  <c:v>293.33300000000003</c:v>
                </c:pt>
                <c:pt idx="89">
                  <c:v>296.66699999999997</c:v>
                </c:pt>
                <c:pt idx="90">
                  <c:v>300</c:v>
                </c:pt>
                <c:pt idx="91">
                  <c:v>303.33300000000003</c:v>
                </c:pt>
                <c:pt idx="92">
                  <c:v>306.66699999999997</c:v>
                </c:pt>
                <c:pt idx="93">
                  <c:v>310</c:v>
                </c:pt>
                <c:pt idx="94">
                  <c:v>313.33300000000003</c:v>
                </c:pt>
                <c:pt idx="95">
                  <c:v>316.66699999999997</c:v>
                </c:pt>
                <c:pt idx="96">
                  <c:v>320</c:v>
                </c:pt>
                <c:pt idx="97">
                  <c:v>323.33300000000003</c:v>
                </c:pt>
                <c:pt idx="98">
                  <c:v>326.66699999999997</c:v>
                </c:pt>
                <c:pt idx="99">
                  <c:v>330</c:v>
                </c:pt>
                <c:pt idx="100">
                  <c:v>333.33300000000003</c:v>
                </c:pt>
                <c:pt idx="101">
                  <c:v>336.66699999999997</c:v>
                </c:pt>
                <c:pt idx="102">
                  <c:v>340</c:v>
                </c:pt>
                <c:pt idx="103">
                  <c:v>343.33300000000003</c:v>
                </c:pt>
                <c:pt idx="104">
                  <c:v>346.66699999999997</c:v>
                </c:pt>
                <c:pt idx="105">
                  <c:v>350</c:v>
                </c:pt>
                <c:pt idx="106">
                  <c:v>353.33300000000003</c:v>
                </c:pt>
                <c:pt idx="107">
                  <c:v>356.66699999999997</c:v>
                </c:pt>
                <c:pt idx="108">
                  <c:v>360</c:v>
                </c:pt>
                <c:pt idx="109">
                  <c:v>363.33300000000003</c:v>
                </c:pt>
                <c:pt idx="110">
                  <c:v>366.66699999999997</c:v>
                </c:pt>
                <c:pt idx="111">
                  <c:v>370</c:v>
                </c:pt>
                <c:pt idx="112">
                  <c:v>373.33300000000003</c:v>
                </c:pt>
                <c:pt idx="113" formatCode="General">
                  <c:v>376.66699999999997</c:v>
                </c:pt>
                <c:pt idx="114" formatCode="General">
                  <c:v>380</c:v>
                </c:pt>
                <c:pt idx="115" formatCode="General">
                  <c:v>383.33300000000003</c:v>
                </c:pt>
                <c:pt idx="116" formatCode="General">
                  <c:v>386.66699999999997</c:v>
                </c:pt>
                <c:pt idx="117" formatCode="General">
                  <c:v>390</c:v>
                </c:pt>
                <c:pt idx="118" formatCode="General">
                  <c:v>393.33300000000003</c:v>
                </c:pt>
                <c:pt idx="119" formatCode="General">
                  <c:v>396.66699999999997</c:v>
                </c:pt>
                <c:pt idx="120" formatCode="0.0000">
                  <c:v>400</c:v>
                </c:pt>
                <c:pt idx="121" formatCode="General">
                  <c:v>403.33300000000003</c:v>
                </c:pt>
                <c:pt idx="122" formatCode="0.0000">
                  <c:v>406.66699999999997</c:v>
                </c:pt>
                <c:pt idx="123" formatCode="General">
                  <c:v>410</c:v>
                </c:pt>
                <c:pt idx="124" formatCode="General">
                  <c:v>413.33300000000003</c:v>
                </c:pt>
                <c:pt idx="125" formatCode="General">
                  <c:v>416.66699999999997</c:v>
                </c:pt>
                <c:pt idx="126" formatCode="General">
                  <c:v>420</c:v>
                </c:pt>
                <c:pt idx="127" formatCode="General">
                  <c:v>423.33300000000003</c:v>
                </c:pt>
                <c:pt idx="128" formatCode="General">
                  <c:v>426.66699999999997</c:v>
                </c:pt>
                <c:pt idx="129" formatCode="General">
                  <c:v>430</c:v>
                </c:pt>
                <c:pt idx="130" formatCode="General">
                  <c:v>433.33300000000003</c:v>
                </c:pt>
                <c:pt idx="131" formatCode="General">
                  <c:v>436.66699999999997</c:v>
                </c:pt>
                <c:pt idx="132" formatCode="General">
                  <c:v>440</c:v>
                </c:pt>
                <c:pt idx="133" formatCode="General">
                  <c:v>443.33300000000003</c:v>
                </c:pt>
                <c:pt idx="134" formatCode="General">
                  <c:v>446.66699999999997</c:v>
                </c:pt>
                <c:pt idx="135" formatCode="General">
                  <c:v>450</c:v>
                </c:pt>
                <c:pt idx="136" formatCode="General">
                  <c:v>453.33300000000003</c:v>
                </c:pt>
                <c:pt idx="137" formatCode="General">
                  <c:v>456.66699999999997</c:v>
                </c:pt>
                <c:pt idx="138" formatCode="General">
                  <c:v>460</c:v>
                </c:pt>
                <c:pt idx="139" formatCode="General">
                  <c:v>463.33300000000003</c:v>
                </c:pt>
                <c:pt idx="140" formatCode="General">
                  <c:v>466.66699999999997</c:v>
                </c:pt>
                <c:pt idx="141" formatCode="General">
                  <c:v>470</c:v>
                </c:pt>
                <c:pt idx="142" formatCode="General">
                  <c:v>473.33300000000003</c:v>
                </c:pt>
                <c:pt idx="143" formatCode="General">
                  <c:v>476.66699999999997</c:v>
                </c:pt>
                <c:pt idx="144" formatCode="General">
                  <c:v>480</c:v>
                </c:pt>
                <c:pt idx="145" formatCode="General">
                  <c:v>483.33300000000003</c:v>
                </c:pt>
                <c:pt idx="146" formatCode="General">
                  <c:v>486.66699999999997</c:v>
                </c:pt>
                <c:pt idx="147" formatCode="General">
                  <c:v>490</c:v>
                </c:pt>
                <c:pt idx="148" formatCode="General">
                  <c:v>493.33300000000003</c:v>
                </c:pt>
                <c:pt idx="149" formatCode="General">
                  <c:v>496.66699999999997</c:v>
                </c:pt>
                <c:pt idx="150" formatCode="General">
                  <c:v>500</c:v>
                </c:pt>
                <c:pt idx="151" formatCode="General">
                  <c:v>503.33300000000003</c:v>
                </c:pt>
                <c:pt idx="152" formatCode="General">
                  <c:v>506.66699999999997</c:v>
                </c:pt>
                <c:pt idx="153" formatCode="General">
                  <c:v>510</c:v>
                </c:pt>
                <c:pt idx="154" formatCode="General">
                  <c:v>514</c:v>
                </c:pt>
              </c:numCache>
            </c:numRef>
          </c:xVal>
          <c:yVal>
            <c:numRef>
              <c:f>'REFAP dt 200'!$D$33:$D$187</c:f>
              <c:numCache>
                <c:formatCode>0</c:formatCode>
                <c:ptCount val="155"/>
                <c:pt idx="0">
                  <c:v>433.4</c:v>
                </c:pt>
                <c:pt idx="1">
                  <c:v>433.4</c:v>
                </c:pt>
                <c:pt idx="2">
                  <c:v>433.36500000000001</c:v>
                </c:pt>
                <c:pt idx="3">
                  <c:v>432.791</c:v>
                </c:pt>
                <c:pt idx="4">
                  <c:v>432.76499999999999</c:v>
                </c:pt>
                <c:pt idx="5">
                  <c:v>432.25400000000002</c:v>
                </c:pt>
                <c:pt idx="6">
                  <c:v>432.22300000000001</c:v>
                </c:pt>
                <c:pt idx="7">
                  <c:v>431.69299999999998</c:v>
                </c:pt>
                <c:pt idx="8">
                  <c:v>431.66500000000002</c:v>
                </c:pt>
                <c:pt idx="9">
                  <c:v>431.16800000000001</c:v>
                </c:pt>
                <c:pt idx="10">
                  <c:v>431.16800000000001</c:v>
                </c:pt>
                <c:pt idx="11">
                  <c:v>430.52699999999999</c:v>
                </c:pt>
                <c:pt idx="12">
                  <c:v>430.47899999999998</c:v>
                </c:pt>
                <c:pt idx="13">
                  <c:v>429.84</c:v>
                </c:pt>
                <c:pt idx="14">
                  <c:v>429.79399999999998</c:v>
                </c:pt>
                <c:pt idx="15">
                  <c:v>429.18099999999998</c:v>
                </c:pt>
                <c:pt idx="16">
                  <c:v>429.13</c:v>
                </c:pt>
                <c:pt idx="17">
                  <c:v>428.56400000000002</c:v>
                </c:pt>
                <c:pt idx="18">
                  <c:v>428.50599999999997</c:v>
                </c:pt>
                <c:pt idx="19">
                  <c:v>427.94</c:v>
                </c:pt>
                <c:pt idx="20">
                  <c:v>427.88299999999998</c:v>
                </c:pt>
                <c:pt idx="21">
                  <c:v>427.32400000000001</c:v>
                </c:pt>
                <c:pt idx="22">
                  <c:v>427.26499999999999</c:v>
                </c:pt>
                <c:pt idx="23">
                  <c:v>426.74599999999998</c:v>
                </c:pt>
                <c:pt idx="24">
                  <c:v>426.67899999999997</c:v>
                </c:pt>
                <c:pt idx="25">
                  <c:v>426.16300000000001</c:v>
                </c:pt>
                <c:pt idx="26">
                  <c:v>426.096</c:v>
                </c:pt>
                <c:pt idx="27">
                  <c:v>425.59</c:v>
                </c:pt>
                <c:pt idx="28">
                  <c:v>425.52</c:v>
                </c:pt>
                <c:pt idx="29">
                  <c:v>425.04500000000002</c:v>
                </c:pt>
                <c:pt idx="30">
                  <c:v>424.96899999999999</c:v>
                </c:pt>
                <c:pt idx="31">
                  <c:v>424.49299999999999</c:v>
                </c:pt>
                <c:pt idx="32">
                  <c:v>424.41800000000001</c:v>
                </c:pt>
                <c:pt idx="33">
                  <c:v>423.95400000000001</c:v>
                </c:pt>
                <c:pt idx="34">
                  <c:v>423.87400000000002</c:v>
                </c:pt>
                <c:pt idx="35">
                  <c:v>423.43900000000002</c:v>
                </c:pt>
                <c:pt idx="36">
                  <c:v>423.35199999999998</c:v>
                </c:pt>
                <c:pt idx="37">
                  <c:v>422.91800000000001</c:v>
                </c:pt>
                <c:pt idx="38">
                  <c:v>422.83199999999999</c:v>
                </c:pt>
                <c:pt idx="39">
                  <c:v>422.40800000000002</c:v>
                </c:pt>
                <c:pt idx="40">
                  <c:v>422.31700000000001</c:v>
                </c:pt>
                <c:pt idx="41">
                  <c:v>422.31700000000001</c:v>
                </c:pt>
                <c:pt idx="42">
                  <c:v>422.31700000000001</c:v>
                </c:pt>
                <c:pt idx="43">
                  <c:v>422.291</c:v>
                </c:pt>
                <c:pt idx="44">
                  <c:v>422.26</c:v>
                </c:pt>
                <c:pt idx="45">
                  <c:v>422.173</c:v>
                </c:pt>
                <c:pt idx="46">
                  <c:v>422.173</c:v>
                </c:pt>
                <c:pt idx="47">
                  <c:v>422.173</c:v>
                </c:pt>
                <c:pt idx="48">
                  <c:v>416.48500000000001</c:v>
                </c:pt>
                <c:pt idx="49">
                  <c:v>412.49599999999998</c:v>
                </c:pt>
                <c:pt idx="50">
                  <c:v>407.67500000000001</c:v>
                </c:pt>
                <c:pt idx="51">
                  <c:v>403.59500000000003</c:v>
                </c:pt>
                <c:pt idx="52">
                  <c:v>399.09199999999998</c:v>
                </c:pt>
                <c:pt idx="53">
                  <c:v>394.95600000000002</c:v>
                </c:pt>
                <c:pt idx="54">
                  <c:v>390.67</c:v>
                </c:pt>
                <c:pt idx="55">
                  <c:v>386.56700000000001</c:v>
                </c:pt>
                <c:pt idx="56">
                  <c:v>382.43200000000002</c:v>
                </c:pt>
                <c:pt idx="57">
                  <c:v>378.37799999999999</c:v>
                </c:pt>
                <c:pt idx="58">
                  <c:v>374.37099999999998</c:v>
                </c:pt>
                <c:pt idx="59">
                  <c:v>370.42099999999999</c:v>
                </c:pt>
                <c:pt idx="60">
                  <c:v>366.50799999999998</c:v>
                </c:pt>
                <c:pt idx="61">
                  <c:v>362.65699999999998</c:v>
                </c:pt>
                <c:pt idx="62">
                  <c:v>358.84300000000002</c:v>
                </c:pt>
                <c:pt idx="63">
                  <c:v>355.08499999999998</c:v>
                </c:pt>
                <c:pt idx="64">
                  <c:v>351.37</c:v>
                </c:pt>
                <c:pt idx="65">
                  <c:v>347.70299999999997</c:v>
                </c:pt>
                <c:pt idx="66">
                  <c:v>344.08100000000002</c:v>
                </c:pt>
                <c:pt idx="67">
                  <c:v>340.50599999999997</c:v>
                </c:pt>
                <c:pt idx="68">
                  <c:v>336.97500000000002</c:v>
                </c:pt>
                <c:pt idx="69">
                  <c:v>333.46600000000001</c:v>
                </c:pt>
                <c:pt idx="70">
                  <c:v>330.00400000000002</c:v>
                </c:pt>
                <c:pt idx="71">
                  <c:v>326.63</c:v>
                </c:pt>
                <c:pt idx="72">
                  <c:v>323.26600000000002</c:v>
                </c:pt>
                <c:pt idx="73">
                  <c:v>319.95499999999998</c:v>
                </c:pt>
                <c:pt idx="74">
                  <c:v>316.68799999999999</c:v>
                </c:pt>
                <c:pt idx="75">
                  <c:v>313.452</c:v>
                </c:pt>
                <c:pt idx="76">
                  <c:v>310.26600000000002</c:v>
                </c:pt>
                <c:pt idx="77">
                  <c:v>307.113</c:v>
                </c:pt>
                <c:pt idx="78">
                  <c:v>304.00400000000002</c:v>
                </c:pt>
                <c:pt idx="79">
                  <c:v>300.93099999999998</c:v>
                </c:pt>
                <c:pt idx="80">
                  <c:v>297.899</c:v>
                </c:pt>
                <c:pt idx="81">
                  <c:v>297.416</c:v>
                </c:pt>
                <c:pt idx="82">
                  <c:v>293.97199999999998</c:v>
                </c:pt>
                <c:pt idx="83">
                  <c:v>290.24900000000002</c:v>
                </c:pt>
                <c:pt idx="84">
                  <c:v>287.37900000000002</c:v>
                </c:pt>
                <c:pt idx="85">
                  <c:v>284.34699999999998</c:v>
                </c:pt>
                <c:pt idx="86">
                  <c:v>281.50400000000002</c:v>
                </c:pt>
                <c:pt idx="87">
                  <c:v>278.40800000000002</c:v>
                </c:pt>
                <c:pt idx="88">
                  <c:v>275.72699999999998</c:v>
                </c:pt>
                <c:pt idx="89">
                  <c:v>272.68299999999999</c:v>
                </c:pt>
                <c:pt idx="90">
                  <c:v>270.01299999999998</c:v>
                </c:pt>
                <c:pt idx="91">
                  <c:v>267.11799999999999</c:v>
                </c:pt>
                <c:pt idx="92">
                  <c:v>264.45</c:v>
                </c:pt>
                <c:pt idx="93">
                  <c:v>261.68099999999998</c:v>
                </c:pt>
                <c:pt idx="94">
                  <c:v>259.04300000000001</c:v>
                </c:pt>
                <c:pt idx="95">
                  <c:v>256.37799999999999</c:v>
                </c:pt>
                <c:pt idx="96">
                  <c:v>253.78100000000001</c:v>
                </c:pt>
                <c:pt idx="97">
                  <c:v>251.20599999999999</c:v>
                </c:pt>
                <c:pt idx="98">
                  <c:v>248.66900000000001</c:v>
                </c:pt>
                <c:pt idx="99">
                  <c:v>246.16499999999999</c:v>
                </c:pt>
                <c:pt idx="100">
                  <c:v>243.69399999999999</c:v>
                </c:pt>
                <c:pt idx="101">
                  <c:v>241.25700000000001</c:v>
                </c:pt>
                <c:pt idx="102">
                  <c:v>238.85</c:v>
                </c:pt>
                <c:pt idx="103">
                  <c:v>236.47499999999999</c:v>
                </c:pt>
                <c:pt idx="104">
                  <c:v>234.136</c:v>
                </c:pt>
                <c:pt idx="105">
                  <c:v>231.82400000000001</c:v>
                </c:pt>
                <c:pt idx="106">
                  <c:v>229.541</c:v>
                </c:pt>
                <c:pt idx="107">
                  <c:v>227.29499999999999</c:v>
                </c:pt>
                <c:pt idx="108">
                  <c:v>225.07300000000001</c:v>
                </c:pt>
                <c:pt idx="109">
                  <c:v>222.88499999999999</c:v>
                </c:pt>
                <c:pt idx="110">
                  <c:v>220.72200000000001</c:v>
                </c:pt>
                <c:pt idx="111">
                  <c:v>218.58699999999999</c:v>
                </c:pt>
                <c:pt idx="112">
                  <c:v>216.48500000000001</c:v>
                </c:pt>
                <c:pt idx="113">
                  <c:v>214.40600000000001</c:v>
                </c:pt>
                <c:pt idx="114" formatCode="General">
                  <c:v>212.358</c:v>
                </c:pt>
                <c:pt idx="115" formatCode="General">
                  <c:v>210.33500000000001</c:v>
                </c:pt>
                <c:pt idx="116" formatCode="General">
                  <c:v>208.339</c:v>
                </c:pt>
                <c:pt idx="117" formatCode="General">
                  <c:v>206.37</c:v>
                </c:pt>
                <c:pt idx="118" formatCode="General">
                  <c:v>204.42599999999999</c:v>
                </c:pt>
                <c:pt idx="119" formatCode="General">
                  <c:v>204.36199999999999</c:v>
                </c:pt>
                <c:pt idx="120" formatCode="General">
                  <c:v>204.36199999999999</c:v>
                </c:pt>
                <c:pt idx="121" formatCode="General">
                  <c:v>201.803</c:v>
                </c:pt>
                <c:pt idx="122" formatCode="General">
                  <c:v>199.91900000000001</c:v>
                </c:pt>
                <c:pt idx="123" formatCode="General">
                  <c:v>197.72499999999999</c:v>
                </c:pt>
                <c:pt idx="124" formatCode="General">
                  <c:v>195.74700000000001</c:v>
                </c:pt>
                <c:pt idx="125" formatCode="General">
                  <c:v>193.71799999999999</c:v>
                </c:pt>
                <c:pt idx="126" formatCode="General">
                  <c:v>191.74100000000001</c:v>
                </c:pt>
                <c:pt idx="127" formatCode="General">
                  <c:v>189.803</c:v>
                </c:pt>
                <c:pt idx="128" formatCode="General">
                  <c:v>187.869</c:v>
                </c:pt>
                <c:pt idx="129" formatCode="General">
                  <c:v>185.99299999999999</c:v>
                </c:pt>
                <c:pt idx="130" formatCode="General">
                  <c:v>184.11500000000001</c:v>
                </c:pt>
                <c:pt idx="131" formatCode="General">
                  <c:v>182.292</c:v>
                </c:pt>
                <c:pt idx="132" formatCode="General">
                  <c:v>180.47300000000001</c:v>
                </c:pt>
                <c:pt idx="133" formatCode="General">
                  <c:v>178.7</c:v>
                </c:pt>
                <c:pt idx="134" formatCode="General">
                  <c:v>176.93799999999999</c:v>
                </c:pt>
                <c:pt idx="135" formatCode="General">
                  <c:v>175.21299999999999</c:v>
                </c:pt>
                <c:pt idx="136" formatCode="General">
                  <c:v>173.506</c:v>
                </c:pt>
                <c:pt idx="137" formatCode="General">
                  <c:v>171.82900000000001</c:v>
                </c:pt>
                <c:pt idx="138" formatCode="General">
                  <c:v>170.173</c:v>
                </c:pt>
                <c:pt idx="139" formatCode="General">
                  <c:v>168.54400000000001</c:v>
                </c:pt>
                <c:pt idx="140" formatCode="General">
                  <c:v>166.93700000000001</c:v>
                </c:pt>
                <c:pt idx="141" formatCode="General">
                  <c:v>165.35499999999999</c:v>
                </c:pt>
                <c:pt idx="142" formatCode="General">
                  <c:v>163.79499999999999</c:v>
                </c:pt>
                <c:pt idx="143" formatCode="General">
                  <c:v>162.25800000000001</c:v>
                </c:pt>
                <c:pt idx="144" formatCode="General">
                  <c:v>160.744</c:v>
                </c:pt>
                <c:pt idx="145" formatCode="General">
                  <c:v>159.251</c:v>
                </c:pt>
                <c:pt idx="146" formatCode="General">
                  <c:v>157.78100000000001</c:v>
                </c:pt>
                <c:pt idx="147" formatCode="General">
                  <c:v>156.33099999999999</c:v>
                </c:pt>
                <c:pt idx="148" formatCode="General">
                  <c:v>154.90299999999999</c:v>
                </c:pt>
                <c:pt idx="149" formatCode="General">
                  <c:v>153.495</c:v>
                </c:pt>
                <c:pt idx="150" formatCode="General">
                  <c:v>152.10900000000001</c:v>
                </c:pt>
                <c:pt idx="151" formatCode="General">
                  <c:v>150.74100000000001</c:v>
                </c:pt>
                <c:pt idx="152" formatCode="General">
                  <c:v>149.39400000000001</c:v>
                </c:pt>
                <c:pt idx="153" formatCode="General">
                  <c:v>148.066</c:v>
                </c:pt>
                <c:pt idx="154" formatCode="General">
                  <c:v>146.75700000000001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43D-454F-A64E-43C8AB1D51F5}"/>
            </c:ext>
          </c:extLst>
        </c:ser>
        <c:ser>
          <c:idx val="1"/>
          <c:order val="1"/>
          <c:tx>
            <c:v>TckSld - dt=100</c:v>
          </c:tx>
          <c:spPr>
            <a:ln w="19050"/>
          </c:spPr>
          <c:marker>
            <c:symbol val="none"/>
          </c:marker>
          <c:xVal>
            <c:numRef>
              <c:f>'REFAP dt 100'!$A$33:$A$135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433.096</c:v>
                </c:pt>
                <c:pt idx="2">
                  <c:v>432.80599999999998</c:v>
                </c:pt>
                <c:pt idx="3">
                  <c:v>432.28</c:v>
                </c:pt>
                <c:pt idx="4">
                  <c:v>432.02</c:v>
                </c:pt>
                <c:pt idx="5">
                  <c:v>431.57</c:v>
                </c:pt>
                <c:pt idx="6">
                  <c:v>431.32799999999997</c:v>
                </c:pt>
                <c:pt idx="7">
                  <c:v>431.01400000000001</c:v>
                </c:pt>
                <c:pt idx="8">
                  <c:v>430.44099999999997</c:v>
                </c:pt>
                <c:pt idx="9">
                  <c:v>430.11900000000003</c:v>
                </c:pt>
                <c:pt idx="10">
                  <c:v>429.59699999999998</c:v>
                </c:pt>
                <c:pt idx="11">
                  <c:v>429.28300000000002</c:v>
                </c:pt>
                <c:pt idx="12">
                  <c:v>428.79399999999998</c:v>
                </c:pt>
                <c:pt idx="13">
                  <c:v>428.48599999999999</c:v>
                </c:pt>
                <c:pt idx="14">
                  <c:v>428.02499999999998</c:v>
                </c:pt>
                <c:pt idx="15">
                  <c:v>427.72</c:v>
                </c:pt>
                <c:pt idx="16">
                  <c:v>427.28300000000002</c:v>
                </c:pt>
                <c:pt idx="17">
                  <c:v>426.98</c:v>
                </c:pt>
                <c:pt idx="18">
                  <c:v>426.56299999999999</c:v>
                </c:pt>
                <c:pt idx="19">
                  <c:v>426.26100000000002</c:v>
                </c:pt>
                <c:pt idx="20">
                  <c:v>425.86</c:v>
                </c:pt>
                <c:pt idx="21">
                  <c:v>425.55799999999999</c:v>
                </c:pt>
                <c:pt idx="22">
                  <c:v>425.17099999999999</c:v>
                </c:pt>
                <c:pt idx="23">
                  <c:v>424.86799999999999</c:v>
                </c:pt>
                <c:pt idx="24">
                  <c:v>424.49200000000002</c:v>
                </c:pt>
                <c:pt idx="25">
                  <c:v>424.18799999999999</c:v>
                </c:pt>
                <c:pt idx="26">
                  <c:v>423.822</c:v>
                </c:pt>
                <c:pt idx="27">
                  <c:v>423.60199999999998</c:v>
                </c:pt>
                <c:pt idx="28">
                  <c:v>423.60199999999998</c:v>
                </c:pt>
                <c:pt idx="29">
                  <c:v>423.60199999999998</c:v>
                </c:pt>
                <c:pt idx="30">
                  <c:v>423.60199999999998</c:v>
                </c:pt>
                <c:pt idx="31">
                  <c:v>423.60199999999998</c:v>
                </c:pt>
                <c:pt idx="32">
                  <c:v>423.60199999999998</c:v>
                </c:pt>
                <c:pt idx="33">
                  <c:v>423.6</c:v>
                </c:pt>
                <c:pt idx="34">
                  <c:v>415.34100000000001</c:v>
                </c:pt>
                <c:pt idx="35">
                  <c:v>406.68</c:v>
                </c:pt>
                <c:pt idx="36">
                  <c:v>398.49299999999999</c:v>
                </c:pt>
                <c:pt idx="37">
                  <c:v>390.50200000000001</c:v>
                </c:pt>
                <c:pt idx="38">
                  <c:v>382.678</c:v>
                </c:pt>
                <c:pt idx="39">
                  <c:v>375.04700000000003</c:v>
                </c:pt>
                <c:pt idx="40">
                  <c:v>367.59399999999999</c:v>
                </c:pt>
                <c:pt idx="41">
                  <c:v>360.315</c:v>
                </c:pt>
                <c:pt idx="42">
                  <c:v>353.21</c:v>
                </c:pt>
                <c:pt idx="43">
                  <c:v>346.26799999999997</c:v>
                </c:pt>
                <c:pt idx="44">
                  <c:v>339.49299999999999</c:v>
                </c:pt>
                <c:pt idx="45">
                  <c:v>332.875</c:v>
                </c:pt>
                <c:pt idx="46">
                  <c:v>326.41800000000001</c:v>
                </c:pt>
                <c:pt idx="47">
                  <c:v>320.11399999999998</c:v>
                </c:pt>
                <c:pt idx="48">
                  <c:v>313.95800000000003</c:v>
                </c:pt>
                <c:pt idx="49">
                  <c:v>307.94600000000003</c:v>
                </c:pt>
                <c:pt idx="50">
                  <c:v>302.07600000000002</c:v>
                </c:pt>
                <c:pt idx="51">
                  <c:v>296.346</c:v>
                </c:pt>
                <c:pt idx="52">
                  <c:v>290.74799999999999</c:v>
                </c:pt>
                <c:pt idx="53">
                  <c:v>285.28199999999998</c:v>
                </c:pt>
                <c:pt idx="54">
                  <c:v>281.44799999999998</c:v>
                </c:pt>
                <c:pt idx="55">
                  <c:v>275.21300000000002</c:v>
                </c:pt>
                <c:pt idx="56">
                  <c:v>269.97699999999998</c:v>
                </c:pt>
                <c:pt idx="57">
                  <c:v>264.56099999999998</c:v>
                </c:pt>
                <c:pt idx="58">
                  <c:v>259.52100000000002</c:v>
                </c:pt>
                <c:pt idx="59">
                  <c:v>254.49299999999999</c:v>
                </c:pt>
                <c:pt idx="60">
                  <c:v>249.642</c:v>
                </c:pt>
                <c:pt idx="61">
                  <c:v>244.87700000000001</c:v>
                </c:pt>
                <c:pt idx="62">
                  <c:v>240.24299999999999</c:v>
                </c:pt>
                <c:pt idx="63">
                  <c:v>235.727</c:v>
                </c:pt>
                <c:pt idx="64">
                  <c:v>231.31200000000001</c:v>
                </c:pt>
                <c:pt idx="65">
                  <c:v>227.02</c:v>
                </c:pt>
                <c:pt idx="66">
                  <c:v>222.84899999999999</c:v>
                </c:pt>
                <c:pt idx="67">
                  <c:v>218.76900000000001</c:v>
                </c:pt>
                <c:pt idx="68">
                  <c:v>214.78700000000001</c:v>
                </c:pt>
                <c:pt idx="69">
                  <c:v>210.91800000000001</c:v>
                </c:pt>
                <c:pt idx="70">
                  <c:v>207.142</c:v>
                </c:pt>
                <c:pt idx="71">
                  <c:v>203.45400000000001</c:v>
                </c:pt>
                <c:pt idx="72">
                  <c:v>199.86099999999999</c:v>
                </c:pt>
                <c:pt idx="73">
                  <c:v>196.35599999999999</c:v>
                </c:pt>
                <c:pt idx="74">
                  <c:v>192.93899999999999</c:v>
                </c:pt>
                <c:pt idx="75">
                  <c:v>189.61199999999999</c:v>
                </c:pt>
                <c:pt idx="76">
                  <c:v>186.35900000000001</c:v>
                </c:pt>
                <c:pt idx="77">
                  <c:v>183.2</c:v>
                </c:pt>
                <c:pt idx="78">
                  <c:v>180.11600000000001</c:v>
                </c:pt>
                <c:pt idx="79">
                  <c:v>178.09800000000001</c:v>
                </c:pt>
                <c:pt idx="80">
                  <c:v>175.86099999999999</c:v>
                </c:pt>
                <c:pt idx="81">
                  <c:v>172.62100000000001</c:v>
                </c:pt>
                <c:pt idx="82">
                  <c:v>169.43199999999999</c:v>
                </c:pt>
                <c:pt idx="83">
                  <c:v>166.363</c:v>
                </c:pt>
                <c:pt idx="84">
                  <c:v>163.36500000000001</c:v>
                </c:pt>
                <c:pt idx="85">
                  <c:v>160.45699999999999</c:v>
                </c:pt>
                <c:pt idx="86">
                  <c:v>157.62899999999999</c:v>
                </c:pt>
                <c:pt idx="87">
                  <c:v>154.87899999999999</c:v>
                </c:pt>
                <c:pt idx="88">
                  <c:v>152.208</c:v>
                </c:pt>
                <c:pt idx="89">
                  <c:v>149.608</c:v>
                </c:pt>
                <c:pt idx="90">
                  <c:v>147.083</c:v>
                </c:pt>
                <c:pt idx="91">
                  <c:v>144.626</c:v>
                </c:pt>
                <c:pt idx="92">
                  <c:v>142.238</c:v>
                </c:pt>
                <c:pt idx="93">
                  <c:v>139.91399999999999</c:v>
                </c:pt>
                <c:pt idx="94">
                  <c:v>137.655</c:v>
                </c:pt>
                <c:pt idx="95">
                  <c:v>135.458</c:v>
                </c:pt>
                <c:pt idx="96">
                  <c:v>133.32</c:v>
                </c:pt>
                <c:pt idx="97">
                  <c:v>131.24100000000001</c:v>
                </c:pt>
                <c:pt idx="98">
                  <c:v>129.21899999999999</c:v>
                </c:pt>
                <c:pt idx="99">
                  <c:v>127.251</c:v>
                </c:pt>
                <c:pt idx="100">
                  <c:v>125.336</c:v>
                </c:pt>
                <c:pt idx="101">
                  <c:v>123.474</c:v>
                </c:pt>
                <c:pt idx="102">
                  <c:v>120.48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D-454F-A64E-43C8AB1D51F5}"/>
            </c:ext>
          </c:extLst>
        </c:ser>
        <c:ser>
          <c:idx val="2"/>
          <c:order val="2"/>
          <c:tx>
            <c:v>TckSld - dt=50</c:v>
          </c:tx>
          <c:spPr>
            <a:ln w="19050"/>
          </c:spPr>
          <c:marker>
            <c:symbol val="none"/>
          </c:marker>
          <c:xVal>
            <c:numRef>
              <c:f>'REFAP dt 50'!$A$33:$A$135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50'!$D$33:$D$135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433.09699999999998</c:v>
                </c:pt>
                <c:pt idx="2">
                  <c:v>432.68299999999999</c:v>
                </c:pt>
                <c:pt idx="3">
                  <c:v>432.31400000000002</c:v>
                </c:pt>
                <c:pt idx="4">
                  <c:v>431.97800000000001</c:v>
                </c:pt>
                <c:pt idx="5">
                  <c:v>431.666</c:v>
                </c:pt>
                <c:pt idx="6">
                  <c:v>431.37099999999998</c:v>
                </c:pt>
                <c:pt idx="7">
                  <c:v>430.93099999999998</c:v>
                </c:pt>
                <c:pt idx="8">
                  <c:v>430.505</c:v>
                </c:pt>
                <c:pt idx="9">
                  <c:v>430.096</c:v>
                </c:pt>
                <c:pt idx="10">
                  <c:v>429.702</c:v>
                </c:pt>
                <c:pt idx="11">
                  <c:v>429.32100000000003</c:v>
                </c:pt>
                <c:pt idx="12">
                  <c:v>428.94799999999998</c:v>
                </c:pt>
                <c:pt idx="13">
                  <c:v>428.584</c:v>
                </c:pt>
                <c:pt idx="14">
                  <c:v>428.22500000000002</c:v>
                </c:pt>
                <c:pt idx="15">
                  <c:v>427.87400000000002</c:v>
                </c:pt>
                <c:pt idx="16">
                  <c:v>427.52699999999999</c:v>
                </c:pt>
                <c:pt idx="17">
                  <c:v>427.18200000000002</c:v>
                </c:pt>
                <c:pt idx="18">
                  <c:v>426.84</c:v>
                </c:pt>
                <c:pt idx="19">
                  <c:v>426.49900000000002</c:v>
                </c:pt>
                <c:pt idx="20">
                  <c:v>426.16</c:v>
                </c:pt>
                <c:pt idx="21">
                  <c:v>425.822</c:v>
                </c:pt>
                <c:pt idx="22">
                  <c:v>425.48500000000001</c:v>
                </c:pt>
                <c:pt idx="23">
                  <c:v>425.149</c:v>
                </c:pt>
                <c:pt idx="24">
                  <c:v>424.81299999999999</c:v>
                </c:pt>
                <c:pt idx="25">
                  <c:v>424.47899999999998</c:v>
                </c:pt>
                <c:pt idx="26">
                  <c:v>424.14499999999998</c:v>
                </c:pt>
                <c:pt idx="27">
                  <c:v>423.98200000000003</c:v>
                </c:pt>
                <c:pt idx="28">
                  <c:v>423.98200000000003</c:v>
                </c:pt>
                <c:pt idx="29">
                  <c:v>423.98200000000003</c:v>
                </c:pt>
                <c:pt idx="30">
                  <c:v>423.98099999999999</c:v>
                </c:pt>
                <c:pt idx="31">
                  <c:v>423.97399999999999</c:v>
                </c:pt>
                <c:pt idx="32">
                  <c:v>423.959</c:v>
                </c:pt>
                <c:pt idx="33">
                  <c:v>423.83300000000003</c:v>
                </c:pt>
                <c:pt idx="34">
                  <c:v>423.83300000000003</c:v>
                </c:pt>
                <c:pt idx="35">
                  <c:v>416.49599999999998</c:v>
                </c:pt>
                <c:pt idx="36">
                  <c:v>406.51100000000002</c:v>
                </c:pt>
                <c:pt idx="37">
                  <c:v>396.15899999999999</c:v>
                </c:pt>
                <c:pt idx="38">
                  <c:v>386.291</c:v>
                </c:pt>
                <c:pt idx="39">
                  <c:v>376.71800000000002</c:v>
                </c:pt>
                <c:pt idx="40">
                  <c:v>367.43099999999998</c:v>
                </c:pt>
                <c:pt idx="41">
                  <c:v>358.39800000000002</c:v>
                </c:pt>
                <c:pt idx="42">
                  <c:v>349.63299999999998</c:v>
                </c:pt>
                <c:pt idx="43">
                  <c:v>341.12400000000002</c:v>
                </c:pt>
                <c:pt idx="44">
                  <c:v>332.86900000000003</c:v>
                </c:pt>
                <c:pt idx="45">
                  <c:v>324.851</c:v>
                </c:pt>
                <c:pt idx="46">
                  <c:v>317.06900000000002</c:v>
                </c:pt>
                <c:pt idx="47">
                  <c:v>309.50700000000001</c:v>
                </c:pt>
                <c:pt idx="48">
                  <c:v>302.17399999999998</c:v>
                </c:pt>
                <c:pt idx="49">
                  <c:v>295.05399999999997</c:v>
                </c:pt>
                <c:pt idx="50">
                  <c:v>288.14299999999997</c:v>
                </c:pt>
                <c:pt idx="51">
                  <c:v>281.43700000000001</c:v>
                </c:pt>
                <c:pt idx="52">
                  <c:v>274.92599999999999</c:v>
                </c:pt>
                <c:pt idx="53">
                  <c:v>268.60300000000001</c:v>
                </c:pt>
                <c:pt idx="54">
                  <c:v>262.01900000000001</c:v>
                </c:pt>
                <c:pt idx="55">
                  <c:v>255.626</c:v>
                </c:pt>
                <c:pt idx="56">
                  <c:v>249.518</c:v>
                </c:pt>
                <c:pt idx="57">
                  <c:v>243.596</c:v>
                </c:pt>
                <c:pt idx="58">
                  <c:v>237.84800000000001</c:v>
                </c:pt>
                <c:pt idx="59">
                  <c:v>232.28800000000001</c:v>
                </c:pt>
                <c:pt idx="60">
                  <c:v>226.899</c:v>
                </c:pt>
                <c:pt idx="61">
                  <c:v>221.684</c:v>
                </c:pt>
                <c:pt idx="62">
                  <c:v>216.62700000000001</c:v>
                </c:pt>
                <c:pt idx="63">
                  <c:v>211.733</c:v>
                </c:pt>
                <c:pt idx="64">
                  <c:v>207.005</c:v>
                </c:pt>
                <c:pt idx="65">
                  <c:v>202.41</c:v>
                </c:pt>
                <c:pt idx="66">
                  <c:v>197.97499999999999</c:v>
                </c:pt>
                <c:pt idx="67">
                  <c:v>193.667</c:v>
                </c:pt>
                <c:pt idx="68">
                  <c:v>189.50399999999999</c:v>
                </c:pt>
                <c:pt idx="69">
                  <c:v>185.46199999999999</c:v>
                </c:pt>
                <c:pt idx="70">
                  <c:v>181.547</c:v>
                </c:pt>
                <c:pt idx="71">
                  <c:v>177.755</c:v>
                </c:pt>
                <c:pt idx="72">
                  <c:v>174.08199999999999</c:v>
                </c:pt>
                <c:pt idx="73">
                  <c:v>170.51900000000001</c:v>
                </c:pt>
                <c:pt idx="74">
                  <c:v>167.07400000000001</c:v>
                </c:pt>
                <c:pt idx="75">
                  <c:v>163.73099999999999</c:v>
                </c:pt>
                <c:pt idx="76">
                  <c:v>160.49100000000001</c:v>
                </c:pt>
                <c:pt idx="77">
                  <c:v>157.35</c:v>
                </c:pt>
                <c:pt idx="78">
                  <c:v>154.30799999999999</c:v>
                </c:pt>
                <c:pt idx="79">
                  <c:v>152.387</c:v>
                </c:pt>
                <c:pt idx="80">
                  <c:v>149.02600000000001</c:v>
                </c:pt>
                <c:pt idx="81">
                  <c:v>145.851</c:v>
                </c:pt>
                <c:pt idx="82">
                  <c:v>142.80199999999999</c:v>
                </c:pt>
                <c:pt idx="83">
                  <c:v>139.863</c:v>
                </c:pt>
                <c:pt idx="84">
                  <c:v>137.029</c:v>
                </c:pt>
                <c:pt idx="85">
                  <c:v>134.29400000000001</c:v>
                </c:pt>
                <c:pt idx="86">
                  <c:v>131.65299999999999</c:v>
                </c:pt>
                <c:pt idx="87">
                  <c:v>129.10300000000001</c:v>
                </c:pt>
                <c:pt idx="88">
                  <c:v>126.64100000000001</c:v>
                </c:pt>
                <c:pt idx="89">
                  <c:v>124.264</c:v>
                </c:pt>
                <c:pt idx="90">
                  <c:v>121.968</c:v>
                </c:pt>
                <c:pt idx="91">
                  <c:v>119.75</c:v>
                </c:pt>
                <c:pt idx="92">
                  <c:v>117.608</c:v>
                </c:pt>
                <c:pt idx="93">
                  <c:v>115.539</c:v>
                </c:pt>
                <c:pt idx="94">
                  <c:v>113.539</c:v>
                </c:pt>
                <c:pt idx="95">
                  <c:v>111.60599999999999</c:v>
                </c:pt>
                <c:pt idx="96">
                  <c:v>109.739</c:v>
                </c:pt>
                <c:pt idx="97">
                  <c:v>107.934</c:v>
                </c:pt>
                <c:pt idx="98">
                  <c:v>106.18899999999999</c:v>
                </c:pt>
                <c:pt idx="99">
                  <c:v>104.502</c:v>
                </c:pt>
                <c:pt idx="100">
                  <c:v>102.871</c:v>
                </c:pt>
                <c:pt idx="101">
                  <c:v>101.294</c:v>
                </c:pt>
                <c:pt idx="102">
                  <c:v>98.779399999999995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D-454F-A64E-43C8AB1D51F5}"/>
            </c:ext>
          </c:extLst>
        </c:ser>
        <c:ser>
          <c:idx val="3"/>
          <c:order val="3"/>
          <c:tx>
            <c:v>TckSld - dt=20</c:v>
          </c:tx>
          <c:spPr>
            <a:ln w="19050"/>
          </c:spPr>
          <c:marker>
            <c:symbol val="none"/>
          </c:marker>
          <c:xVal>
            <c:numRef>
              <c:f>'REFAP dt 20'!$A$33:$A$135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20'!$D$33:$D$135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433.00599999999997</c:v>
                </c:pt>
                <c:pt idx="2">
                  <c:v>432.66899999999998</c:v>
                </c:pt>
                <c:pt idx="3">
                  <c:v>432.346</c:v>
                </c:pt>
                <c:pt idx="4">
                  <c:v>432.07</c:v>
                </c:pt>
                <c:pt idx="5">
                  <c:v>431.78800000000001</c:v>
                </c:pt>
                <c:pt idx="6">
                  <c:v>431.52699999999999</c:v>
                </c:pt>
                <c:pt idx="7">
                  <c:v>431.11</c:v>
                </c:pt>
                <c:pt idx="8">
                  <c:v>430.68</c:v>
                </c:pt>
                <c:pt idx="9">
                  <c:v>430.30399999999997</c:v>
                </c:pt>
                <c:pt idx="10">
                  <c:v>429.91699999999997</c:v>
                </c:pt>
                <c:pt idx="11">
                  <c:v>429.56200000000001</c:v>
                </c:pt>
                <c:pt idx="12">
                  <c:v>429.19799999999998</c:v>
                </c:pt>
                <c:pt idx="13">
                  <c:v>428.851</c:v>
                </c:pt>
                <c:pt idx="14">
                  <c:v>428.49599999999998</c:v>
                </c:pt>
                <c:pt idx="15">
                  <c:v>428.15300000000002</c:v>
                </c:pt>
                <c:pt idx="16">
                  <c:v>427.803</c:v>
                </c:pt>
                <c:pt idx="17">
                  <c:v>427.46100000000001</c:v>
                </c:pt>
                <c:pt idx="18">
                  <c:v>427.11599999999999</c:v>
                </c:pt>
                <c:pt idx="19">
                  <c:v>426.77499999999998</c:v>
                </c:pt>
                <c:pt idx="20">
                  <c:v>426.43200000000002</c:v>
                </c:pt>
                <c:pt idx="21">
                  <c:v>426.09100000000001</c:v>
                </c:pt>
                <c:pt idx="22">
                  <c:v>425.74900000000002</c:v>
                </c:pt>
                <c:pt idx="23">
                  <c:v>425.41</c:v>
                </c:pt>
                <c:pt idx="24">
                  <c:v>425.06900000000002</c:v>
                </c:pt>
                <c:pt idx="25">
                  <c:v>424.73</c:v>
                </c:pt>
                <c:pt idx="26">
                  <c:v>424.39100000000002</c:v>
                </c:pt>
                <c:pt idx="27">
                  <c:v>424.255</c:v>
                </c:pt>
                <c:pt idx="28">
                  <c:v>424.25400000000002</c:v>
                </c:pt>
                <c:pt idx="29">
                  <c:v>424.25</c:v>
                </c:pt>
                <c:pt idx="30">
                  <c:v>424.245</c:v>
                </c:pt>
                <c:pt idx="31">
                  <c:v>424.23899999999998</c:v>
                </c:pt>
                <c:pt idx="32">
                  <c:v>424.22199999999998</c:v>
                </c:pt>
                <c:pt idx="33">
                  <c:v>424.18200000000002</c:v>
                </c:pt>
                <c:pt idx="34">
                  <c:v>424.065</c:v>
                </c:pt>
                <c:pt idx="35">
                  <c:v>423.85599999999999</c:v>
                </c:pt>
                <c:pt idx="36">
                  <c:v>423.85599999999999</c:v>
                </c:pt>
                <c:pt idx="37">
                  <c:v>410.46499999999997</c:v>
                </c:pt>
                <c:pt idx="38">
                  <c:v>396.96199999999999</c:v>
                </c:pt>
                <c:pt idx="39">
                  <c:v>383.99799999999999</c:v>
                </c:pt>
                <c:pt idx="40">
                  <c:v>371.49799999999999</c:v>
                </c:pt>
                <c:pt idx="41">
                  <c:v>359.48099999999999</c:v>
                </c:pt>
                <c:pt idx="42">
                  <c:v>347.92700000000002</c:v>
                </c:pt>
                <c:pt idx="43">
                  <c:v>336.82400000000001</c:v>
                </c:pt>
                <c:pt idx="44">
                  <c:v>326.14100000000002</c:v>
                </c:pt>
                <c:pt idx="45">
                  <c:v>315.86</c:v>
                </c:pt>
                <c:pt idx="46">
                  <c:v>305.98700000000002</c:v>
                </c:pt>
                <c:pt idx="47">
                  <c:v>296.48200000000003</c:v>
                </c:pt>
                <c:pt idx="48">
                  <c:v>287.346</c:v>
                </c:pt>
                <c:pt idx="49">
                  <c:v>278.57100000000003</c:v>
                </c:pt>
                <c:pt idx="50">
                  <c:v>270.13099999999997</c:v>
                </c:pt>
                <c:pt idx="51">
                  <c:v>262.03100000000001</c:v>
                </c:pt>
                <c:pt idx="52">
                  <c:v>254.23500000000001</c:v>
                </c:pt>
                <c:pt idx="53">
                  <c:v>246.74100000000001</c:v>
                </c:pt>
                <c:pt idx="54">
                  <c:v>239.376</c:v>
                </c:pt>
                <c:pt idx="55">
                  <c:v>231.97</c:v>
                </c:pt>
                <c:pt idx="56">
                  <c:v>224.852</c:v>
                </c:pt>
                <c:pt idx="57">
                  <c:v>218.03899999999999</c:v>
                </c:pt>
                <c:pt idx="58">
                  <c:v>211.51400000000001</c:v>
                </c:pt>
                <c:pt idx="59">
                  <c:v>205.268</c:v>
                </c:pt>
                <c:pt idx="60">
                  <c:v>199.28399999999999</c:v>
                </c:pt>
                <c:pt idx="61">
                  <c:v>193.55799999999999</c:v>
                </c:pt>
                <c:pt idx="62">
                  <c:v>188.071</c:v>
                </c:pt>
                <c:pt idx="63">
                  <c:v>182.81100000000001</c:v>
                </c:pt>
                <c:pt idx="64">
                  <c:v>177.773</c:v>
                </c:pt>
                <c:pt idx="65">
                  <c:v>172.94399999999999</c:v>
                </c:pt>
                <c:pt idx="66">
                  <c:v>168.316</c:v>
                </c:pt>
                <c:pt idx="67">
                  <c:v>163.88</c:v>
                </c:pt>
                <c:pt idx="68">
                  <c:v>159.62799999999999</c:v>
                </c:pt>
                <c:pt idx="69">
                  <c:v>155.55000000000001</c:v>
                </c:pt>
                <c:pt idx="70">
                  <c:v>151.63999999999999</c:v>
                </c:pt>
                <c:pt idx="71">
                  <c:v>147.88999999999999</c:v>
                </c:pt>
                <c:pt idx="72">
                  <c:v>144.292</c:v>
                </c:pt>
                <c:pt idx="73">
                  <c:v>140.84100000000001</c:v>
                </c:pt>
                <c:pt idx="74">
                  <c:v>137.529</c:v>
                </c:pt>
                <c:pt idx="75">
                  <c:v>134.35</c:v>
                </c:pt>
                <c:pt idx="76">
                  <c:v>131.30000000000001</c:v>
                </c:pt>
                <c:pt idx="77">
                  <c:v>128.37100000000001</c:v>
                </c:pt>
                <c:pt idx="78">
                  <c:v>125.559</c:v>
                </c:pt>
                <c:pt idx="79">
                  <c:v>122.858</c:v>
                </c:pt>
                <c:pt idx="80">
                  <c:v>119.64400000000001</c:v>
                </c:pt>
                <c:pt idx="81">
                  <c:v>116.84099999999999</c:v>
                </c:pt>
                <c:pt idx="82">
                  <c:v>114.15</c:v>
                </c:pt>
                <c:pt idx="83">
                  <c:v>111.584</c:v>
                </c:pt>
                <c:pt idx="84">
                  <c:v>109.133</c:v>
                </c:pt>
                <c:pt idx="85">
                  <c:v>106.79300000000001</c:v>
                </c:pt>
                <c:pt idx="86">
                  <c:v>104.557</c:v>
                </c:pt>
                <c:pt idx="87">
                  <c:v>102.42100000000001</c:v>
                </c:pt>
                <c:pt idx="88">
                  <c:v>100.379</c:v>
                </c:pt>
                <c:pt idx="89">
                  <c:v>98.427899999999994</c:v>
                </c:pt>
                <c:pt idx="90">
                  <c:v>96.561599999999999</c:v>
                </c:pt>
                <c:pt idx="91">
                  <c:v>94.776499999999999</c:v>
                </c:pt>
                <c:pt idx="92">
                  <c:v>93.068899999999999</c:v>
                </c:pt>
                <c:pt idx="93">
                  <c:v>91.434799999999996</c:v>
                </c:pt>
                <c:pt idx="94">
                  <c:v>89.870699999999999</c:v>
                </c:pt>
                <c:pt idx="95">
                  <c:v>88.3733</c:v>
                </c:pt>
                <c:pt idx="96">
                  <c:v>86.939099999999996</c:v>
                </c:pt>
                <c:pt idx="97">
                  <c:v>85.565799999999996</c:v>
                </c:pt>
                <c:pt idx="98">
                  <c:v>84.25</c:v>
                </c:pt>
                <c:pt idx="99">
                  <c:v>82.988900000000001</c:v>
                </c:pt>
                <c:pt idx="100">
                  <c:v>81.780600000000007</c:v>
                </c:pt>
                <c:pt idx="101">
                  <c:v>80.622</c:v>
                </c:pt>
                <c:pt idx="102">
                  <c:v>78.655000000000001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3D-454F-A64E-43C8AB1D51F5}"/>
            </c:ext>
          </c:extLst>
        </c:ser>
        <c:ser>
          <c:idx val="4"/>
          <c:order val="4"/>
          <c:tx>
            <c:v>TckSld - dt=10</c:v>
          </c:tx>
          <c:spPr>
            <a:ln w="19050"/>
          </c:spPr>
          <c:marker>
            <c:symbol val="none"/>
          </c:marker>
          <c:xVal>
            <c:numRef>
              <c:f>'REFAP dt 10'!$A$33:$A$135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433.01600000000002</c:v>
                </c:pt>
                <c:pt idx="2">
                  <c:v>432.69</c:v>
                </c:pt>
                <c:pt idx="3">
                  <c:v>432.4</c:v>
                </c:pt>
                <c:pt idx="4">
                  <c:v>432.12599999999998</c:v>
                </c:pt>
                <c:pt idx="5">
                  <c:v>431.85700000000003</c:v>
                </c:pt>
                <c:pt idx="6">
                  <c:v>431.59100000000001</c:v>
                </c:pt>
                <c:pt idx="7">
                  <c:v>431.16699999999997</c:v>
                </c:pt>
                <c:pt idx="8">
                  <c:v>430.77699999999999</c:v>
                </c:pt>
                <c:pt idx="9">
                  <c:v>430.40600000000001</c:v>
                </c:pt>
                <c:pt idx="10">
                  <c:v>430.04599999999999</c:v>
                </c:pt>
                <c:pt idx="11">
                  <c:v>429.69200000000001</c:v>
                </c:pt>
                <c:pt idx="12">
                  <c:v>429.34100000000001</c:v>
                </c:pt>
                <c:pt idx="13">
                  <c:v>428.99099999999999</c:v>
                </c:pt>
                <c:pt idx="14">
                  <c:v>428.64299999999997</c:v>
                </c:pt>
                <c:pt idx="15">
                  <c:v>428.29599999999999</c:v>
                </c:pt>
                <c:pt idx="16">
                  <c:v>427.95</c:v>
                </c:pt>
                <c:pt idx="17">
                  <c:v>427.60399999999998</c:v>
                </c:pt>
                <c:pt idx="18">
                  <c:v>427.25900000000001</c:v>
                </c:pt>
                <c:pt idx="19">
                  <c:v>426.91399999999999</c:v>
                </c:pt>
                <c:pt idx="20">
                  <c:v>426.56700000000001</c:v>
                </c:pt>
                <c:pt idx="21">
                  <c:v>426.221</c:v>
                </c:pt>
                <c:pt idx="22">
                  <c:v>425.87700000000001</c:v>
                </c:pt>
                <c:pt idx="23">
                  <c:v>425.53399999999999</c:v>
                </c:pt>
                <c:pt idx="24">
                  <c:v>425.19099999999997</c:v>
                </c:pt>
                <c:pt idx="25">
                  <c:v>424.84899999999999</c:v>
                </c:pt>
                <c:pt idx="26">
                  <c:v>424.50700000000001</c:v>
                </c:pt>
                <c:pt idx="27">
                  <c:v>424.37099999999998</c:v>
                </c:pt>
                <c:pt idx="28">
                  <c:v>424.37099999999998</c:v>
                </c:pt>
                <c:pt idx="29">
                  <c:v>424.36700000000002</c:v>
                </c:pt>
                <c:pt idx="30">
                  <c:v>424.358</c:v>
                </c:pt>
                <c:pt idx="31">
                  <c:v>424.351</c:v>
                </c:pt>
                <c:pt idx="32">
                  <c:v>424.33800000000002</c:v>
                </c:pt>
                <c:pt idx="33">
                  <c:v>424.31700000000001</c:v>
                </c:pt>
                <c:pt idx="34">
                  <c:v>424.23599999999999</c:v>
                </c:pt>
                <c:pt idx="35">
                  <c:v>424.05200000000002</c:v>
                </c:pt>
                <c:pt idx="36">
                  <c:v>423.89299999999997</c:v>
                </c:pt>
                <c:pt idx="37">
                  <c:v>421.334</c:v>
                </c:pt>
                <c:pt idx="38">
                  <c:v>405.30099999999999</c:v>
                </c:pt>
                <c:pt idx="39">
                  <c:v>388.70299999999997</c:v>
                </c:pt>
                <c:pt idx="40">
                  <c:v>373.03399999999999</c:v>
                </c:pt>
                <c:pt idx="41">
                  <c:v>358.238</c:v>
                </c:pt>
                <c:pt idx="42">
                  <c:v>344.34699999999998</c:v>
                </c:pt>
                <c:pt idx="43">
                  <c:v>331.09800000000001</c:v>
                </c:pt>
                <c:pt idx="44">
                  <c:v>318.48399999999998</c:v>
                </c:pt>
                <c:pt idx="45">
                  <c:v>306.44</c:v>
                </c:pt>
                <c:pt idx="46">
                  <c:v>294.95999999999998</c:v>
                </c:pt>
                <c:pt idx="47">
                  <c:v>284.02</c:v>
                </c:pt>
                <c:pt idx="48">
                  <c:v>273.596</c:v>
                </c:pt>
                <c:pt idx="49">
                  <c:v>263.66399999999999</c:v>
                </c:pt>
                <c:pt idx="50">
                  <c:v>254.202</c:v>
                </c:pt>
                <c:pt idx="51">
                  <c:v>245.18700000000001</c:v>
                </c:pt>
                <c:pt idx="52">
                  <c:v>236.6</c:v>
                </c:pt>
                <c:pt idx="53">
                  <c:v>228.41900000000001</c:v>
                </c:pt>
                <c:pt idx="54">
                  <c:v>220.43700000000001</c:v>
                </c:pt>
                <c:pt idx="55">
                  <c:v>212.42699999999999</c:v>
                </c:pt>
                <c:pt idx="56">
                  <c:v>204.82400000000001</c:v>
                </c:pt>
                <c:pt idx="57">
                  <c:v>197.624</c:v>
                </c:pt>
                <c:pt idx="58">
                  <c:v>190.785</c:v>
                </c:pt>
                <c:pt idx="59">
                  <c:v>184.30099999999999</c:v>
                </c:pt>
                <c:pt idx="60">
                  <c:v>178.15</c:v>
                </c:pt>
                <c:pt idx="61">
                  <c:v>172.315</c:v>
                </c:pt>
                <c:pt idx="62">
                  <c:v>166.77699999999999</c:v>
                </c:pt>
                <c:pt idx="63">
                  <c:v>161.52000000000001</c:v>
                </c:pt>
                <c:pt idx="64">
                  <c:v>156.529</c:v>
                </c:pt>
                <c:pt idx="65">
                  <c:v>151.78899999999999</c:v>
                </c:pt>
                <c:pt idx="66">
                  <c:v>147.285</c:v>
                </c:pt>
                <c:pt idx="67">
                  <c:v>143.005</c:v>
                </c:pt>
                <c:pt idx="68">
                  <c:v>138.93799999999999</c:v>
                </c:pt>
                <c:pt idx="69">
                  <c:v>135.07</c:v>
                </c:pt>
                <c:pt idx="70">
                  <c:v>131.39099999999999</c:v>
                </c:pt>
                <c:pt idx="71">
                  <c:v>127.892</c:v>
                </c:pt>
                <c:pt idx="72">
                  <c:v>124.562</c:v>
                </c:pt>
                <c:pt idx="73">
                  <c:v>121.392</c:v>
                </c:pt>
                <c:pt idx="74">
                  <c:v>118.374</c:v>
                </c:pt>
                <c:pt idx="75">
                  <c:v>115.5</c:v>
                </c:pt>
                <c:pt idx="76">
                  <c:v>112.762</c:v>
                </c:pt>
                <c:pt idx="77">
                  <c:v>110.15300000000001</c:v>
                </c:pt>
                <c:pt idx="78">
                  <c:v>107.666</c:v>
                </c:pt>
                <c:pt idx="79">
                  <c:v>105.27200000000001</c:v>
                </c:pt>
                <c:pt idx="80">
                  <c:v>102.80500000000001</c:v>
                </c:pt>
                <c:pt idx="81">
                  <c:v>100.482</c:v>
                </c:pt>
                <c:pt idx="82">
                  <c:v>98.264600000000002</c:v>
                </c:pt>
                <c:pt idx="83">
                  <c:v>96.150499999999994</c:v>
                </c:pt>
                <c:pt idx="84">
                  <c:v>94.128799999999998</c:v>
                </c:pt>
                <c:pt idx="85">
                  <c:v>92.202399999999997</c:v>
                </c:pt>
                <c:pt idx="86">
                  <c:v>90.365200000000002</c:v>
                </c:pt>
                <c:pt idx="87">
                  <c:v>88.614000000000004</c:v>
                </c:pt>
                <c:pt idx="88">
                  <c:v>86.943700000000007</c:v>
                </c:pt>
                <c:pt idx="89">
                  <c:v>85.350499999999997</c:v>
                </c:pt>
                <c:pt idx="90">
                  <c:v>83.829099999999997</c:v>
                </c:pt>
                <c:pt idx="91">
                  <c:v>82.378900000000002</c:v>
                </c:pt>
                <c:pt idx="92">
                  <c:v>80.995199999999997</c:v>
                </c:pt>
                <c:pt idx="93">
                  <c:v>79.674700000000001</c:v>
                </c:pt>
                <c:pt idx="94">
                  <c:v>78.414299999999997</c:v>
                </c:pt>
                <c:pt idx="95">
                  <c:v>77.210899999999995</c:v>
                </c:pt>
                <c:pt idx="96">
                  <c:v>76.062299999999993</c:v>
                </c:pt>
                <c:pt idx="97">
                  <c:v>74.965500000000006</c:v>
                </c:pt>
                <c:pt idx="98">
                  <c:v>73.918099999999995</c:v>
                </c:pt>
                <c:pt idx="99">
                  <c:v>72.917599999999993</c:v>
                </c:pt>
                <c:pt idx="100">
                  <c:v>71.961600000000004</c:v>
                </c:pt>
                <c:pt idx="101">
                  <c:v>71.0488</c:v>
                </c:pt>
                <c:pt idx="102">
                  <c:v>69.506399999999999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3D-454F-A64E-43C8AB1D51F5}"/>
            </c:ext>
          </c:extLst>
        </c:ser>
        <c:ser>
          <c:idx val="5"/>
          <c:order val="5"/>
          <c:tx>
            <c:v>TckSld - dt=5</c:v>
          </c:tx>
          <c:spPr>
            <a:ln w="19050"/>
          </c:spPr>
          <c:marker>
            <c:symbol val="none"/>
          </c:marker>
          <c:xVal>
            <c:numRef>
              <c:f>'REFAP dt 5'!$A$33:$A$135</c:f>
              <c:numCache>
                <c:formatCode>0</c:formatCode>
                <c:ptCount val="103"/>
                <c:pt idx="0">
                  <c:v>0</c:v>
                </c:pt>
                <c:pt idx="1">
                  <c:v>5.0833300000000001</c:v>
                </c:pt>
                <c:pt idx="2">
                  <c:v>10.166700000000001</c:v>
                </c:pt>
                <c:pt idx="3">
                  <c:v>15.25</c:v>
                </c:pt>
                <c:pt idx="4">
                  <c:v>20.333300000000001</c:v>
                </c:pt>
                <c:pt idx="5">
                  <c:v>25.416699999999999</c:v>
                </c:pt>
                <c:pt idx="6">
                  <c:v>30.5</c:v>
                </c:pt>
                <c:pt idx="7">
                  <c:v>35.583300000000001</c:v>
                </c:pt>
                <c:pt idx="8">
                  <c:v>40.666699999999999</c:v>
                </c:pt>
                <c:pt idx="9">
                  <c:v>45.75</c:v>
                </c:pt>
                <c:pt idx="10">
                  <c:v>50.833300000000001</c:v>
                </c:pt>
                <c:pt idx="11">
                  <c:v>55.916699999999999</c:v>
                </c:pt>
                <c:pt idx="12">
                  <c:v>61</c:v>
                </c:pt>
                <c:pt idx="13">
                  <c:v>66.083299999999994</c:v>
                </c:pt>
                <c:pt idx="14">
                  <c:v>71.166700000000006</c:v>
                </c:pt>
                <c:pt idx="15">
                  <c:v>76.25</c:v>
                </c:pt>
                <c:pt idx="16">
                  <c:v>81.333299999999994</c:v>
                </c:pt>
                <c:pt idx="17">
                  <c:v>86.416700000000006</c:v>
                </c:pt>
                <c:pt idx="18">
                  <c:v>91.5</c:v>
                </c:pt>
                <c:pt idx="19">
                  <c:v>96.583299999999994</c:v>
                </c:pt>
                <c:pt idx="20">
                  <c:v>101.667</c:v>
                </c:pt>
                <c:pt idx="21">
                  <c:v>106.75</c:v>
                </c:pt>
                <c:pt idx="22">
                  <c:v>111.833</c:v>
                </c:pt>
                <c:pt idx="23">
                  <c:v>116.917</c:v>
                </c:pt>
                <c:pt idx="24">
                  <c:v>122</c:v>
                </c:pt>
                <c:pt idx="25">
                  <c:v>127.083</c:v>
                </c:pt>
                <c:pt idx="26">
                  <c:v>132.167</c:v>
                </c:pt>
                <c:pt idx="27">
                  <c:v>137.25</c:v>
                </c:pt>
                <c:pt idx="28">
                  <c:v>142.333</c:v>
                </c:pt>
                <c:pt idx="29">
                  <c:v>147.417</c:v>
                </c:pt>
                <c:pt idx="30">
                  <c:v>152.5</c:v>
                </c:pt>
                <c:pt idx="31">
                  <c:v>157.583</c:v>
                </c:pt>
                <c:pt idx="32">
                  <c:v>162.667</c:v>
                </c:pt>
                <c:pt idx="33">
                  <c:v>167.75</c:v>
                </c:pt>
                <c:pt idx="34">
                  <c:v>172.833</c:v>
                </c:pt>
                <c:pt idx="35">
                  <c:v>177.917</c:v>
                </c:pt>
                <c:pt idx="36">
                  <c:v>183</c:v>
                </c:pt>
                <c:pt idx="37">
                  <c:v>188.083</c:v>
                </c:pt>
                <c:pt idx="38">
                  <c:v>193.167</c:v>
                </c:pt>
                <c:pt idx="39">
                  <c:v>198.25</c:v>
                </c:pt>
                <c:pt idx="40">
                  <c:v>203.333</c:v>
                </c:pt>
                <c:pt idx="41">
                  <c:v>208.417</c:v>
                </c:pt>
                <c:pt idx="42">
                  <c:v>213.5</c:v>
                </c:pt>
                <c:pt idx="43">
                  <c:v>218.583</c:v>
                </c:pt>
                <c:pt idx="44">
                  <c:v>223.667</c:v>
                </c:pt>
                <c:pt idx="45">
                  <c:v>228.75</c:v>
                </c:pt>
                <c:pt idx="46">
                  <c:v>233.833</c:v>
                </c:pt>
                <c:pt idx="47">
                  <c:v>238.917</c:v>
                </c:pt>
                <c:pt idx="48">
                  <c:v>244</c:v>
                </c:pt>
                <c:pt idx="49">
                  <c:v>249.083</c:v>
                </c:pt>
                <c:pt idx="50">
                  <c:v>254.167</c:v>
                </c:pt>
                <c:pt idx="51">
                  <c:v>259.25</c:v>
                </c:pt>
                <c:pt idx="52">
                  <c:v>264.33300000000003</c:v>
                </c:pt>
                <c:pt idx="53">
                  <c:v>269.41699999999997</c:v>
                </c:pt>
                <c:pt idx="54">
                  <c:v>274.5</c:v>
                </c:pt>
                <c:pt idx="55">
                  <c:v>279.58300000000003</c:v>
                </c:pt>
                <c:pt idx="56">
                  <c:v>284.66699999999997</c:v>
                </c:pt>
                <c:pt idx="57">
                  <c:v>289.75</c:v>
                </c:pt>
                <c:pt idx="58">
                  <c:v>294.83300000000003</c:v>
                </c:pt>
                <c:pt idx="59">
                  <c:v>299.91699999999997</c:v>
                </c:pt>
                <c:pt idx="60">
                  <c:v>305</c:v>
                </c:pt>
                <c:pt idx="61">
                  <c:v>310.08300000000003</c:v>
                </c:pt>
                <c:pt idx="62">
                  <c:v>315.16699999999997</c:v>
                </c:pt>
                <c:pt idx="63">
                  <c:v>320.25</c:v>
                </c:pt>
                <c:pt idx="64">
                  <c:v>325.33300000000003</c:v>
                </c:pt>
                <c:pt idx="65">
                  <c:v>330.41699999999997</c:v>
                </c:pt>
                <c:pt idx="66">
                  <c:v>335.5</c:v>
                </c:pt>
                <c:pt idx="67">
                  <c:v>340.58300000000003</c:v>
                </c:pt>
                <c:pt idx="68">
                  <c:v>345.66699999999997</c:v>
                </c:pt>
                <c:pt idx="69">
                  <c:v>350.75</c:v>
                </c:pt>
                <c:pt idx="70">
                  <c:v>355.83300000000003</c:v>
                </c:pt>
                <c:pt idx="71">
                  <c:v>360.91699999999997</c:v>
                </c:pt>
                <c:pt idx="72">
                  <c:v>366</c:v>
                </c:pt>
                <c:pt idx="73">
                  <c:v>371.08300000000003</c:v>
                </c:pt>
                <c:pt idx="74">
                  <c:v>376.16699999999997</c:v>
                </c:pt>
                <c:pt idx="75">
                  <c:v>381.25</c:v>
                </c:pt>
                <c:pt idx="76">
                  <c:v>386.33300000000003</c:v>
                </c:pt>
                <c:pt idx="77">
                  <c:v>391.41699999999997</c:v>
                </c:pt>
                <c:pt idx="78">
                  <c:v>396.5</c:v>
                </c:pt>
                <c:pt idx="79">
                  <c:v>401.58300000000003</c:v>
                </c:pt>
                <c:pt idx="80">
                  <c:v>406.66699999999997</c:v>
                </c:pt>
                <c:pt idx="81">
                  <c:v>411.75</c:v>
                </c:pt>
                <c:pt idx="82">
                  <c:v>416.83300000000003</c:v>
                </c:pt>
                <c:pt idx="83">
                  <c:v>421.91699999999997</c:v>
                </c:pt>
                <c:pt idx="84">
                  <c:v>427</c:v>
                </c:pt>
                <c:pt idx="85">
                  <c:v>432.08300000000003</c:v>
                </c:pt>
                <c:pt idx="86">
                  <c:v>437.16699999999997</c:v>
                </c:pt>
                <c:pt idx="87">
                  <c:v>442.25</c:v>
                </c:pt>
                <c:pt idx="88">
                  <c:v>447.33300000000003</c:v>
                </c:pt>
                <c:pt idx="89">
                  <c:v>452.41699999999997</c:v>
                </c:pt>
                <c:pt idx="90">
                  <c:v>457.5</c:v>
                </c:pt>
                <c:pt idx="91">
                  <c:v>462.58300000000003</c:v>
                </c:pt>
                <c:pt idx="92">
                  <c:v>467.66699999999997</c:v>
                </c:pt>
                <c:pt idx="93">
                  <c:v>472.75</c:v>
                </c:pt>
                <c:pt idx="94">
                  <c:v>477.83300000000003</c:v>
                </c:pt>
                <c:pt idx="95">
                  <c:v>482.91699999999997</c:v>
                </c:pt>
                <c:pt idx="96">
                  <c:v>488</c:v>
                </c:pt>
                <c:pt idx="97">
                  <c:v>493.08300000000003</c:v>
                </c:pt>
                <c:pt idx="98">
                  <c:v>498.16699999999997</c:v>
                </c:pt>
                <c:pt idx="99">
                  <c:v>503.25</c:v>
                </c:pt>
                <c:pt idx="100">
                  <c:v>508.33300000000003</c:v>
                </c:pt>
                <c:pt idx="101">
                  <c:v>514</c:v>
                </c:pt>
              </c:numCache>
            </c:numRef>
          </c:xVal>
          <c:yVal>
            <c:numRef>
              <c:f>'REFAP dt 5'!$D$33:$D$135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432.96100000000001</c:v>
                </c:pt>
                <c:pt idx="2">
                  <c:v>432.65</c:v>
                </c:pt>
                <c:pt idx="3">
                  <c:v>432.36900000000003</c:v>
                </c:pt>
                <c:pt idx="4">
                  <c:v>432.09899999999999</c:v>
                </c:pt>
                <c:pt idx="5">
                  <c:v>431.83</c:v>
                </c:pt>
                <c:pt idx="6">
                  <c:v>431.54500000000002</c:v>
                </c:pt>
                <c:pt idx="7">
                  <c:v>431.13400000000001</c:v>
                </c:pt>
                <c:pt idx="8">
                  <c:v>430.755</c:v>
                </c:pt>
                <c:pt idx="9">
                  <c:v>430.392</c:v>
                </c:pt>
                <c:pt idx="10">
                  <c:v>430.03199999999998</c:v>
                </c:pt>
                <c:pt idx="11">
                  <c:v>429.67500000000001</c:v>
                </c:pt>
                <c:pt idx="12">
                  <c:v>429.31900000000002</c:v>
                </c:pt>
                <c:pt idx="13">
                  <c:v>428.964</c:v>
                </c:pt>
                <c:pt idx="14">
                  <c:v>428.60899999999998</c:v>
                </c:pt>
                <c:pt idx="15">
                  <c:v>428.25400000000002</c:v>
                </c:pt>
                <c:pt idx="16">
                  <c:v>427.9</c:v>
                </c:pt>
                <c:pt idx="17">
                  <c:v>427.54700000000003</c:v>
                </c:pt>
                <c:pt idx="18">
                  <c:v>427.19400000000002</c:v>
                </c:pt>
                <c:pt idx="19">
                  <c:v>426.84100000000001</c:v>
                </c:pt>
                <c:pt idx="20">
                  <c:v>426.49</c:v>
                </c:pt>
                <c:pt idx="21">
                  <c:v>426.13900000000001</c:v>
                </c:pt>
                <c:pt idx="22">
                  <c:v>425.78800000000001</c:v>
                </c:pt>
                <c:pt idx="23">
                  <c:v>425.43700000000001</c:v>
                </c:pt>
                <c:pt idx="24">
                  <c:v>425.08800000000002</c:v>
                </c:pt>
                <c:pt idx="25">
                  <c:v>424.72899999999998</c:v>
                </c:pt>
                <c:pt idx="26">
                  <c:v>424.387</c:v>
                </c:pt>
                <c:pt idx="27">
                  <c:v>424.387</c:v>
                </c:pt>
                <c:pt idx="28">
                  <c:v>424.387</c:v>
                </c:pt>
                <c:pt idx="29">
                  <c:v>424.387</c:v>
                </c:pt>
                <c:pt idx="30">
                  <c:v>424.387</c:v>
                </c:pt>
                <c:pt idx="31">
                  <c:v>424.37299999999999</c:v>
                </c:pt>
                <c:pt idx="32">
                  <c:v>424.35399999999998</c:v>
                </c:pt>
                <c:pt idx="33">
                  <c:v>424.30599999999998</c:v>
                </c:pt>
                <c:pt idx="34">
                  <c:v>424.21100000000001</c:v>
                </c:pt>
                <c:pt idx="35">
                  <c:v>423.85700000000003</c:v>
                </c:pt>
                <c:pt idx="36">
                  <c:v>423.73700000000002</c:v>
                </c:pt>
                <c:pt idx="37">
                  <c:v>417.46800000000002</c:v>
                </c:pt>
                <c:pt idx="38">
                  <c:v>397.72</c:v>
                </c:pt>
                <c:pt idx="39">
                  <c:v>378.71699999999998</c:v>
                </c:pt>
                <c:pt idx="40">
                  <c:v>360.786</c:v>
                </c:pt>
                <c:pt idx="41">
                  <c:v>343.91300000000001</c:v>
                </c:pt>
                <c:pt idx="42">
                  <c:v>327.863</c:v>
                </c:pt>
                <c:pt idx="43">
                  <c:v>312.75200000000001</c:v>
                </c:pt>
                <c:pt idx="44">
                  <c:v>298.815</c:v>
                </c:pt>
                <c:pt idx="45">
                  <c:v>285.65800000000002</c:v>
                </c:pt>
                <c:pt idx="46">
                  <c:v>273.226</c:v>
                </c:pt>
                <c:pt idx="47">
                  <c:v>261.48899999999998</c:v>
                </c:pt>
                <c:pt idx="48">
                  <c:v>250.40899999999999</c:v>
                </c:pt>
                <c:pt idx="49">
                  <c:v>239.947</c:v>
                </c:pt>
                <c:pt idx="50">
                  <c:v>230.07499999999999</c:v>
                </c:pt>
                <c:pt idx="51">
                  <c:v>220.75800000000001</c:v>
                </c:pt>
                <c:pt idx="52">
                  <c:v>211.96199999999999</c:v>
                </c:pt>
                <c:pt idx="53">
                  <c:v>203.03899999999999</c:v>
                </c:pt>
                <c:pt idx="54">
                  <c:v>194.55699999999999</c:v>
                </c:pt>
                <c:pt idx="55">
                  <c:v>186.614</c:v>
                </c:pt>
                <c:pt idx="56">
                  <c:v>179.15100000000001</c:v>
                </c:pt>
                <c:pt idx="57">
                  <c:v>172.15899999999999</c:v>
                </c:pt>
                <c:pt idx="58">
                  <c:v>165.589</c:v>
                </c:pt>
                <c:pt idx="59">
                  <c:v>159.422</c:v>
                </c:pt>
                <c:pt idx="60">
                  <c:v>153.62700000000001</c:v>
                </c:pt>
                <c:pt idx="61">
                  <c:v>148.17500000000001</c:v>
                </c:pt>
                <c:pt idx="62">
                  <c:v>143.05500000000001</c:v>
                </c:pt>
                <c:pt idx="63">
                  <c:v>138.24100000000001</c:v>
                </c:pt>
                <c:pt idx="64">
                  <c:v>133.70699999999999</c:v>
                </c:pt>
                <c:pt idx="65">
                  <c:v>129.44300000000001</c:v>
                </c:pt>
                <c:pt idx="66">
                  <c:v>125.428</c:v>
                </c:pt>
                <c:pt idx="67">
                  <c:v>121.642</c:v>
                </c:pt>
                <c:pt idx="68">
                  <c:v>118.07599999999999</c:v>
                </c:pt>
                <c:pt idx="69">
                  <c:v>114.714</c:v>
                </c:pt>
                <c:pt idx="70">
                  <c:v>111.539</c:v>
                </c:pt>
                <c:pt idx="71">
                  <c:v>108.545</c:v>
                </c:pt>
                <c:pt idx="72">
                  <c:v>105.718</c:v>
                </c:pt>
                <c:pt idx="73">
                  <c:v>103.045</c:v>
                </c:pt>
                <c:pt idx="74">
                  <c:v>100.52</c:v>
                </c:pt>
                <c:pt idx="75">
                  <c:v>98.134</c:v>
                </c:pt>
                <c:pt idx="76">
                  <c:v>95.874899999999997</c:v>
                </c:pt>
                <c:pt idx="77">
                  <c:v>93.738600000000005</c:v>
                </c:pt>
                <c:pt idx="78">
                  <c:v>91.319199999999995</c:v>
                </c:pt>
                <c:pt idx="79">
                  <c:v>89.208799999999997</c:v>
                </c:pt>
                <c:pt idx="80">
                  <c:v>87.124099999999999</c:v>
                </c:pt>
                <c:pt idx="81">
                  <c:v>85.230900000000005</c:v>
                </c:pt>
                <c:pt idx="82">
                  <c:v>83.449399999999997</c:v>
                </c:pt>
                <c:pt idx="83">
                  <c:v>81.688699999999997</c:v>
                </c:pt>
                <c:pt idx="84">
                  <c:v>80.086500000000001</c:v>
                </c:pt>
                <c:pt idx="85">
                  <c:v>78.577500000000001</c:v>
                </c:pt>
                <c:pt idx="86">
                  <c:v>77.086200000000005</c:v>
                </c:pt>
                <c:pt idx="87">
                  <c:v>75.731999999999999</c:v>
                </c:pt>
                <c:pt idx="88">
                  <c:v>74.455699999999993</c:v>
                </c:pt>
                <c:pt idx="89">
                  <c:v>73.193299999999994</c:v>
                </c:pt>
                <c:pt idx="90">
                  <c:v>72.046899999999994</c:v>
                </c:pt>
                <c:pt idx="91">
                  <c:v>70.965500000000006</c:v>
                </c:pt>
                <c:pt idx="92">
                  <c:v>69.894999999999996</c:v>
                </c:pt>
                <c:pt idx="93">
                  <c:v>68.922700000000006</c:v>
                </c:pt>
                <c:pt idx="94">
                  <c:v>68.004800000000003</c:v>
                </c:pt>
                <c:pt idx="95">
                  <c:v>67.095500000000001</c:v>
                </c:pt>
                <c:pt idx="96">
                  <c:v>66.2697</c:v>
                </c:pt>
                <c:pt idx="97">
                  <c:v>65.489400000000003</c:v>
                </c:pt>
                <c:pt idx="98">
                  <c:v>64.715800000000002</c:v>
                </c:pt>
                <c:pt idx="99">
                  <c:v>64.012900000000002</c:v>
                </c:pt>
                <c:pt idx="100">
                  <c:v>63.348300000000002</c:v>
                </c:pt>
                <c:pt idx="101">
                  <c:v>62.625799999999998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3D-454F-A64E-43C8AB1D51F5}"/>
            </c:ext>
          </c:extLst>
        </c:ser>
        <c:ser>
          <c:idx val="6"/>
          <c:order val="6"/>
          <c:tx>
            <c:v>TckSld - dt=2</c:v>
          </c:tx>
          <c:spPr>
            <a:ln w="19050"/>
          </c:spPr>
          <c:marker>
            <c:symbol val="none"/>
          </c:marker>
          <c:xVal>
            <c:numRef>
              <c:f>'REFAP dt 2'!$A$33:$A$135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2'!$D$33:$D$135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432.93900000000002</c:v>
                </c:pt>
                <c:pt idx="2">
                  <c:v>432.64699999999999</c:v>
                </c:pt>
                <c:pt idx="3">
                  <c:v>432.37</c:v>
                </c:pt>
                <c:pt idx="4">
                  <c:v>432.09699999999998</c:v>
                </c:pt>
                <c:pt idx="5">
                  <c:v>431.82499999999999</c:v>
                </c:pt>
                <c:pt idx="6">
                  <c:v>431.52600000000001</c:v>
                </c:pt>
                <c:pt idx="7">
                  <c:v>431.13099999999997</c:v>
                </c:pt>
                <c:pt idx="8">
                  <c:v>430.74799999999999</c:v>
                </c:pt>
                <c:pt idx="9">
                  <c:v>430.36399999999998</c:v>
                </c:pt>
                <c:pt idx="10">
                  <c:v>429.98</c:v>
                </c:pt>
                <c:pt idx="11">
                  <c:v>429.59699999999998</c:v>
                </c:pt>
                <c:pt idx="12">
                  <c:v>429.214</c:v>
                </c:pt>
                <c:pt idx="13">
                  <c:v>428.83300000000003</c:v>
                </c:pt>
                <c:pt idx="14">
                  <c:v>428.45100000000002</c:v>
                </c:pt>
                <c:pt idx="15">
                  <c:v>428.06900000000002</c:v>
                </c:pt>
                <c:pt idx="16">
                  <c:v>427.68799999999999</c:v>
                </c:pt>
                <c:pt idx="17">
                  <c:v>427.30700000000002</c:v>
                </c:pt>
                <c:pt idx="18">
                  <c:v>426.92700000000002</c:v>
                </c:pt>
                <c:pt idx="19">
                  <c:v>426.54700000000003</c:v>
                </c:pt>
                <c:pt idx="20">
                  <c:v>426.16699999999997</c:v>
                </c:pt>
                <c:pt idx="21">
                  <c:v>425.78899999999999</c:v>
                </c:pt>
                <c:pt idx="22">
                  <c:v>425.41</c:v>
                </c:pt>
                <c:pt idx="23">
                  <c:v>425.03199999999998</c:v>
                </c:pt>
                <c:pt idx="24">
                  <c:v>424.654</c:v>
                </c:pt>
                <c:pt idx="25">
                  <c:v>424.27699999999999</c:v>
                </c:pt>
                <c:pt idx="26">
                  <c:v>424.00900000000001</c:v>
                </c:pt>
                <c:pt idx="27">
                  <c:v>424.00900000000001</c:v>
                </c:pt>
                <c:pt idx="28">
                  <c:v>424.00900000000001</c:v>
                </c:pt>
                <c:pt idx="29">
                  <c:v>424.00900000000001</c:v>
                </c:pt>
                <c:pt idx="30">
                  <c:v>424.00900000000001</c:v>
                </c:pt>
                <c:pt idx="31">
                  <c:v>424.00900000000001</c:v>
                </c:pt>
                <c:pt idx="32">
                  <c:v>423.97800000000001</c:v>
                </c:pt>
                <c:pt idx="33">
                  <c:v>423.916</c:v>
                </c:pt>
                <c:pt idx="34">
                  <c:v>423.79500000000002</c:v>
                </c:pt>
                <c:pt idx="35">
                  <c:v>423.47800000000001</c:v>
                </c:pt>
                <c:pt idx="36">
                  <c:v>423.44200000000001</c:v>
                </c:pt>
                <c:pt idx="37">
                  <c:v>412.73700000000002</c:v>
                </c:pt>
                <c:pt idx="38">
                  <c:v>389.65899999999999</c:v>
                </c:pt>
                <c:pt idx="39">
                  <c:v>368.08</c:v>
                </c:pt>
                <c:pt idx="40">
                  <c:v>347.93099999999998</c:v>
                </c:pt>
                <c:pt idx="41">
                  <c:v>329.13499999999999</c:v>
                </c:pt>
                <c:pt idx="42">
                  <c:v>311.601</c:v>
                </c:pt>
                <c:pt idx="43">
                  <c:v>295.35700000000003</c:v>
                </c:pt>
                <c:pt idx="44">
                  <c:v>279.94600000000003</c:v>
                </c:pt>
                <c:pt idx="45">
                  <c:v>265.75599999999997</c:v>
                </c:pt>
                <c:pt idx="46">
                  <c:v>252.60300000000001</c:v>
                </c:pt>
                <c:pt idx="47">
                  <c:v>240.30099999999999</c:v>
                </c:pt>
                <c:pt idx="48">
                  <c:v>228.80099999999999</c:v>
                </c:pt>
                <c:pt idx="49">
                  <c:v>218.05199999999999</c:v>
                </c:pt>
                <c:pt idx="50">
                  <c:v>208.006</c:v>
                </c:pt>
                <c:pt idx="51">
                  <c:v>198.619</c:v>
                </c:pt>
                <c:pt idx="52">
                  <c:v>189.679</c:v>
                </c:pt>
                <c:pt idx="53">
                  <c:v>180.71299999999999</c:v>
                </c:pt>
                <c:pt idx="54">
                  <c:v>172.39699999999999</c:v>
                </c:pt>
                <c:pt idx="55">
                  <c:v>164.69499999999999</c:v>
                </c:pt>
                <c:pt idx="56">
                  <c:v>157.55099999999999</c:v>
                </c:pt>
                <c:pt idx="57">
                  <c:v>150.922</c:v>
                </c:pt>
                <c:pt idx="58">
                  <c:v>144.768</c:v>
                </c:pt>
                <c:pt idx="59">
                  <c:v>139.048</c:v>
                </c:pt>
                <c:pt idx="60">
                  <c:v>133.72800000000001</c:v>
                </c:pt>
                <c:pt idx="61">
                  <c:v>128.779</c:v>
                </c:pt>
                <c:pt idx="62">
                  <c:v>124.16800000000001</c:v>
                </c:pt>
                <c:pt idx="63">
                  <c:v>119.87</c:v>
                </c:pt>
                <c:pt idx="64">
                  <c:v>115.863</c:v>
                </c:pt>
                <c:pt idx="65">
                  <c:v>112.122</c:v>
                </c:pt>
                <c:pt idx="66">
                  <c:v>108.627</c:v>
                </c:pt>
                <c:pt idx="67">
                  <c:v>105.361</c:v>
                </c:pt>
                <c:pt idx="68">
                  <c:v>102.306</c:v>
                </c:pt>
                <c:pt idx="69">
                  <c:v>99.445800000000006</c:v>
                </c:pt>
                <c:pt idx="70">
                  <c:v>96.767899999999997</c:v>
                </c:pt>
                <c:pt idx="71">
                  <c:v>94.257499999999993</c:v>
                </c:pt>
                <c:pt idx="72">
                  <c:v>91.903099999999995</c:v>
                </c:pt>
                <c:pt idx="73">
                  <c:v>89.694400000000002</c:v>
                </c:pt>
                <c:pt idx="74">
                  <c:v>87.619900000000001</c:v>
                </c:pt>
                <c:pt idx="75">
                  <c:v>85.6708</c:v>
                </c:pt>
                <c:pt idx="76">
                  <c:v>83.838899999999995</c:v>
                </c:pt>
                <c:pt idx="77">
                  <c:v>81.782200000000003</c:v>
                </c:pt>
                <c:pt idx="78">
                  <c:v>79.643799999999999</c:v>
                </c:pt>
                <c:pt idx="79">
                  <c:v>77.657899999999998</c:v>
                </c:pt>
                <c:pt idx="80">
                  <c:v>75.783500000000004</c:v>
                </c:pt>
                <c:pt idx="81">
                  <c:v>74.076300000000003</c:v>
                </c:pt>
                <c:pt idx="82">
                  <c:v>72.493399999999994</c:v>
                </c:pt>
                <c:pt idx="83">
                  <c:v>70.997</c:v>
                </c:pt>
                <c:pt idx="84">
                  <c:v>69.632400000000004</c:v>
                </c:pt>
                <c:pt idx="85">
                  <c:v>68.365399999999994</c:v>
                </c:pt>
                <c:pt idx="86">
                  <c:v>67.165899999999993</c:v>
                </c:pt>
                <c:pt idx="87">
                  <c:v>66.070899999999995</c:v>
                </c:pt>
                <c:pt idx="88">
                  <c:v>65.052700000000002</c:v>
                </c:pt>
                <c:pt idx="89">
                  <c:v>64.087500000000006</c:v>
                </c:pt>
                <c:pt idx="90">
                  <c:v>63.205300000000001</c:v>
                </c:pt>
                <c:pt idx="91">
                  <c:v>62.383899999999997</c:v>
                </c:pt>
                <c:pt idx="92">
                  <c:v>61.604300000000002</c:v>
                </c:pt>
                <c:pt idx="93">
                  <c:v>60.890900000000002</c:v>
                </c:pt>
                <c:pt idx="94">
                  <c:v>60.2258</c:v>
                </c:pt>
                <c:pt idx="95">
                  <c:v>59.593800000000002</c:v>
                </c:pt>
                <c:pt idx="96">
                  <c:v>59.014699999999998</c:v>
                </c:pt>
                <c:pt idx="97">
                  <c:v>58.474200000000003</c:v>
                </c:pt>
                <c:pt idx="98">
                  <c:v>57.959800000000001</c:v>
                </c:pt>
                <c:pt idx="99">
                  <c:v>57.488</c:v>
                </c:pt>
                <c:pt idx="100">
                  <c:v>56.988799999999998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3D-454F-A64E-43C8AB1D51F5}"/>
            </c:ext>
          </c:extLst>
        </c:ser>
        <c:ser>
          <c:idx val="7"/>
          <c:order val="7"/>
          <c:tx>
            <c:v>TckSld - dt=1</c:v>
          </c:tx>
          <c:spPr>
            <a:ln w="19050"/>
          </c:spPr>
          <c:marker>
            <c:symbol val="none"/>
          </c:marker>
          <c:xVal>
            <c:numRef>
              <c:f>'REFAP dt 1'!$A$33:$A$88</c:f>
              <c:numCache>
                <c:formatCode>0</c:formatCode>
                <c:ptCount val="56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</c:numCache>
            </c:numRef>
          </c:xVal>
          <c:yVal>
            <c:numRef>
              <c:f>'REFAP dt 1'!$D$33:$D$88</c:f>
              <c:numCache>
                <c:formatCode>0</c:formatCode>
                <c:ptCount val="56"/>
                <c:pt idx="0">
                  <c:v>433.4</c:v>
                </c:pt>
                <c:pt idx="1">
                  <c:v>433.03800000000001</c:v>
                </c:pt>
                <c:pt idx="2">
                  <c:v>432.76499999999999</c:v>
                </c:pt>
                <c:pt idx="3">
                  <c:v>432.49299999999999</c:v>
                </c:pt>
                <c:pt idx="4">
                  <c:v>432.22</c:v>
                </c:pt>
                <c:pt idx="5">
                  <c:v>431.947</c:v>
                </c:pt>
                <c:pt idx="6">
                  <c:v>431.65199999999999</c:v>
                </c:pt>
                <c:pt idx="7">
                  <c:v>431.26299999999998</c:v>
                </c:pt>
                <c:pt idx="8">
                  <c:v>430.88799999999998</c:v>
                </c:pt>
                <c:pt idx="9">
                  <c:v>430.51499999999999</c:v>
                </c:pt>
                <c:pt idx="10">
                  <c:v>429.71899999999999</c:v>
                </c:pt>
                <c:pt idx="11">
                  <c:v>428.81900000000002</c:v>
                </c:pt>
                <c:pt idx="12">
                  <c:v>427.93200000000002</c:v>
                </c:pt>
                <c:pt idx="13">
                  <c:v>427.03800000000001</c:v>
                </c:pt>
                <c:pt idx="14">
                  <c:v>426.53</c:v>
                </c:pt>
                <c:pt idx="15">
                  <c:v>426.13400000000001</c:v>
                </c:pt>
                <c:pt idx="16">
                  <c:v>425.74099999999999</c:v>
                </c:pt>
                <c:pt idx="17">
                  <c:v>425.34500000000003</c:v>
                </c:pt>
                <c:pt idx="18">
                  <c:v>424.94900000000001</c:v>
                </c:pt>
                <c:pt idx="19">
                  <c:v>424.553</c:v>
                </c:pt>
                <c:pt idx="20">
                  <c:v>424.15899999999999</c:v>
                </c:pt>
                <c:pt idx="21">
                  <c:v>423.76499999999999</c:v>
                </c:pt>
                <c:pt idx="22">
                  <c:v>423.37200000000001</c:v>
                </c:pt>
                <c:pt idx="23">
                  <c:v>422.98</c:v>
                </c:pt>
                <c:pt idx="24">
                  <c:v>422.34199999999998</c:v>
                </c:pt>
                <c:pt idx="25">
                  <c:v>421.452</c:v>
                </c:pt>
                <c:pt idx="26">
                  <c:v>420.827</c:v>
                </c:pt>
                <c:pt idx="27">
                  <c:v>420.827</c:v>
                </c:pt>
                <c:pt idx="28">
                  <c:v>420.827</c:v>
                </c:pt>
                <c:pt idx="29">
                  <c:v>420.827</c:v>
                </c:pt>
                <c:pt idx="30">
                  <c:v>420.827</c:v>
                </c:pt>
                <c:pt idx="31">
                  <c:v>420.827</c:v>
                </c:pt>
                <c:pt idx="32">
                  <c:v>420.827</c:v>
                </c:pt>
                <c:pt idx="33">
                  <c:v>420.78500000000003</c:v>
                </c:pt>
                <c:pt idx="34">
                  <c:v>420.66</c:v>
                </c:pt>
                <c:pt idx="35">
                  <c:v>420.19499999999999</c:v>
                </c:pt>
                <c:pt idx="36">
                  <c:v>420.113</c:v>
                </c:pt>
                <c:pt idx="37">
                  <c:v>418.05900000000003</c:v>
                </c:pt>
                <c:pt idx="38">
                  <c:v>412.10399999999998</c:v>
                </c:pt>
                <c:pt idx="39">
                  <c:v>386.56900000000002</c:v>
                </c:pt>
                <c:pt idx="40">
                  <c:v>362.97300000000001</c:v>
                </c:pt>
                <c:pt idx="41">
                  <c:v>341.17200000000003</c:v>
                </c:pt>
                <c:pt idx="42">
                  <c:v>320.99900000000002</c:v>
                </c:pt>
                <c:pt idx="43">
                  <c:v>302.387</c:v>
                </c:pt>
                <c:pt idx="44">
                  <c:v>285.38499999999999</c:v>
                </c:pt>
                <c:pt idx="45">
                  <c:v>269.23200000000003</c:v>
                </c:pt>
                <c:pt idx="46">
                  <c:v>254.566</c:v>
                </c:pt>
                <c:pt idx="47">
                  <c:v>240.929</c:v>
                </c:pt>
                <c:pt idx="48">
                  <c:v>228.285</c:v>
                </c:pt>
                <c:pt idx="49">
                  <c:v>216.56800000000001</c:v>
                </c:pt>
                <c:pt idx="50">
                  <c:v>205.702</c:v>
                </c:pt>
                <c:pt idx="51">
                  <c:v>195.62799999999999</c:v>
                </c:pt>
                <c:pt idx="52">
                  <c:v>186.09800000000001</c:v>
                </c:pt>
                <c:pt idx="53">
                  <c:v>176.61799999999999</c:v>
                </c:pt>
                <c:pt idx="54">
                  <c:v>167.935</c:v>
                </c:pt>
                <c:pt idx="55">
                  <c:v>159.93899999999999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3D-454F-A64E-43C8AB1D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8864"/>
        <c:axId val="420791040"/>
        <c:extLst/>
      </c:scatterChart>
      <c:valAx>
        <c:axId val="420788864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91040"/>
        <c:crosses val="autoZero"/>
        <c:crossBetween val="midCat"/>
      </c:valAx>
      <c:valAx>
        <c:axId val="420791040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788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200'!$D$32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200'!$A$33:$A$187</c:f>
              <c:numCache>
                <c:formatCode>0</c:formatCode>
                <c:ptCount val="155"/>
                <c:pt idx="0">
                  <c:v>0</c:v>
                </c:pt>
                <c:pt idx="1">
                  <c:v>3.3333300000000001</c:v>
                </c:pt>
                <c:pt idx="2">
                  <c:v>6.6666699999999999</c:v>
                </c:pt>
                <c:pt idx="3">
                  <c:v>10</c:v>
                </c:pt>
                <c:pt idx="4">
                  <c:v>13.333299999999999</c:v>
                </c:pt>
                <c:pt idx="5">
                  <c:v>16.666699999999999</c:v>
                </c:pt>
                <c:pt idx="6">
                  <c:v>20</c:v>
                </c:pt>
                <c:pt idx="7">
                  <c:v>23.333300000000001</c:v>
                </c:pt>
                <c:pt idx="8">
                  <c:v>26.666699999999999</c:v>
                </c:pt>
                <c:pt idx="9">
                  <c:v>30</c:v>
                </c:pt>
                <c:pt idx="10">
                  <c:v>33.333300000000001</c:v>
                </c:pt>
                <c:pt idx="11">
                  <c:v>36.666699999999999</c:v>
                </c:pt>
                <c:pt idx="12">
                  <c:v>40</c:v>
                </c:pt>
                <c:pt idx="13">
                  <c:v>43.333300000000001</c:v>
                </c:pt>
                <c:pt idx="14">
                  <c:v>46.666699999999999</c:v>
                </c:pt>
                <c:pt idx="15">
                  <c:v>50</c:v>
                </c:pt>
                <c:pt idx="16">
                  <c:v>53.333300000000001</c:v>
                </c:pt>
                <c:pt idx="17">
                  <c:v>56.666699999999999</c:v>
                </c:pt>
                <c:pt idx="18">
                  <c:v>60</c:v>
                </c:pt>
                <c:pt idx="19">
                  <c:v>63.333300000000001</c:v>
                </c:pt>
                <c:pt idx="20">
                  <c:v>66.666700000000006</c:v>
                </c:pt>
                <c:pt idx="21">
                  <c:v>70</c:v>
                </c:pt>
                <c:pt idx="22">
                  <c:v>73.333299999999994</c:v>
                </c:pt>
                <c:pt idx="23">
                  <c:v>76.666700000000006</c:v>
                </c:pt>
                <c:pt idx="24">
                  <c:v>80</c:v>
                </c:pt>
                <c:pt idx="25">
                  <c:v>83.333299999999994</c:v>
                </c:pt>
                <c:pt idx="26">
                  <c:v>86.666700000000006</c:v>
                </c:pt>
                <c:pt idx="27">
                  <c:v>90</c:v>
                </c:pt>
                <c:pt idx="28">
                  <c:v>93.333299999999994</c:v>
                </c:pt>
                <c:pt idx="29">
                  <c:v>96.666700000000006</c:v>
                </c:pt>
                <c:pt idx="30">
                  <c:v>100</c:v>
                </c:pt>
                <c:pt idx="31">
                  <c:v>103.333</c:v>
                </c:pt>
                <c:pt idx="32">
                  <c:v>106.667</c:v>
                </c:pt>
                <c:pt idx="33">
                  <c:v>110</c:v>
                </c:pt>
                <c:pt idx="34">
                  <c:v>113.333</c:v>
                </c:pt>
                <c:pt idx="35">
                  <c:v>116.667</c:v>
                </c:pt>
                <c:pt idx="36">
                  <c:v>120</c:v>
                </c:pt>
                <c:pt idx="37">
                  <c:v>123.333</c:v>
                </c:pt>
                <c:pt idx="38">
                  <c:v>126.667</c:v>
                </c:pt>
                <c:pt idx="39">
                  <c:v>130</c:v>
                </c:pt>
                <c:pt idx="40">
                  <c:v>133.333</c:v>
                </c:pt>
                <c:pt idx="41">
                  <c:v>136.667</c:v>
                </c:pt>
                <c:pt idx="42">
                  <c:v>140</c:v>
                </c:pt>
                <c:pt idx="43">
                  <c:v>143.333</c:v>
                </c:pt>
                <c:pt idx="44">
                  <c:v>146.667</c:v>
                </c:pt>
                <c:pt idx="45">
                  <c:v>150</c:v>
                </c:pt>
                <c:pt idx="46">
                  <c:v>153.333</c:v>
                </c:pt>
                <c:pt idx="47">
                  <c:v>156.667</c:v>
                </c:pt>
                <c:pt idx="48">
                  <c:v>160</c:v>
                </c:pt>
                <c:pt idx="49">
                  <c:v>163.333</c:v>
                </c:pt>
                <c:pt idx="50">
                  <c:v>166.667</c:v>
                </c:pt>
                <c:pt idx="51">
                  <c:v>170</c:v>
                </c:pt>
                <c:pt idx="52">
                  <c:v>173.333</c:v>
                </c:pt>
                <c:pt idx="53">
                  <c:v>176.667</c:v>
                </c:pt>
                <c:pt idx="54">
                  <c:v>180</c:v>
                </c:pt>
                <c:pt idx="55">
                  <c:v>183.333</c:v>
                </c:pt>
                <c:pt idx="56">
                  <c:v>186.667</c:v>
                </c:pt>
                <c:pt idx="57">
                  <c:v>190</c:v>
                </c:pt>
                <c:pt idx="58">
                  <c:v>193.333</c:v>
                </c:pt>
                <c:pt idx="59">
                  <c:v>196.667</c:v>
                </c:pt>
                <c:pt idx="60">
                  <c:v>200</c:v>
                </c:pt>
                <c:pt idx="61">
                  <c:v>203.333</c:v>
                </c:pt>
                <c:pt idx="62">
                  <c:v>206.667</c:v>
                </c:pt>
                <c:pt idx="63">
                  <c:v>210</c:v>
                </c:pt>
                <c:pt idx="64">
                  <c:v>213.333</c:v>
                </c:pt>
                <c:pt idx="65">
                  <c:v>216.667</c:v>
                </c:pt>
                <c:pt idx="66">
                  <c:v>220</c:v>
                </c:pt>
                <c:pt idx="67">
                  <c:v>223.333</c:v>
                </c:pt>
                <c:pt idx="68">
                  <c:v>226.667</c:v>
                </c:pt>
                <c:pt idx="69">
                  <c:v>230</c:v>
                </c:pt>
                <c:pt idx="70">
                  <c:v>233.333</c:v>
                </c:pt>
                <c:pt idx="71">
                  <c:v>236.667</c:v>
                </c:pt>
                <c:pt idx="72">
                  <c:v>240</c:v>
                </c:pt>
                <c:pt idx="73">
                  <c:v>243.333</c:v>
                </c:pt>
                <c:pt idx="74">
                  <c:v>246.667</c:v>
                </c:pt>
                <c:pt idx="75">
                  <c:v>250</c:v>
                </c:pt>
                <c:pt idx="76">
                  <c:v>253.333</c:v>
                </c:pt>
                <c:pt idx="77">
                  <c:v>256.66699999999997</c:v>
                </c:pt>
                <c:pt idx="78">
                  <c:v>260</c:v>
                </c:pt>
                <c:pt idx="79">
                  <c:v>263.33300000000003</c:v>
                </c:pt>
                <c:pt idx="80">
                  <c:v>266.66699999999997</c:v>
                </c:pt>
                <c:pt idx="81">
                  <c:v>270</c:v>
                </c:pt>
                <c:pt idx="82">
                  <c:v>273.33300000000003</c:v>
                </c:pt>
                <c:pt idx="83">
                  <c:v>276.66699999999997</c:v>
                </c:pt>
                <c:pt idx="84">
                  <c:v>280</c:v>
                </c:pt>
                <c:pt idx="85">
                  <c:v>283.33300000000003</c:v>
                </c:pt>
                <c:pt idx="86">
                  <c:v>286.66699999999997</c:v>
                </c:pt>
                <c:pt idx="87">
                  <c:v>290</c:v>
                </c:pt>
                <c:pt idx="88">
                  <c:v>293.33300000000003</c:v>
                </c:pt>
                <c:pt idx="89">
                  <c:v>296.66699999999997</c:v>
                </c:pt>
                <c:pt idx="90">
                  <c:v>300</c:v>
                </c:pt>
                <c:pt idx="91">
                  <c:v>303.33300000000003</c:v>
                </c:pt>
                <c:pt idx="92">
                  <c:v>306.66699999999997</c:v>
                </c:pt>
                <c:pt idx="93">
                  <c:v>310</c:v>
                </c:pt>
                <c:pt idx="94">
                  <c:v>313.33300000000003</c:v>
                </c:pt>
                <c:pt idx="95">
                  <c:v>316.66699999999997</c:v>
                </c:pt>
                <c:pt idx="96">
                  <c:v>320</c:v>
                </c:pt>
                <c:pt idx="97">
                  <c:v>323.33300000000003</c:v>
                </c:pt>
                <c:pt idx="98">
                  <c:v>326.66699999999997</c:v>
                </c:pt>
                <c:pt idx="99">
                  <c:v>330</c:v>
                </c:pt>
                <c:pt idx="100">
                  <c:v>333.33300000000003</c:v>
                </c:pt>
                <c:pt idx="101">
                  <c:v>336.66699999999997</c:v>
                </c:pt>
                <c:pt idx="102">
                  <c:v>340</c:v>
                </c:pt>
                <c:pt idx="103">
                  <c:v>343.33300000000003</c:v>
                </c:pt>
                <c:pt idx="104">
                  <c:v>346.66699999999997</c:v>
                </c:pt>
                <c:pt idx="105">
                  <c:v>350</c:v>
                </c:pt>
                <c:pt idx="106">
                  <c:v>353.33300000000003</c:v>
                </c:pt>
                <c:pt idx="107">
                  <c:v>356.66699999999997</c:v>
                </c:pt>
                <c:pt idx="108">
                  <c:v>360</c:v>
                </c:pt>
                <c:pt idx="109">
                  <c:v>363.33300000000003</c:v>
                </c:pt>
                <c:pt idx="110">
                  <c:v>366.66699999999997</c:v>
                </c:pt>
                <c:pt idx="111">
                  <c:v>370</c:v>
                </c:pt>
                <c:pt idx="112">
                  <c:v>373.33300000000003</c:v>
                </c:pt>
                <c:pt idx="113" formatCode="General">
                  <c:v>376.66699999999997</c:v>
                </c:pt>
                <c:pt idx="114" formatCode="General">
                  <c:v>380</c:v>
                </c:pt>
                <c:pt idx="115" formatCode="General">
                  <c:v>383.33300000000003</c:v>
                </c:pt>
                <c:pt idx="116" formatCode="General">
                  <c:v>386.66699999999997</c:v>
                </c:pt>
                <c:pt idx="117" formatCode="General">
                  <c:v>390</c:v>
                </c:pt>
                <c:pt idx="118" formatCode="General">
                  <c:v>393.33300000000003</c:v>
                </c:pt>
                <c:pt idx="119" formatCode="General">
                  <c:v>396.66699999999997</c:v>
                </c:pt>
                <c:pt idx="120" formatCode="0.0000">
                  <c:v>400</c:v>
                </c:pt>
                <c:pt idx="121" formatCode="General">
                  <c:v>403.33300000000003</c:v>
                </c:pt>
                <c:pt idx="122" formatCode="0.0000">
                  <c:v>406.66699999999997</c:v>
                </c:pt>
                <c:pt idx="123" formatCode="General">
                  <c:v>410</c:v>
                </c:pt>
                <c:pt idx="124" formatCode="General">
                  <c:v>413.33300000000003</c:v>
                </c:pt>
                <c:pt idx="125" formatCode="General">
                  <c:v>416.66699999999997</c:v>
                </c:pt>
                <c:pt idx="126" formatCode="General">
                  <c:v>420</c:v>
                </c:pt>
                <c:pt idx="127" formatCode="General">
                  <c:v>423.33300000000003</c:v>
                </c:pt>
                <c:pt idx="128" formatCode="General">
                  <c:v>426.66699999999997</c:v>
                </c:pt>
                <c:pt idx="129" formatCode="General">
                  <c:v>430</c:v>
                </c:pt>
                <c:pt idx="130" formatCode="General">
                  <c:v>433.33300000000003</c:v>
                </c:pt>
                <c:pt idx="131" formatCode="General">
                  <c:v>436.66699999999997</c:v>
                </c:pt>
                <c:pt idx="132" formatCode="General">
                  <c:v>440</c:v>
                </c:pt>
                <c:pt idx="133" formatCode="General">
                  <c:v>443.33300000000003</c:v>
                </c:pt>
                <c:pt idx="134" formatCode="General">
                  <c:v>446.66699999999997</c:v>
                </c:pt>
                <c:pt idx="135" formatCode="General">
                  <c:v>450</c:v>
                </c:pt>
                <c:pt idx="136" formatCode="General">
                  <c:v>453.33300000000003</c:v>
                </c:pt>
                <c:pt idx="137" formatCode="General">
                  <c:v>456.66699999999997</c:v>
                </c:pt>
                <c:pt idx="138" formatCode="General">
                  <c:v>460</c:v>
                </c:pt>
                <c:pt idx="139" formatCode="General">
                  <c:v>463.33300000000003</c:v>
                </c:pt>
                <c:pt idx="140" formatCode="General">
                  <c:v>466.66699999999997</c:v>
                </c:pt>
                <c:pt idx="141" formatCode="General">
                  <c:v>470</c:v>
                </c:pt>
                <c:pt idx="142" formatCode="General">
                  <c:v>473.33300000000003</c:v>
                </c:pt>
                <c:pt idx="143" formatCode="General">
                  <c:v>476.66699999999997</c:v>
                </c:pt>
                <c:pt idx="144" formatCode="General">
                  <c:v>480</c:v>
                </c:pt>
                <c:pt idx="145" formatCode="General">
                  <c:v>483.33300000000003</c:v>
                </c:pt>
                <c:pt idx="146" formatCode="General">
                  <c:v>486.66699999999997</c:v>
                </c:pt>
                <c:pt idx="147" formatCode="General">
                  <c:v>490</c:v>
                </c:pt>
                <c:pt idx="148" formatCode="General">
                  <c:v>493.33300000000003</c:v>
                </c:pt>
                <c:pt idx="149" formatCode="General">
                  <c:v>496.66699999999997</c:v>
                </c:pt>
                <c:pt idx="150" formatCode="General">
                  <c:v>500</c:v>
                </c:pt>
                <c:pt idx="151" formatCode="General">
                  <c:v>503.33300000000003</c:v>
                </c:pt>
                <c:pt idx="152" formatCode="General">
                  <c:v>506.66699999999997</c:v>
                </c:pt>
                <c:pt idx="153" formatCode="General">
                  <c:v>510</c:v>
                </c:pt>
                <c:pt idx="154" formatCode="General">
                  <c:v>514</c:v>
                </c:pt>
              </c:numCache>
            </c:numRef>
          </c:xVal>
          <c:yVal>
            <c:numRef>
              <c:f>'REFAP dt 200'!$D$33:$D$187</c:f>
              <c:numCache>
                <c:formatCode>0</c:formatCode>
                <c:ptCount val="155"/>
                <c:pt idx="0">
                  <c:v>433.4</c:v>
                </c:pt>
                <c:pt idx="1">
                  <c:v>433.4</c:v>
                </c:pt>
                <c:pt idx="2">
                  <c:v>433.36500000000001</c:v>
                </c:pt>
                <c:pt idx="3">
                  <c:v>432.791</c:v>
                </c:pt>
                <c:pt idx="4">
                  <c:v>432.76499999999999</c:v>
                </c:pt>
                <c:pt idx="5">
                  <c:v>432.25400000000002</c:v>
                </c:pt>
                <c:pt idx="6">
                  <c:v>432.22300000000001</c:v>
                </c:pt>
                <c:pt idx="7">
                  <c:v>431.69299999999998</c:v>
                </c:pt>
                <c:pt idx="8">
                  <c:v>431.66500000000002</c:v>
                </c:pt>
                <c:pt idx="9">
                  <c:v>431.16800000000001</c:v>
                </c:pt>
                <c:pt idx="10">
                  <c:v>431.16800000000001</c:v>
                </c:pt>
                <c:pt idx="11">
                  <c:v>430.52699999999999</c:v>
                </c:pt>
                <c:pt idx="12">
                  <c:v>430.47899999999998</c:v>
                </c:pt>
                <c:pt idx="13">
                  <c:v>429.84</c:v>
                </c:pt>
                <c:pt idx="14">
                  <c:v>429.79399999999998</c:v>
                </c:pt>
                <c:pt idx="15">
                  <c:v>429.18099999999998</c:v>
                </c:pt>
                <c:pt idx="16">
                  <c:v>429.13</c:v>
                </c:pt>
                <c:pt idx="17">
                  <c:v>428.56400000000002</c:v>
                </c:pt>
                <c:pt idx="18">
                  <c:v>428.50599999999997</c:v>
                </c:pt>
                <c:pt idx="19">
                  <c:v>427.94</c:v>
                </c:pt>
                <c:pt idx="20">
                  <c:v>427.88299999999998</c:v>
                </c:pt>
                <c:pt idx="21">
                  <c:v>427.32400000000001</c:v>
                </c:pt>
                <c:pt idx="22">
                  <c:v>427.26499999999999</c:v>
                </c:pt>
                <c:pt idx="23">
                  <c:v>426.74599999999998</c:v>
                </c:pt>
                <c:pt idx="24">
                  <c:v>426.67899999999997</c:v>
                </c:pt>
                <c:pt idx="25">
                  <c:v>426.16300000000001</c:v>
                </c:pt>
                <c:pt idx="26">
                  <c:v>426.096</c:v>
                </c:pt>
                <c:pt idx="27">
                  <c:v>425.59</c:v>
                </c:pt>
                <c:pt idx="28">
                  <c:v>425.52</c:v>
                </c:pt>
                <c:pt idx="29">
                  <c:v>425.04500000000002</c:v>
                </c:pt>
                <c:pt idx="30">
                  <c:v>424.96899999999999</c:v>
                </c:pt>
                <c:pt idx="31">
                  <c:v>424.49299999999999</c:v>
                </c:pt>
                <c:pt idx="32">
                  <c:v>424.41800000000001</c:v>
                </c:pt>
                <c:pt idx="33">
                  <c:v>423.95400000000001</c:v>
                </c:pt>
                <c:pt idx="34">
                  <c:v>423.87400000000002</c:v>
                </c:pt>
                <c:pt idx="35">
                  <c:v>423.43900000000002</c:v>
                </c:pt>
                <c:pt idx="36">
                  <c:v>423.35199999999998</c:v>
                </c:pt>
                <c:pt idx="37">
                  <c:v>422.91800000000001</c:v>
                </c:pt>
                <c:pt idx="38">
                  <c:v>422.83199999999999</c:v>
                </c:pt>
                <c:pt idx="39">
                  <c:v>422.40800000000002</c:v>
                </c:pt>
                <c:pt idx="40">
                  <c:v>422.31700000000001</c:v>
                </c:pt>
                <c:pt idx="41">
                  <c:v>422.31700000000001</c:v>
                </c:pt>
                <c:pt idx="42">
                  <c:v>422.31700000000001</c:v>
                </c:pt>
                <c:pt idx="43">
                  <c:v>422.291</c:v>
                </c:pt>
                <c:pt idx="44">
                  <c:v>422.26</c:v>
                </c:pt>
                <c:pt idx="45">
                  <c:v>422.173</c:v>
                </c:pt>
                <c:pt idx="46">
                  <c:v>422.173</c:v>
                </c:pt>
                <c:pt idx="47">
                  <c:v>422.173</c:v>
                </c:pt>
                <c:pt idx="48">
                  <c:v>416.48500000000001</c:v>
                </c:pt>
                <c:pt idx="49">
                  <c:v>412.49599999999998</c:v>
                </c:pt>
                <c:pt idx="50">
                  <c:v>407.67500000000001</c:v>
                </c:pt>
                <c:pt idx="51">
                  <c:v>403.59500000000003</c:v>
                </c:pt>
                <c:pt idx="52">
                  <c:v>399.09199999999998</c:v>
                </c:pt>
                <c:pt idx="53">
                  <c:v>394.95600000000002</c:v>
                </c:pt>
                <c:pt idx="54">
                  <c:v>390.67</c:v>
                </c:pt>
                <c:pt idx="55">
                  <c:v>386.56700000000001</c:v>
                </c:pt>
                <c:pt idx="56">
                  <c:v>382.43200000000002</c:v>
                </c:pt>
                <c:pt idx="57">
                  <c:v>378.37799999999999</c:v>
                </c:pt>
                <c:pt idx="58">
                  <c:v>374.37099999999998</c:v>
                </c:pt>
                <c:pt idx="59">
                  <c:v>370.42099999999999</c:v>
                </c:pt>
                <c:pt idx="60">
                  <c:v>366.50799999999998</c:v>
                </c:pt>
                <c:pt idx="61">
                  <c:v>362.65699999999998</c:v>
                </c:pt>
                <c:pt idx="62">
                  <c:v>358.84300000000002</c:v>
                </c:pt>
                <c:pt idx="63">
                  <c:v>355.08499999999998</c:v>
                </c:pt>
                <c:pt idx="64">
                  <c:v>351.37</c:v>
                </c:pt>
                <c:pt idx="65">
                  <c:v>347.70299999999997</c:v>
                </c:pt>
                <c:pt idx="66">
                  <c:v>344.08100000000002</c:v>
                </c:pt>
                <c:pt idx="67">
                  <c:v>340.50599999999997</c:v>
                </c:pt>
                <c:pt idx="68">
                  <c:v>336.97500000000002</c:v>
                </c:pt>
                <c:pt idx="69">
                  <c:v>333.46600000000001</c:v>
                </c:pt>
                <c:pt idx="70">
                  <c:v>330.00400000000002</c:v>
                </c:pt>
                <c:pt idx="71">
                  <c:v>326.63</c:v>
                </c:pt>
                <c:pt idx="72">
                  <c:v>323.26600000000002</c:v>
                </c:pt>
                <c:pt idx="73">
                  <c:v>319.95499999999998</c:v>
                </c:pt>
                <c:pt idx="74">
                  <c:v>316.68799999999999</c:v>
                </c:pt>
                <c:pt idx="75">
                  <c:v>313.452</c:v>
                </c:pt>
                <c:pt idx="76">
                  <c:v>310.26600000000002</c:v>
                </c:pt>
                <c:pt idx="77">
                  <c:v>307.113</c:v>
                </c:pt>
                <c:pt idx="78">
                  <c:v>304.00400000000002</c:v>
                </c:pt>
                <c:pt idx="79">
                  <c:v>300.93099999999998</c:v>
                </c:pt>
                <c:pt idx="80">
                  <c:v>297.899</c:v>
                </c:pt>
                <c:pt idx="81">
                  <c:v>297.416</c:v>
                </c:pt>
                <c:pt idx="82">
                  <c:v>293.97199999999998</c:v>
                </c:pt>
                <c:pt idx="83">
                  <c:v>290.24900000000002</c:v>
                </c:pt>
                <c:pt idx="84">
                  <c:v>287.37900000000002</c:v>
                </c:pt>
                <c:pt idx="85">
                  <c:v>284.34699999999998</c:v>
                </c:pt>
                <c:pt idx="86">
                  <c:v>281.50400000000002</c:v>
                </c:pt>
                <c:pt idx="87">
                  <c:v>278.40800000000002</c:v>
                </c:pt>
                <c:pt idx="88">
                  <c:v>275.72699999999998</c:v>
                </c:pt>
                <c:pt idx="89">
                  <c:v>272.68299999999999</c:v>
                </c:pt>
                <c:pt idx="90">
                  <c:v>270.01299999999998</c:v>
                </c:pt>
                <c:pt idx="91">
                  <c:v>267.11799999999999</c:v>
                </c:pt>
                <c:pt idx="92">
                  <c:v>264.45</c:v>
                </c:pt>
                <c:pt idx="93">
                  <c:v>261.68099999999998</c:v>
                </c:pt>
                <c:pt idx="94">
                  <c:v>259.04300000000001</c:v>
                </c:pt>
                <c:pt idx="95">
                  <c:v>256.37799999999999</c:v>
                </c:pt>
                <c:pt idx="96">
                  <c:v>253.78100000000001</c:v>
                </c:pt>
                <c:pt idx="97">
                  <c:v>251.20599999999999</c:v>
                </c:pt>
                <c:pt idx="98">
                  <c:v>248.66900000000001</c:v>
                </c:pt>
                <c:pt idx="99">
                  <c:v>246.16499999999999</c:v>
                </c:pt>
                <c:pt idx="100">
                  <c:v>243.69399999999999</c:v>
                </c:pt>
                <c:pt idx="101">
                  <c:v>241.25700000000001</c:v>
                </c:pt>
                <c:pt idx="102">
                  <c:v>238.85</c:v>
                </c:pt>
                <c:pt idx="103">
                  <c:v>236.47499999999999</c:v>
                </c:pt>
                <c:pt idx="104">
                  <c:v>234.136</c:v>
                </c:pt>
                <c:pt idx="105">
                  <c:v>231.82400000000001</c:v>
                </c:pt>
                <c:pt idx="106">
                  <c:v>229.541</c:v>
                </c:pt>
                <c:pt idx="107">
                  <c:v>227.29499999999999</c:v>
                </c:pt>
                <c:pt idx="108">
                  <c:v>225.07300000000001</c:v>
                </c:pt>
                <c:pt idx="109">
                  <c:v>222.88499999999999</c:v>
                </c:pt>
                <c:pt idx="110">
                  <c:v>220.72200000000001</c:v>
                </c:pt>
                <c:pt idx="111">
                  <c:v>218.58699999999999</c:v>
                </c:pt>
                <c:pt idx="112">
                  <c:v>216.48500000000001</c:v>
                </c:pt>
                <c:pt idx="113">
                  <c:v>214.40600000000001</c:v>
                </c:pt>
                <c:pt idx="114" formatCode="General">
                  <c:v>212.358</c:v>
                </c:pt>
                <c:pt idx="115" formatCode="General">
                  <c:v>210.33500000000001</c:v>
                </c:pt>
                <c:pt idx="116" formatCode="General">
                  <c:v>208.339</c:v>
                </c:pt>
                <c:pt idx="117" formatCode="General">
                  <c:v>206.37</c:v>
                </c:pt>
                <c:pt idx="118" formatCode="General">
                  <c:v>204.42599999999999</c:v>
                </c:pt>
                <c:pt idx="119" formatCode="General">
                  <c:v>204.36199999999999</c:v>
                </c:pt>
                <c:pt idx="120" formatCode="General">
                  <c:v>204.36199999999999</c:v>
                </c:pt>
                <c:pt idx="121" formatCode="General">
                  <c:v>201.803</c:v>
                </c:pt>
                <c:pt idx="122" formatCode="General">
                  <c:v>199.91900000000001</c:v>
                </c:pt>
                <c:pt idx="123" formatCode="General">
                  <c:v>197.72499999999999</c:v>
                </c:pt>
                <c:pt idx="124" formatCode="General">
                  <c:v>195.74700000000001</c:v>
                </c:pt>
                <c:pt idx="125" formatCode="General">
                  <c:v>193.71799999999999</c:v>
                </c:pt>
                <c:pt idx="126" formatCode="General">
                  <c:v>191.74100000000001</c:v>
                </c:pt>
                <c:pt idx="127" formatCode="General">
                  <c:v>189.803</c:v>
                </c:pt>
                <c:pt idx="128" formatCode="General">
                  <c:v>187.869</c:v>
                </c:pt>
                <c:pt idx="129" formatCode="General">
                  <c:v>185.99299999999999</c:v>
                </c:pt>
                <c:pt idx="130" formatCode="General">
                  <c:v>184.11500000000001</c:v>
                </c:pt>
                <c:pt idx="131" formatCode="General">
                  <c:v>182.292</c:v>
                </c:pt>
                <c:pt idx="132" formatCode="General">
                  <c:v>180.47300000000001</c:v>
                </c:pt>
                <c:pt idx="133" formatCode="General">
                  <c:v>178.7</c:v>
                </c:pt>
                <c:pt idx="134" formatCode="General">
                  <c:v>176.93799999999999</c:v>
                </c:pt>
                <c:pt idx="135" formatCode="General">
                  <c:v>175.21299999999999</c:v>
                </c:pt>
                <c:pt idx="136" formatCode="General">
                  <c:v>173.506</c:v>
                </c:pt>
                <c:pt idx="137" formatCode="General">
                  <c:v>171.82900000000001</c:v>
                </c:pt>
                <c:pt idx="138" formatCode="General">
                  <c:v>170.173</c:v>
                </c:pt>
                <c:pt idx="139" formatCode="General">
                  <c:v>168.54400000000001</c:v>
                </c:pt>
                <c:pt idx="140" formatCode="General">
                  <c:v>166.93700000000001</c:v>
                </c:pt>
                <c:pt idx="141" formatCode="General">
                  <c:v>165.35499999999999</c:v>
                </c:pt>
                <c:pt idx="142" formatCode="General">
                  <c:v>163.79499999999999</c:v>
                </c:pt>
                <c:pt idx="143" formatCode="General">
                  <c:v>162.25800000000001</c:v>
                </c:pt>
                <c:pt idx="144" formatCode="General">
                  <c:v>160.744</c:v>
                </c:pt>
                <c:pt idx="145" formatCode="General">
                  <c:v>159.251</c:v>
                </c:pt>
                <c:pt idx="146" formatCode="General">
                  <c:v>157.78100000000001</c:v>
                </c:pt>
                <c:pt idx="147" formatCode="General">
                  <c:v>156.33099999999999</c:v>
                </c:pt>
                <c:pt idx="148" formatCode="General">
                  <c:v>154.90299999999999</c:v>
                </c:pt>
                <c:pt idx="149" formatCode="General">
                  <c:v>153.495</c:v>
                </c:pt>
                <c:pt idx="150" formatCode="General">
                  <c:v>152.10900000000001</c:v>
                </c:pt>
                <c:pt idx="151" formatCode="General">
                  <c:v>150.74100000000001</c:v>
                </c:pt>
                <c:pt idx="152" formatCode="General">
                  <c:v>149.39400000000001</c:v>
                </c:pt>
                <c:pt idx="153" formatCode="General">
                  <c:v>148.066</c:v>
                </c:pt>
                <c:pt idx="154" formatCode="General">
                  <c:v>146.75700000000001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98-476A-98B2-D99E8609E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200'!$Z$33:$Z$632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200'!$AP$33:$AP$632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1D98-476A-98B2-D99E8609E213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D98-476A-98B2-D99E8609E213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D98-476A-98B2-D99E8609E213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200'!$Z$33:$Z$632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200'!$AN$33:$AN$632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D98-476A-98B2-D99E8609E213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200'!$F$32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200'!$A$33:$A$187</c:f>
              <c:numCache>
                <c:formatCode>0</c:formatCode>
                <c:ptCount val="155"/>
                <c:pt idx="0">
                  <c:v>0</c:v>
                </c:pt>
                <c:pt idx="1">
                  <c:v>3.3333300000000001</c:v>
                </c:pt>
                <c:pt idx="2">
                  <c:v>6.6666699999999999</c:v>
                </c:pt>
                <c:pt idx="3">
                  <c:v>10</c:v>
                </c:pt>
                <c:pt idx="4">
                  <c:v>13.333299999999999</c:v>
                </c:pt>
                <c:pt idx="5">
                  <c:v>16.666699999999999</c:v>
                </c:pt>
                <c:pt idx="6">
                  <c:v>20</c:v>
                </c:pt>
                <c:pt idx="7">
                  <c:v>23.333300000000001</c:v>
                </c:pt>
                <c:pt idx="8">
                  <c:v>26.666699999999999</c:v>
                </c:pt>
                <c:pt idx="9">
                  <c:v>30</c:v>
                </c:pt>
                <c:pt idx="10">
                  <c:v>33.333300000000001</c:v>
                </c:pt>
                <c:pt idx="11">
                  <c:v>36.666699999999999</c:v>
                </c:pt>
                <c:pt idx="12">
                  <c:v>40</c:v>
                </c:pt>
                <c:pt idx="13">
                  <c:v>43.333300000000001</c:v>
                </c:pt>
                <c:pt idx="14">
                  <c:v>46.666699999999999</c:v>
                </c:pt>
                <c:pt idx="15">
                  <c:v>50</c:v>
                </c:pt>
                <c:pt idx="16">
                  <c:v>53.333300000000001</c:v>
                </c:pt>
                <c:pt idx="17">
                  <c:v>56.666699999999999</c:v>
                </c:pt>
                <c:pt idx="18">
                  <c:v>60</c:v>
                </c:pt>
                <c:pt idx="19">
                  <c:v>63.333300000000001</c:v>
                </c:pt>
                <c:pt idx="20">
                  <c:v>66.666700000000006</c:v>
                </c:pt>
                <c:pt idx="21">
                  <c:v>70</c:v>
                </c:pt>
                <c:pt idx="22">
                  <c:v>73.333299999999994</c:v>
                </c:pt>
                <c:pt idx="23">
                  <c:v>76.666700000000006</c:v>
                </c:pt>
                <c:pt idx="24">
                  <c:v>80</c:v>
                </c:pt>
                <c:pt idx="25">
                  <c:v>83.333299999999994</c:v>
                </c:pt>
                <c:pt idx="26">
                  <c:v>86.666700000000006</c:v>
                </c:pt>
                <c:pt idx="27">
                  <c:v>90</c:v>
                </c:pt>
                <c:pt idx="28">
                  <c:v>93.333299999999994</c:v>
                </c:pt>
                <c:pt idx="29">
                  <c:v>96.666700000000006</c:v>
                </c:pt>
                <c:pt idx="30">
                  <c:v>100</c:v>
                </c:pt>
                <c:pt idx="31">
                  <c:v>103.333</c:v>
                </c:pt>
                <c:pt idx="32">
                  <c:v>106.667</c:v>
                </c:pt>
                <c:pt idx="33">
                  <c:v>110</c:v>
                </c:pt>
                <c:pt idx="34">
                  <c:v>113.333</c:v>
                </c:pt>
                <c:pt idx="35">
                  <c:v>116.667</c:v>
                </c:pt>
                <c:pt idx="36">
                  <c:v>120</c:v>
                </c:pt>
                <c:pt idx="37">
                  <c:v>123.333</c:v>
                </c:pt>
                <c:pt idx="38">
                  <c:v>126.667</c:v>
                </c:pt>
                <c:pt idx="39">
                  <c:v>130</c:v>
                </c:pt>
                <c:pt idx="40">
                  <c:v>133.333</c:v>
                </c:pt>
                <c:pt idx="41">
                  <c:v>136.667</c:v>
                </c:pt>
                <c:pt idx="42">
                  <c:v>140</c:v>
                </c:pt>
                <c:pt idx="43">
                  <c:v>143.333</c:v>
                </c:pt>
                <c:pt idx="44">
                  <c:v>146.667</c:v>
                </c:pt>
                <c:pt idx="45">
                  <c:v>150</c:v>
                </c:pt>
                <c:pt idx="46">
                  <c:v>153.333</c:v>
                </c:pt>
                <c:pt idx="47">
                  <c:v>156.667</c:v>
                </c:pt>
                <c:pt idx="48">
                  <c:v>160</c:v>
                </c:pt>
                <c:pt idx="49">
                  <c:v>163.333</c:v>
                </c:pt>
                <c:pt idx="50">
                  <c:v>166.667</c:v>
                </c:pt>
                <c:pt idx="51">
                  <c:v>170</c:v>
                </c:pt>
                <c:pt idx="52">
                  <c:v>173.333</c:v>
                </c:pt>
                <c:pt idx="53">
                  <c:v>176.667</c:v>
                </c:pt>
                <c:pt idx="54">
                  <c:v>180</c:v>
                </c:pt>
                <c:pt idx="55">
                  <c:v>183.333</c:v>
                </c:pt>
                <c:pt idx="56">
                  <c:v>186.667</c:v>
                </c:pt>
                <c:pt idx="57">
                  <c:v>190</c:v>
                </c:pt>
                <c:pt idx="58">
                  <c:v>193.333</c:v>
                </c:pt>
                <c:pt idx="59">
                  <c:v>196.667</c:v>
                </c:pt>
                <c:pt idx="60">
                  <c:v>200</c:v>
                </c:pt>
                <c:pt idx="61">
                  <c:v>203.333</c:v>
                </c:pt>
                <c:pt idx="62">
                  <c:v>206.667</c:v>
                </c:pt>
                <c:pt idx="63">
                  <c:v>210</c:v>
                </c:pt>
                <c:pt idx="64">
                  <c:v>213.333</c:v>
                </c:pt>
                <c:pt idx="65">
                  <c:v>216.667</c:v>
                </c:pt>
                <c:pt idx="66">
                  <c:v>220</c:v>
                </c:pt>
                <c:pt idx="67">
                  <c:v>223.333</c:v>
                </c:pt>
                <c:pt idx="68">
                  <c:v>226.667</c:v>
                </c:pt>
                <c:pt idx="69">
                  <c:v>230</c:v>
                </c:pt>
                <c:pt idx="70">
                  <c:v>233.333</c:v>
                </c:pt>
                <c:pt idx="71">
                  <c:v>236.667</c:v>
                </c:pt>
                <c:pt idx="72">
                  <c:v>240</c:v>
                </c:pt>
                <c:pt idx="73">
                  <c:v>243.333</c:v>
                </c:pt>
                <c:pt idx="74">
                  <c:v>246.667</c:v>
                </c:pt>
                <c:pt idx="75">
                  <c:v>250</c:v>
                </c:pt>
                <c:pt idx="76">
                  <c:v>253.333</c:v>
                </c:pt>
                <c:pt idx="77">
                  <c:v>256.66699999999997</c:v>
                </c:pt>
                <c:pt idx="78">
                  <c:v>260</c:v>
                </c:pt>
                <c:pt idx="79">
                  <c:v>263.33300000000003</c:v>
                </c:pt>
                <c:pt idx="80">
                  <c:v>266.66699999999997</c:v>
                </c:pt>
                <c:pt idx="81">
                  <c:v>270</c:v>
                </c:pt>
                <c:pt idx="82">
                  <c:v>273.33300000000003</c:v>
                </c:pt>
                <c:pt idx="83">
                  <c:v>276.66699999999997</c:v>
                </c:pt>
                <c:pt idx="84">
                  <c:v>280</c:v>
                </c:pt>
                <c:pt idx="85">
                  <c:v>283.33300000000003</c:v>
                </c:pt>
                <c:pt idx="86">
                  <c:v>286.66699999999997</c:v>
                </c:pt>
                <c:pt idx="87">
                  <c:v>290</c:v>
                </c:pt>
                <c:pt idx="88">
                  <c:v>293.33300000000003</c:v>
                </c:pt>
                <c:pt idx="89">
                  <c:v>296.66699999999997</c:v>
                </c:pt>
                <c:pt idx="90">
                  <c:v>300</c:v>
                </c:pt>
                <c:pt idx="91">
                  <c:v>303.33300000000003</c:v>
                </c:pt>
                <c:pt idx="92">
                  <c:v>306.66699999999997</c:v>
                </c:pt>
                <c:pt idx="93">
                  <c:v>310</c:v>
                </c:pt>
                <c:pt idx="94">
                  <c:v>313.33300000000003</c:v>
                </c:pt>
                <c:pt idx="95">
                  <c:v>316.66699999999997</c:v>
                </c:pt>
                <c:pt idx="96">
                  <c:v>320</c:v>
                </c:pt>
                <c:pt idx="97">
                  <c:v>323.33300000000003</c:v>
                </c:pt>
                <c:pt idx="98">
                  <c:v>326.66699999999997</c:v>
                </c:pt>
                <c:pt idx="99">
                  <c:v>330</c:v>
                </c:pt>
                <c:pt idx="100">
                  <c:v>333.33300000000003</c:v>
                </c:pt>
                <c:pt idx="101">
                  <c:v>336.66699999999997</c:v>
                </c:pt>
                <c:pt idx="102">
                  <c:v>340</c:v>
                </c:pt>
                <c:pt idx="103">
                  <c:v>343.33300000000003</c:v>
                </c:pt>
                <c:pt idx="104">
                  <c:v>346.66699999999997</c:v>
                </c:pt>
                <c:pt idx="105">
                  <c:v>350</c:v>
                </c:pt>
                <c:pt idx="106">
                  <c:v>353.33300000000003</c:v>
                </c:pt>
                <c:pt idx="107">
                  <c:v>356.66699999999997</c:v>
                </c:pt>
                <c:pt idx="108">
                  <c:v>360</c:v>
                </c:pt>
                <c:pt idx="109">
                  <c:v>363.33300000000003</c:v>
                </c:pt>
                <c:pt idx="110">
                  <c:v>366.66699999999997</c:v>
                </c:pt>
                <c:pt idx="111">
                  <c:v>370</c:v>
                </c:pt>
                <c:pt idx="112">
                  <c:v>373.33300000000003</c:v>
                </c:pt>
                <c:pt idx="113" formatCode="General">
                  <c:v>376.66699999999997</c:v>
                </c:pt>
                <c:pt idx="114" formatCode="General">
                  <c:v>380</c:v>
                </c:pt>
                <c:pt idx="115" formatCode="General">
                  <c:v>383.33300000000003</c:v>
                </c:pt>
                <c:pt idx="116" formatCode="General">
                  <c:v>386.66699999999997</c:v>
                </c:pt>
                <c:pt idx="117" formatCode="General">
                  <c:v>390</c:v>
                </c:pt>
                <c:pt idx="118" formatCode="General">
                  <c:v>393.33300000000003</c:v>
                </c:pt>
                <c:pt idx="119" formatCode="General">
                  <c:v>396.66699999999997</c:v>
                </c:pt>
                <c:pt idx="120" formatCode="0.0000">
                  <c:v>400</c:v>
                </c:pt>
                <c:pt idx="121" formatCode="General">
                  <c:v>403.33300000000003</c:v>
                </c:pt>
                <c:pt idx="122" formatCode="0.0000">
                  <c:v>406.66699999999997</c:v>
                </c:pt>
                <c:pt idx="123" formatCode="General">
                  <c:v>410</c:v>
                </c:pt>
                <c:pt idx="124" formatCode="General">
                  <c:v>413.33300000000003</c:v>
                </c:pt>
                <c:pt idx="125" formatCode="General">
                  <c:v>416.66699999999997</c:v>
                </c:pt>
                <c:pt idx="126" formatCode="General">
                  <c:v>420</c:v>
                </c:pt>
                <c:pt idx="127" formatCode="General">
                  <c:v>423.33300000000003</c:v>
                </c:pt>
                <c:pt idx="128" formatCode="General">
                  <c:v>426.66699999999997</c:v>
                </c:pt>
                <c:pt idx="129" formatCode="General">
                  <c:v>430</c:v>
                </c:pt>
                <c:pt idx="130" formatCode="General">
                  <c:v>433.33300000000003</c:v>
                </c:pt>
                <c:pt idx="131" formatCode="General">
                  <c:v>436.66699999999997</c:v>
                </c:pt>
                <c:pt idx="132" formatCode="General">
                  <c:v>440</c:v>
                </c:pt>
                <c:pt idx="133" formatCode="General">
                  <c:v>443.33300000000003</c:v>
                </c:pt>
                <c:pt idx="134" formatCode="General">
                  <c:v>446.66699999999997</c:v>
                </c:pt>
                <c:pt idx="135" formatCode="General">
                  <c:v>450</c:v>
                </c:pt>
                <c:pt idx="136" formatCode="General">
                  <c:v>453.33300000000003</c:v>
                </c:pt>
                <c:pt idx="137" formatCode="General">
                  <c:v>456.66699999999997</c:v>
                </c:pt>
                <c:pt idx="138" formatCode="General">
                  <c:v>460</c:v>
                </c:pt>
                <c:pt idx="139" formatCode="General">
                  <c:v>463.33300000000003</c:v>
                </c:pt>
                <c:pt idx="140" formatCode="General">
                  <c:v>466.66699999999997</c:v>
                </c:pt>
                <c:pt idx="141" formatCode="General">
                  <c:v>470</c:v>
                </c:pt>
                <c:pt idx="142" formatCode="General">
                  <c:v>473.33300000000003</c:v>
                </c:pt>
                <c:pt idx="143" formatCode="General">
                  <c:v>476.66699999999997</c:v>
                </c:pt>
                <c:pt idx="144" formatCode="General">
                  <c:v>480</c:v>
                </c:pt>
                <c:pt idx="145" formatCode="General">
                  <c:v>483.33300000000003</c:v>
                </c:pt>
                <c:pt idx="146" formatCode="General">
                  <c:v>486.66699999999997</c:v>
                </c:pt>
                <c:pt idx="147" formatCode="General">
                  <c:v>490</c:v>
                </c:pt>
                <c:pt idx="148" formatCode="General">
                  <c:v>493.33300000000003</c:v>
                </c:pt>
                <c:pt idx="149" formatCode="General">
                  <c:v>496.66699999999997</c:v>
                </c:pt>
                <c:pt idx="150" formatCode="General">
                  <c:v>500</c:v>
                </c:pt>
                <c:pt idx="151" formatCode="General">
                  <c:v>503.33300000000003</c:v>
                </c:pt>
                <c:pt idx="152" formatCode="General">
                  <c:v>506.66699999999997</c:v>
                </c:pt>
                <c:pt idx="153" formatCode="General">
                  <c:v>510</c:v>
                </c:pt>
                <c:pt idx="154" formatCode="General">
                  <c:v>514</c:v>
                </c:pt>
              </c:numCache>
            </c:numRef>
          </c:xVal>
          <c:yVal>
            <c:numRef>
              <c:f>'REFAP dt 200'!$F$33:$F$187</c:f>
              <c:numCache>
                <c:formatCode>0.0</c:formatCode>
                <c:ptCount val="15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0.12887799999999999</c:v>
                </c:pt>
                <c:pt idx="41">
                  <c:v>18.5291</c:v>
                </c:pt>
                <c:pt idx="42">
                  <c:v>30</c:v>
                </c:pt>
                <c:pt idx="43">
                  <c:v>0.100538</c:v>
                </c:pt>
                <c:pt idx="44">
                  <c:v>8.7329400000000001E-2</c:v>
                </c:pt>
                <c:pt idx="45">
                  <c:v>0.100512</c:v>
                </c:pt>
                <c:pt idx="46">
                  <c:v>6.04185E-2</c:v>
                </c:pt>
                <c:pt idx="47">
                  <c:v>5.9087800000000003E-2</c:v>
                </c:pt>
                <c:pt idx="48">
                  <c:v>5.8315600000000002E-2</c:v>
                </c:pt>
                <c:pt idx="49">
                  <c:v>8.6869299999999997E-2</c:v>
                </c:pt>
                <c:pt idx="50">
                  <c:v>5.7926499999999999E-2</c:v>
                </c:pt>
                <c:pt idx="51">
                  <c:v>5.7872100000000003E-2</c:v>
                </c:pt>
                <c:pt idx="52">
                  <c:v>5.7891499999999999E-2</c:v>
                </c:pt>
                <c:pt idx="53">
                  <c:v>0.66725900000000005</c:v>
                </c:pt>
                <c:pt idx="54">
                  <c:v>0.72970900000000005</c:v>
                </c:pt>
                <c:pt idx="55">
                  <c:v>8.4437600000000002E-2</c:v>
                </c:pt>
                <c:pt idx="56">
                  <c:v>0.581488</c:v>
                </c:pt>
                <c:pt idx="57">
                  <c:v>0.62857600000000002</c:v>
                </c:pt>
                <c:pt idx="58">
                  <c:v>0.73230099999999998</c:v>
                </c:pt>
                <c:pt idx="59">
                  <c:v>0.51752299999999996</c:v>
                </c:pt>
                <c:pt idx="60">
                  <c:v>0.57808099999999996</c:v>
                </c:pt>
                <c:pt idx="61">
                  <c:v>0.68456499999999998</c:v>
                </c:pt>
                <c:pt idx="62">
                  <c:v>0.46842800000000001</c:v>
                </c:pt>
                <c:pt idx="63">
                  <c:v>0.53357100000000002</c:v>
                </c:pt>
                <c:pt idx="64">
                  <c:v>0.60011300000000001</c:v>
                </c:pt>
                <c:pt idx="65">
                  <c:v>1.0406299999999999</c:v>
                </c:pt>
                <c:pt idx="66">
                  <c:v>0.49228699999999997</c:v>
                </c:pt>
                <c:pt idx="67">
                  <c:v>0.56261700000000003</c:v>
                </c:pt>
                <c:pt idx="68">
                  <c:v>0.63171299999999997</c:v>
                </c:pt>
                <c:pt idx="69">
                  <c:v>1.1104799999999999</c:v>
                </c:pt>
                <c:pt idx="70">
                  <c:v>0.53030699999999997</c:v>
                </c:pt>
                <c:pt idx="71">
                  <c:v>0.60343400000000003</c:v>
                </c:pt>
                <c:pt idx="72">
                  <c:v>1.0604</c:v>
                </c:pt>
                <c:pt idx="73">
                  <c:v>0.50928099999999998</c:v>
                </c:pt>
                <c:pt idx="74">
                  <c:v>0.585171</c:v>
                </c:pt>
                <c:pt idx="75">
                  <c:v>1.03041</c:v>
                </c:pt>
                <c:pt idx="76">
                  <c:v>0.49813200000000002</c:v>
                </c:pt>
                <c:pt idx="77">
                  <c:v>0.57666200000000001</c:v>
                </c:pt>
                <c:pt idx="78">
                  <c:v>1.0196400000000001</c:v>
                </c:pt>
                <c:pt idx="79">
                  <c:v>30</c:v>
                </c:pt>
                <c:pt idx="80">
                  <c:v>1.13358</c:v>
                </c:pt>
                <c:pt idx="81">
                  <c:v>1.54088</c:v>
                </c:pt>
                <c:pt idx="82">
                  <c:v>0.56968799999999997</c:v>
                </c:pt>
                <c:pt idx="83">
                  <c:v>1.4326399999999999</c:v>
                </c:pt>
                <c:pt idx="84">
                  <c:v>0.57181599999999999</c:v>
                </c:pt>
                <c:pt idx="85">
                  <c:v>1.4398200000000001</c:v>
                </c:pt>
                <c:pt idx="86">
                  <c:v>0.57635499999999995</c:v>
                </c:pt>
                <c:pt idx="87">
                  <c:v>1.4550700000000001</c:v>
                </c:pt>
                <c:pt idx="88">
                  <c:v>0.58420300000000003</c:v>
                </c:pt>
                <c:pt idx="89">
                  <c:v>1.47763</c:v>
                </c:pt>
                <c:pt idx="90">
                  <c:v>0.59522699999999995</c:v>
                </c:pt>
                <c:pt idx="91">
                  <c:v>1.5070600000000001</c:v>
                </c:pt>
                <c:pt idx="92">
                  <c:v>0.60932900000000001</c:v>
                </c:pt>
                <c:pt idx="93">
                  <c:v>39.960999999999999</c:v>
                </c:pt>
                <c:pt idx="94">
                  <c:v>1.9790099999999999</c:v>
                </c:pt>
                <c:pt idx="95">
                  <c:v>40</c:v>
                </c:pt>
                <c:pt idx="96">
                  <c:v>1.4917800000000001</c:v>
                </c:pt>
                <c:pt idx="97">
                  <c:v>40</c:v>
                </c:pt>
                <c:pt idx="98">
                  <c:v>1.09704</c:v>
                </c:pt>
                <c:pt idx="99">
                  <c:v>39.960999999999999</c:v>
                </c:pt>
                <c:pt idx="100">
                  <c:v>0</c:v>
                </c:pt>
                <c:pt idx="101">
                  <c:v>0</c:v>
                </c:pt>
                <c:pt idx="102">
                  <c:v>6.9623299999999999E-2</c:v>
                </c:pt>
                <c:pt idx="103">
                  <c:v>6.9623299999999999E-2</c:v>
                </c:pt>
                <c:pt idx="104">
                  <c:v>6.9623299999999999E-2</c:v>
                </c:pt>
                <c:pt idx="105">
                  <c:v>6.9623299999999999E-2</c:v>
                </c:pt>
                <c:pt idx="106">
                  <c:v>6.9623299999999999E-2</c:v>
                </c:pt>
                <c:pt idx="107">
                  <c:v>6.9623299999999999E-2</c:v>
                </c:pt>
                <c:pt idx="108">
                  <c:v>6.9623299999999999E-2</c:v>
                </c:pt>
                <c:pt idx="109">
                  <c:v>6.9623299999999999E-2</c:v>
                </c:pt>
                <c:pt idx="110">
                  <c:v>6.9623299999999999E-2</c:v>
                </c:pt>
                <c:pt idx="111">
                  <c:v>6.9623299999999999E-2</c:v>
                </c:pt>
                <c:pt idx="112">
                  <c:v>6.9623299999999999E-2</c:v>
                </c:pt>
                <c:pt idx="113">
                  <c:v>6.9623299999999999E-2</c:v>
                </c:pt>
                <c:pt idx="114" formatCode="General">
                  <c:v>6.9623299999999999E-2</c:v>
                </c:pt>
                <c:pt idx="115" formatCode="General">
                  <c:v>6.9623299999999999E-2</c:v>
                </c:pt>
                <c:pt idx="116" formatCode="General">
                  <c:v>6.9623299999999999E-2</c:v>
                </c:pt>
                <c:pt idx="117" formatCode="General">
                  <c:v>6.9623299999999999E-2</c:v>
                </c:pt>
                <c:pt idx="118" formatCode="General">
                  <c:v>0.221054</c:v>
                </c:pt>
                <c:pt idx="119" formatCode="General">
                  <c:v>0.221054</c:v>
                </c:pt>
                <c:pt idx="120" formatCode="General">
                  <c:v>0.221054</c:v>
                </c:pt>
                <c:pt idx="121" formatCode="General">
                  <c:v>0.221054</c:v>
                </c:pt>
                <c:pt idx="122" formatCode="General">
                  <c:v>0.221054</c:v>
                </c:pt>
                <c:pt idx="123" formatCode="General">
                  <c:v>0.221054</c:v>
                </c:pt>
                <c:pt idx="124" formatCode="General">
                  <c:v>0.221054</c:v>
                </c:pt>
                <c:pt idx="125" formatCode="General">
                  <c:v>0.221054</c:v>
                </c:pt>
                <c:pt idx="126" formatCode="General">
                  <c:v>0.221054</c:v>
                </c:pt>
                <c:pt idx="127" formatCode="General">
                  <c:v>0.221054</c:v>
                </c:pt>
                <c:pt idx="128" formatCode="General">
                  <c:v>0.221054</c:v>
                </c:pt>
                <c:pt idx="129" formatCode="General">
                  <c:v>0.221054</c:v>
                </c:pt>
                <c:pt idx="130" formatCode="General">
                  <c:v>0.221054</c:v>
                </c:pt>
                <c:pt idx="131" formatCode="General">
                  <c:v>0.221054</c:v>
                </c:pt>
                <c:pt idx="132" formatCode="General">
                  <c:v>0.221054</c:v>
                </c:pt>
                <c:pt idx="133" formatCode="General">
                  <c:v>0.221054</c:v>
                </c:pt>
                <c:pt idx="134" formatCode="General">
                  <c:v>0.221054</c:v>
                </c:pt>
                <c:pt idx="135" formatCode="General">
                  <c:v>0.221054</c:v>
                </c:pt>
                <c:pt idx="136" formatCode="General">
                  <c:v>0.221054</c:v>
                </c:pt>
                <c:pt idx="137" formatCode="General">
                  <c:v>0.221054</c:v>
                </c:pt>
                <c:pt idx="138" formatCode="General">
                  <c:v>0.221054</c:v>
                </c:pt>
                <c:pt idx="139" formatCode="General">
                  <c:v>0.221054</c:v>
                </c:pt>
                <c:pt idx="140" formatCode="General">
                  <c:v>0.221054</c:v>
                </c:pt>
                <c:pt idx="141" formatCode="General">
                  <c:v>0.221054</c:v>
                </c:pt>
                <c:pt idx="142" formatCode="General">
                  <c:v>0.221054</c:v>
                </c:pt>
                <c:pt idx="143" formatCode="General">
                  <c:v>0.221054</c:v>
                </c:pt>
                <c:pt idx="144" formatCode="General">
                  <c:v>0.221054</c:v>
                </c:pt>
                <c:pt idx="145" formatCode="General">
                  <c:v>0.221054</c:v>
                </c:pt>
                <c:pt idx="146" formatCode="General">
                  <c:v>0.221054</c:v>
                </c:pt>
                <c:pt idx="147" formatCode="General">
                  <c:v>0.221054</c:v>
                </c:pt>
                <c:pt idx="148" formatCode="General">
                  <c:v>0.221054</c:v>
                </c:pt>
                <c:pt idx="149" formatCode="General">
                  <c:v>0.221054</c:v>
                </c:pt>
                <c:pt idx="150" formatCode="General">
                  <c:v>0.221054</c:v>
                </c:pt>
                <c:pt idx="151" formatCode="General">
                  <c:v>0.221054</c:v>
                </c:pt>
                <c:pt idx="152" formatCode="General">
                  <c:v>0.221054</c:v>
                </c:pt>
                <c:pt idx="153" formatCode="General">
                  <c:v>0.221054</c:v>
                </c:pt>
                <c:pt idx="154" formatCode="General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98-476A-98B2-D99E8609E213}"/>
            </c:ext>
          </c:extLst>
        </c:ser>
        <c:ser>
          <c:idx val="6"/>
          <c:order val="2"/>
          <c:tx>
            <c:strRef>
              <c:f>'REFAP dt 200'!$G$32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200'!$A$33:$A$187</c:f>
              <c:numCache>
                <c:formatCode>0</c:formatCode>
                <c:ptCount val="155"/>
                <c:pt idx="0">
                  <c:v>0</c:v>
                </c:pt>
                <c:pt idx="1">
                  <c:v>3.3333300000000001</c:v>
                </c:pt>
                <c:pt idx="2">
                  <c:v>6.6666699999999999</c:v>
                </c:pt>
                <c:pt idx="3">
                  <c:v>10</c:v>
                </c:pt>
                <c:pt idx="4">
                  <c:v>13.333299999999999</c:v>
                </c:pt>
                <c:pt idx="5">
                  <c:v>16.666699999999999</c:v>
                </c:pt>
                <c:pt idx="6">
                  <c:v>20</c:v>
                </c:pt>
                <c:pt idx="7">
                  <c:v>23.333300000000001</c:v>
                </c:pt>
                <c:pt idx="8">
                  <c:v>26.666699999999999</c:v>
                </c:pt>
                <c:pt idx="9">
                  <c:v>30</c:v>
                </c:pt>
                <c:pt idx="10">
                  <c:v>33.333300000000001</c:v>
                </c:pt>
                <c:pt idx="11">
                  <c:v>36.666699999999999</c:v>
                </c:pt>
                <c:pt idx="12">
                  <c:v>40</c:v>
                </c:pt>
                <c:pt idx="13">
                  <c:v>43.333300000000001</c:v>
                </c:pt>
                <c:pt idx="14">
                  <c:v>46.666699999999999</c:v>
                </c:pt>
                <c:pt idx="15">
                  <c:v>50</c:v>
                </c:pt>
                <c:pt idx="16">
                  <c:v>53.333300000000001</c:v>
                </c:pt>
                <c:pt idx="17">
                  <c:v>56.666699999999999</c:v>
                </c:pt>
                <c:pt idx="18">
                  <c:v>60</c:v>
                </c:pt>
                <c:pt idx="19">
                  <c:v>63.333300000000001</c:v>
                </c:pt>
                <c:pt idx="20">
                  <c:v>66.666700000000006</c:v>
                </c:pt>
                <c:pt idx="21">
                  <c:v>70</c:v>
                </c:pt>
                <c:pt idx="22">
                  <c:v>73.333299999999994</c:v>
                </c:pt>
                <c:pt idx="23">
                  <c:v>76.666700000000006</c:v>
                </c:pt>
                <c:pt idx="24">
                  <c:v>80</c:v>
                </c:pt>
                <c:pt idx="25">
                  <c:v>83.333299999999994</c:v>
                </c:pt>
                <c:pt idx="26">
                  <c:v>86.666700000000006</c:v>
                </c:pt>
                <c:pt idx="27">
                  <c:v>90</c:v>
                </c:pt>
                <c:pt idx="28">
                  <c:v>93.333299999999994</c:v>
                </c:pt>
                <c:pt idx="29">
                  <c:v>96.666700000000006</c:v>
                </c:pt>
                <c:pt idx="30">
                  <c:v>100</c:v>
                </c:pt>
                <c:pt idx="31">
                  <c:v>103.333</c:v>
                </c:pt>
                <c:pt idx="32">
                  <c:v>106.667</c:v>
                </c:pt>
                <c:pt idx="33">
                  <c:v>110</c:v>
                </c:pt>
                <c:pt idx="34">
                  <c:v>113.333</c:v>
                </c:pt>
                <c:pt idx="35">
                  <c:v>116.667</c:v>
                </c:pt>
                <c:pt idx="36">
                  <c:v>120</c:v>
                </c:pt>
                <c:pt idx="37">
                  <c:v>123.333</c:v>
                </c:pt>
                <c:pt idx="38">
                  <c:v>126.667</c:v>
                </c:pt>
                <c:pt idx="39">
                  <c:v>130</c:v>
                </c:pt>
                <c:pt idx="40">
                  <c:v>133.333</c:v>
                </c:pt>
                <c:pt idx="41">
                  <c:v>136.667</c:v>
                </c:pt>
                <c:pt idx="42">
                  <c:v>140</c:v>
                </c:pt>
                <c:pt idx="43">
                  <c:v>143.333</c:v>
                </c:pt>
                <c:pt idx="44">
                  <c:v>146.667</c:v>
                </c:pt>
                <c:pt idx="45">
                  <c:v>150</c:v>
                </c:pt>
                <c:pt idx="46">
                  <c:v>153.333</c:v>
                </c:pt>
                <c:pt idx="47">
                  <c:v>156.667</c:v>
                </c:pt>
                <c:pt idx="48">
                  <c:v>160</c:v>
                </c:pt>
                <c:pt idx="49">
                  <c:v>163.333</c:v>
                </c:pt>
                <c:pt idx="50">
                  <c:v>166.667</c:v>
                </c:pt>
                <c:pt idx="51">
                  <c:v>170</c:v>
                </c:pt>
                <c:pt idx="52">
                  <c:v>173.333</c:v>
                </c:pt>
                <c:pt idx="53">
                  <c:v>176.667</c:v>
                </c:pt>
                <c:pt idx="54">
                  <c:v>180</c:v>
                </c:pt>
                <c:pt idx="55">
                  <c:v>183.333</c:v>
                </c:pt>
                <c:pt idx="56">
                  <c:v>186.667</c:v>
                </c:pt>
                <c:pt idx="57">
                  <c:v>190</c:v>
                </c:pt>
                <c:pt idx="58">
                  <c:v>193.333</c:v>
                </c:pt>
                <c:pt idx="59">
                  <c:v>196.667</c:v>
                </c:pt>
                <c:pt idx="60">
                  <c:v>200</c:v>
                </c:pt>
                <c:pt idx="61">
                  <c:v>203.333</c:v>
                </c:pt>
                <c:pt idx="62">
                  <c:v>206.667</c:v>
                </c:pt>
                <c:pt idx="63">
                  <c:v>210</c:v>
                </c:pt>
                <c:pt idx="64">
                  <c:v>213.333</c:v>
                </c:pt>
                <c:pt idx="65">
                  <c:v>216.667</c:v>
                </c:pt>
                <c:pt idx="66">
                  <c:v>220</c:v>
                </c:pt>
                <c:pt idx="67">
                  <c:v>223.333</c:v>
                </c:pt>
                <c:pt idx="68">
                  <c:v>226.667</c:v>
                </c:pt>
                <c:pt idx="69">
                  <c:v>230</c:v>
                </c:pt>
                <c:pt idx="70">
                  <c:v>233.333</c:v>
                </c:pt>
                <c:pt idx="71">
                  <c:v>236.667</c:v>
                </c:pt>
                <c:pt idx="72">
                  <c:v>240</c:v>
                </c:pt>
                <c:pt idx="73">
                  <c:v>243.333</c:v>
                </c:pt>
                <c:pt idx="74">
                  <c:v>246.667</c:v>
                </c:pt>
                <c:pt idx="75">
                  <c:v>250</c:v>
                </c:pt>
                <c:pt idx="76">
                  <c:v>253.333</c:v>
                </c:pt>
                <c:pt idx="77">
                  <c:v>256.66699999999997</c:v>
                </c:pt>
                <c:pt idx="78">
                  <c:v>260</c:v>
                </c:pt>
                <c:pt idx="79">
                  <c:v>263.33300000000003</c:v>
                </c:pt>
                <c:pt idx="80">
                  <c:v>266.66699999999997</c:v>
                </c:pt>
                <c:pt idx="81">
                  <c:v>270</c:v>
                </c:pt>
                <c:pt idx="82">
                  <c:v>273.33300000000003</c:v>
                </c:pt>
                <c:pt idx="83">
                  <c:v>276.66699999999997</c:v>
                </c:pt>
                <c:pt idx="84">
                  <c:v>280</c:v>
                </c:pt>
                <c:pt idx="85">
                  <c:v>283.33300000000003</c:v>
                </c:pt>
                <c:pt idx="86">
                  <c:v>286.66699999999997</c:v>
                </c:pt>
                <c:pt idx="87">
                  <c:v>290</c:v>
                </c:pt>
                <c:pt idx="88">
                  <c:v>293.33300000000003</c:v>
                </c:pt>
                <c:pt idx="89">
                  <c:v>296.66699999999997</c:v>
                </c:pt>
                <c:pt idx="90">
                  <c:v>300</c:v>
                </c:pt>
                <c:pt idx="91">
                  <c:v>303.33300000000003</c:v>
                </c:pt>
                <c:pt idx="92">
                  <c:v>306.66699999999997</c:v>
                </c:pt>
                <c:pt idx="93">
                  <c:v>310</c:v>
                </c:pt>
                <c:pt idx="94">
                  <c:v>313.33300000000003</c:v>
                </c:pt>
                <c:pt idx="95">
                  <c:v>316.66699999999997</c:v>
                </c:pt>
                <c:pt idx="96">
                  <c:v>320</c:v>
                </c:pt>
                <c:pt idx="97">
                  <c:v>323.33300000000003</c:v>
                </c:pt>
                <c:pt idx="98">
                  <c:v>326.66699999999997</c:v>
                </c:pt>
                <c:pt idx="99">
                  <c:v>330</c:v>
                </c:pt>
                <c:pt idx="100">
                  <c:v>333.33300000000003</c:v>
                </c:pt>
                <c:pt idx="101">
                  <c:v>336.66699999999997</c:v>
                </c:pt>
                <c:pt idx="102">
                  <c:v>340</c:v>
                </c:pt>
                <c:pt idx="103">
                  <c:v>343.33300000000003</c:v>
                </c:pt>
                <c:pt idx="104">
                  <c:v>346.66699999999997</c:v>
                </c:pt>
                <c:pt idx="105">
                  <c:v>350</c:v>
                </c:pt>
                <c:pt idx="106">
                  <c:v>353.33300000000003</c:v>
                </c:pt>
                <c:pt idx="107">
                  <c:v>356.66699999999997</c:v>
                </c:pt>
                <c:pt idx="108">
                  <c:v>360</c:v>
                </c:pt>
                <c:pt idx="109">
                  <c:v>363.33300000000003</c:v>
                </c:pt>
                <c:pt idx="110">
                  <c:v>366.66699999999997</c:v>
                </c:pt>
                <c:pt idx="111">
                  <c:v>370</c:v>
                </c:pt>
                <c:pt idx="112">
                  <c:v>373.33300000000003</c:v>
                </c:pt>
                <c:pt idx="113" formatCode="General">
                  <c:v>376.66699999999997</c:v>
                </c:pt>
                <c:pt idx="114" formatCode="General">
                  <c:v>380</c:v>
                </c:pt>
                <c:pt idx="115" formatCode="General">
                  <c:v>383.33300000000003</c:v>
                </c:pt>
                <c:pt idx="116" formatCode="General">
                  <c:v>386.66699999999997</c:v>
                </c:pt>
                <c:pt idx="117" formatCode="General">
                  <c:v>390</c:v>
                </c:pt>
                <c:pt idx="118" formatCode="General">
                  <c:v>393.33300000000003</c:v>
                </c:pt>
                <c:pt idx="119" formatCode="General">
                  <c:v>396.66699999999997</c:v>
                </c:pt>
                <c:pt idx="120" formatCode="0.0000">
                  <c:v>400</c:v>
                </c:pt>
                <c:pt idx="121" formatCode="General">
                  <c:v>403.33300000000003</c:v>
                </c:pt>
                <c:pt idx="122" formatCode="0.0000">
                  <c:v>406.66699999999997</c:v>
                </c:pt>
                <c:pt idx="123" formatCode="General">
                  <c:v>410</c:v>
                </c:pt>
                <c:pt idx="124" formatCode="General">
                  <c:v>413.33300000000003</c:v>
                </c:pt>
                <c:pt idx="125" formatCode="General">
                  <c:v>416.66699999999997</c:v>
                </c:pt>
                <c:pt idx="126" formatCode="General">
                  <c:v>420</c:v>
                </c:pt>
                <c:pt idx="127" formatCode="General">
                  <c:v>423.33300000000003</c:v>
                </c:pt>
                <c:pt idx="128" formatCode="General">
                  <c:v>426.66699999999997</c:v>
                </c:pt>
                <c:pt idx="129" formatCode="General">
                  <c:v>430</c:v>
                </c:pt>
                <c:pt idx="130" formatCode="General">
                  <c:v>433.33300000000003</c:v>
                </c:pt>
                <c:pt idx="131" formatCode="General">
                  <c:v>436.66699999999997</c:v>
                </c:pt>
                <c:pt idx="132" formatCode="General">
                  <c:v>440</c:v>
                </c:pt>
                <c:pt idx="133" formatCode="General">
                  <c:v>443.33300000000003</c:v>
                </c:pt>
                <c:pt idx="134" formatCode="General">
                  <c:v>446.66699999999997</c:v>
                </c:pt>
                <c:pt idx="135" formatCode="General">
                  <c:v>450</c:v>
                </c:pt>
                <c:pt idx="136" formatCode="General">
                  <c:v>453.33300000000003</c:v>
                </c:pt>
                <c:pt idx="137" formatCode="General">
                  <c:v>456.66699999999997</c:v>
                </c:pt>
                <c:pt idx="138" formatCode="General">
                  <c:v>460</c:v>
                </c:pt>
                <c:pt idx="139" formatCode="General">
                  <c:v>463.33300000000003</c:v>
                </c:pt>
                <c:pt idx="140" formatCode="General">
                  <c:v>466.66699999999997</c:v>
                </c:pt>
                <c:pt idx="141" formatCode="General">
                  <c:v>470</c:v>
                </c:pt>
                <c:pt idx="142" formatCode="General">
                  <c:v>473.33300000000003</c:v>
                </c:pt>
                <c:pt idx="143" formatCode="General">
                  <c:v>476.66699999999997</c:v>
                </c:pt>
                <c:pt idx="144" formatCode="General">
                  <c:v>480</c:v>
                </c:pt>
                <c:pt idx="145" formatCode="General">
                  <c:v>483.33300000000003</c:v>
                </c:pt>
                <c:pt idx="146" formatCode="General">
                  <c:v>486.66699999999997</c:v>
                </c:pt>
                <c:pt idx="147" formatCode="General">
                  <c:v>490</c:v>
                </c:pt>
                <c:pt idx="148" formatCode="General">
                  <c:v>493.33300000000003</c:v>
                </c:pt>
                <c:pt idx="149" formatCode="General">
                  <c:v>496.66699999999997</c:v>
                </c:pt>
                <c:pt idx="150" formatCode="General">
                  <c:v>500</c:v>
                </c:pt>
                <c:pt idx="151" formatCode="General">
                  <c:v>503.33300000000003</c:v>
                </c:pt>
                <c:pt idx="152" formatCode="General">
                  <c:v>506.66699999999997</c:v>
                </c:pt>
                <c:pt idx="153" formatCode="General">
                  <c:v>510</c:v>
                </c:pt>
                <c:pt idx="154" formatCode="General">
                  <c:v>514</c:v>
                </c:pt>
              </c:numCache>
            </c:numRef>
          </c:xVal>
          <c:yVal>
            <c:numRef>
              <c:f>'REFAP dt 200'!$G$33:$G$187</c:f>
              <c:numCache>
                <c:formatCode>0.0</c:formatCode>
                <c:ptCount val="1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5.1696200000000001</c:v>
                </c:pt>
                <c:pt idx="42">
                  <c:v>5.1419100000000002</c:v>
                </c:pt>
                <c:pt idx="43">
                  <c:v>5.1419100000000002</c:v>
                </c:pt>
                <c:pt idx="44">
                  <c:v>5.3672500000000003</c:v>
                </c:pt>
                <c:pt idx="45">
                  <c:v>5.5874100000000002</c:v>
                </c:pt>
                <c:pt idx="46">
                  <c:v>5.9170299999999996</c:v>
                </c:pt>
                <c:pt idx="47">
                  <c:v>6.1375500000000001</c:v>
                </c:pt>
                <c:pt idx="48">
                  <c:v>6.3582299999999998</c:v>
                </c:pt>
                <c:pt idx="49">
                  <c:v>6.5792400000000004</c:v>
                </c:pt>
                <c:pt idx="50">
                  <c:v>6.9112200000000001</c:v>
                </c:pt>
                <c:pt idx="51">
                  <c:v>7.1333599999999997</c:v>
                </c:pt>
                <c:pt idx="52">
                  <c:v>7.35555</c:v>
                </c:pt>
                <c:pt idx="53">
                  <c:v>7.5780500000000002</c:v>
                </c:pt>
                <c:pt idx="54">
                  <c:v>7.7985899999999999</c:v>
                </c:pt>
                <c:pt idx="55">
                  <c:v>8.1288400000000003</c:v>
                </c:pt>
                <c:pt idx="56">
                  <c:v>8.3526399999999992</c:v>
                </c:pt>
                <c:pt idx="57">
                  <c:v>8.5746699999999993</c:v>
                </c:pt>
                <c:pt idx="58">
                  <c:v>8.7968899999999994</c:v>
                </c:pt>
                <c:pt idx="59">
                  <c:v>9.1291899999999995</c:v>
                </c:pt>
                <c:pt idx="60">
                  <c:v>9.3542900000000007</c:v>
                </c:pt>
                <c:pt idx="61">
                  <c:v>9.5776800000000009</c:v>
                </c:pt>
                <c:pt idx="62">
                  <c:v>9.9117800000000003</c:v>
                </c:pt>
                <c:pt idx="63">
                  <c:v>10.1364</c:v>
                </c:pt>
                <c:pt idx="64">
                  <c:v>10.360900000000001</c:v>
                </c:pt>
                <c:pt idx="65">
                  <c:v>10.5854</c:v>
                </c:pt>
                <c:pt idx="66">
                  <c:v>10.9199</c:v>
                </c:pt>
                <c:pt idx="67">
                  <c:v>11.1456</c:v>
                </c:pt>
                <c:pt idx="68">
                  <c:v>11.3713</c:v>
                </c:pt>
                <c:pt idx="69">
                  <c:v>11.5969</c:v>
                </c:pt>
                <c:pt idx="70">
                  <c:v>11.932600000000001</c:v>
                </c:pt>
                <c:pt idx="71">
                  <c:v>12.1594</c:v>
                </c:pt>
                <c:pt idx="72">
                  <c:v>12.386100000000001</c:v>
                </c:pt>
                <c:pt idx="73">
                  <c:v>12.7235</c:v>
                </c:pt>
                <c:pt idx="74">
                  <c:v>12.9514</c:v>
                </c:pt>
                <c:pt idx="75">
                  <c:v>13.1791</c:v>
                </c:pt>
                <c:pt idx="76">
                  <c:v>13.5181</c:v>
                </c:pt>
                <c:pt idx="77">
                  <c:v>13.747</c:v>
                </c:pt>
                <c:pt idx="78">
                  <c:v>13.9757</c:v>
                </c:pt>
                <c:pt idx="79">
                  <c:v>14.3162</c:v>
                </c:pt>
                <c:pt idx="80">
                  <c:v>14.3162</c:v>
                </c:pt>
                <c:pt idx="81">
                  <c:v>14.7706</c:v>
                </c:pt>
                <c:pt idx="82">
                  <c:v>15.2211</c:v>
                </c:pt>
                <c:pt idx="83">
                  <c:v>15.3721</c:v>
                </c:pt>
                <c:pt idx="84">
                  <c:v>15.821999999999999</c:v>
                </c:pt>
                <c:pt idx="85">
                  <c:v>15.972899999999999</c:v>
                </c:pt>
                <c:pt idx="86">
                  <c:v>16.423300000000001</c:v>
                </c:pt>
                <c:pt idx="87">
                  <c:v>16.574400000000001</c:v>
                </c:pt>
                <c:pt idx="88">
                  <c:v>17.025700000000001</c:v>
                </c:pt>
                <c:pt idx="89">
                  <c:v>17.177199999999999</c:v>
                </c:pt>
                <c:pt idx="90">
                  <c:v>17.629300000000001</c:v>
                </c:pt>
                <c:pt idx="91">
                  <c:v>17.781099999999999</c:v>
                </c:pt>
                <c:pt idx="92">
                  <c:v>18.234000000000002</c:v>
                </c:pt>
                <c:pt idx="93">
                  <c:v>18.386199999999999</c:v>
                </c:pt>
                <c:pt idx="94">
                  <c:v>18.54</c:v>
                </c:pt>
                <c:pt idx="95">
                  <c:v>18.986499999999999</c:v>
                </c:pt>
                <c:pt idx="96">
                  <c:v>18.986499999999999</c:v>
                </c:pt>
                <c:pt idx="97">
                  <c:v>19.286300000000001</c:v>
                </c:pt>
                <c:pt idx="98">
                  <c:v>19.286300000000001</c:v>
                </c:pt>
                <c:pt idx="99">
                  <c:v>19.5884</c:v>
                </c:pt>
                <c:pt idx="100">
                  <c:v>19.742599999999999</c:v>
                </c:pt>
                <c:pt idx="101">
                  <c:v>19.799700000000001</c:v>
                </c:pt>
                <c:pt idx="102">
                  <c:v>19.8569</c:v>
                </c:pt>
                <c:pt idx="103">
                  <c:v>19.914100000000001</c:v>
                </c:pt>
                <c:pt idx="104">
                  <c:v>19.971299999999999</c:v>
                </c:pt>
                <c:pt idx="105">
                  <c:v>20.028500000000001</c:v>
                </c:pt>
                <c:pt idx="106">
                  <c:v>20.085699999999999</c:v>
                </c:pt>
                <c:pt idx="107">
                  <c:v>20.142900000000001</c:v>
                </c:pt>
                <c:pt idx="108">
                  <c:v>20.200099999999999</c:v>
                </c:pt>
                <c:pt idx="109">
                  <c:v>20.257300000000001</c:v>
                </c:pt>
                <c:pt idx="110">
                  <c:v>20.314499999999999</c:v>
                </c:pt>
                <c:pt idx="111">
                  <c:v>20.371700000000001</c:v>
                </c:pt>
                <c:pt idx="112">
                  <c:v>20.428899999999999</c:v>
                </c:pt>
                <c:pt idx="113" formatCode="0">
                  <c:v>20.486000000000001</c:v>
                </c:pt>
                <c:pt idx="114" formatCode="General">
                  <c:v>20.543199999999999</c:v>
                </c:pt>
                <c:pt idx="115" formatCode="General">
                  <c:v>20.6004</c:v>
                </c:pt>
                <c:pt idx="116" formatCode="General">
                  <c:v>20.657599999999999</c:v>
                </c:pt>
                <c:pt idx="117" formatCode="General">
                  <c:v>20.7148</c:v>
                </c:pt>
                <c:pt idx="118" formatCode="General">
                  <c:v>20.771999999999998</c:v>
                </c:pt>
                <c:pt idx="119" formatCode="General">
                  <c:v>20.953600000000002</c:v>
                </c:pt>
                <c:pt idx="120" formatCode="General">
                  <c:v>21.135200000000001</c:v>
                </c:pt>
                <c:pt idx="121" formatCode="General">
                  <c:v>21.316800000000001</c:v>
                </c:pt>
                <c:pt idx="122" formatCode="General">
                  <c:v>21.4983</c:v>
                </c:pt>
                <c:pt idx="123" formatCode="General">
                  <c:v>21.6799</c:v>
                </c:pt>
                <c:pt idx="124" formatCode="General">
                  <c:v>21.861499999999999</c:v>
                </c:pt>
                <c:pt idx="125" formatCode="General">
                  <c:v>22.043099999999999</c:v>
                </c:pt>
                <c:pt idx="126" formatCode="General">
                  <c:v>22.224699999999999</c:v>
                </c:pt>
                <c:pt idx="127" formatCode="General">
                  <c:v>22.406300000000002</c:v>
                </c:pt>
                <c:pt idx="128" formatCode="General">
                  <c:v>22.587800000000001</c:v>
                </c:pt>
                <c:pt idx="129" formatCode="General">
                  <c:v>22.769400000000001</c:v>
                </c:pt>
                <c:pt idx="130" formatCode="General">
                  <c:v>22.951000000000001</c:v>
                </c:pt>
                <c:pt idx="131" formatCode="General">
                  <c:v>23.1326</c:v>
                </c:pt>
                <c:pt idx="132" formatCode="General">
                  <c:v>23.3142</c:v>
                </c:pt>
                <c:pt idx="133" formatCode="General">
                  <c:v>23.495799999999999</c:v>
                </c:pt>
                <c:pt idx="134" formatCode="General">
                  <c:v>23.677399999999999</c:v>
                </c:pt>
                <c:pt idx="135" formatCode="General">
                  <c:v>23.858899999999998</c:v>
                </c:pt>
                <c:pt idx="136" formatCode="General">
                  <c:v>24.040500000000002</c:v>
                </c:pt>
                <c:pt idx="137" formatCode="General">
                  <c:v>24.222100000000001</c:v>
                </c:pt>
                <c:pt idx="138" formatCode="General">
                  <c:v>24.403700000000001</c:v>
                </c:pt>
                <c:pt idx="139" formatCode="General">
                  <c:v>24.5853</c:v>
                </c:pt>
                <c:pt idx="140" formatCode="General">
                  <c:v>24.7669</c:v>
                </c:pt>
                <c:pt idx="141" formatCode="General">
                  <c:v>24.948399999999999</c:v>
                </c:pt>
                <c:pt idx="142" formatCode="General">
                  <c:v>25.13</c:v>
                </c:pt>
                <c:pt idx="143" formatCode="General">
                  <c:v>25.311599999999999</c:v>
                </c:pt>
                <c:pt idx="144" formatCode="General">
                  <c:v>25.493200000000002</c:v>
                </c:pt>
                <c:pt idx="145" formatCode="General">
                  <c:v>25.674800000000001</c:v>
                </c:pt>
                <c:pt idx="146" formatCode="General">
                  <c:v>25.856400000000001</c:v>
                </c:pt>
                <c:pt idx="147" formatCode="General">
                  <c:v>26.0379</c:v>
                </c:pt>
                <c:pt idx="148" formatCode="General">
                  <c:v>26.2195</c:v>
                </c:pt>
                <c:pt idx="149" formatCode="General">
                  <c:v>26.4011</c:v>
                </c:pt>
                <c:pt idx="150" formatCode="General">
                  <c:v>26.582699999999999</c:v>
                </c:pt>
                <c:pt idx="151" formatCode="General">
                  <c:v>26.764299999999999</c:v>
                </c:pt>
                <c:pt idx="152" formatCode="General">
                  <c:v>26.945900000000002</c:v>
                </c:pt>
                <c:pt idx="153" formatCode="General">
                  <c:v>27.127400000000002</c:v>
                </c:pt>
                <c:pt idx="154" formatCode="General">
                  <c:v>27.309000000000001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98-476A-98B2-D99E8609E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200'!$AH$32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200'!$AF$33:$AF$153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200'!$AH$33:$AH$153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1D98-476A-98B2-D99E8609E213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100'!$D$32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100'!$A$33:$A$135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433.096</c:v>
                </c:pt>
                <c:pt idx="2">
                  <c:v>432.80599999999998</c:v>
                </c:pt>
                <c:pt idx="3">
                  <c:v>432.28</c:v>
                </c:pt>
                <c:pt idx="4">
                  <c:v>432.02</c:v>
                </c:pt>
                <c:pt idx="5">
                  <c:v>431.57</c:v>
                </c:pt>
                <c:pt idx="6">
                  <c:v>431.32799999999997</c:v>
                </c:pt>
                <c:pt idx="7">
                  <c:v>431.01400000000001</c:v>
                </c:pt>
                <c:pt idx="8">
                  <c:v>430.44099999999997</c:v>
                </c:pt>
                <c:pt idx="9">
                  <c:v>430.11900000000003</c:v>
                </c:pt>
                <c:pt idx="10">
                  <c:v>429.59699999999998</c:v>
                </c:pt>
                <c:pt idx="11">
                  <c:v>429.28300000000002</c:v>
                </c:pt>
                <c:pt idx="12">
                  <c:v>428.79399999999998</c:v>
                </c:pt>
                <c:pt idx="13">
                  <c:v>428.48599999999999</c:v>
                </c:pt>
                <c:pt idx="14">
                  <c:v>428.02499999999998</c:v>
                </c:pt>
                <c:pt idx="15">
                  <c:v>427.72</c:v>
                </c:pt>
                <c:pt idx="16">
                  <c:v>427.28300000000002</c:v>
                </c:pt>
                <c:pt idx="17">
                  <c:v>426.98</c:v>
                </c:pt>
                <c:pt idx="18">
                  <c:v>426.56299999999999</c:v>
                </c:pt>
                <c:pt idx="19">
                  <c:v>426.26100000000002</c:v>
                </c:pt>
                <c:pt idx="20">
                  <c:v>425.86</c:v>
                </c:pt>
                <c:pt idx="21">
                  <c:v>425.55799999999999</c:v>
                </c:pt>
                <c:pt idx="22">
                  <c:v>425.17099999999999</c:v>
                </c:pt>
                <c:pt idx="23">
                  <c:v>424.86799999999999</c:v>
                </c:pt>
                <c:pt idx="24">
                  <c:v>424.49200000000002</c:v>
                </c:pt>
                <c:pt idx="25">
                  <c:v>424.18799999999999</c:v>
                </c:pt>
                <c:pt idx="26">
                  <c:v>423.822</c:v>
                </c:pt>
                <c:pt idx="27">
                  <c:v>423.60199999999998</c:v>
                </c:pt>
                <c:pt idx="28">
                  <c:v>423.60199999999998</c:v>
                </c:pt>
                <c:pt idx="29">
                  <c:v>423.60199999999998</c:v>
                </c:pt>
                <c:pt idx="30">
                  <c:v>423.60199999999998</c:v>
                </c:pt>
                <c:pt idx="31">
                  <c:v>423.60199999999998</c:v>
                </c:pt>
                <c:pt idx="32">
                  <c:v>423.60199999999998</c:v>
                </c:pt>
                <c:pt idx="33">
                  <c:v>423.6</c:v>
                </c:pt>
                <c:pt idx="34">
                  <c:v>415.34100000000001</c:v>
                </c:pt>
                <c:pt idx="35">
                  <c:v>406.68</c:v>
                </c:pt>
                <c:pt idx="36">
                  <c:v>398.49299999999999</c:v>
                </c:pt>
                <c:pt idx="37">
                  <c:v>390.50200000000001</c:v>
                </c:pt>
                <c:pt idx="38">
                  <c:v>382.678</c:v>
                </c:pt>
                <c:pt idx="39">
                  <c:v>375.04700000000003</c:v>
                </c:pt>
                <c:pt idx="40">
                  <c:v>367.59399999999999</c:v>
                </c:pt>
                <c:pt idx="41">
                  <c:v>360.315</c:v>
                </c:pt>
                <c:pt idx="42">
                  <c:v>353.21</c:v>
                </c:pt>
                <c:pt idx="43">
                  <c:v>346.26799999999997</c:v>
                </c:pt>
                <c:pt idx="44">
                  <c:v>339.49299999999999</c:v>
                </c:pt>
                <c:pt idx="45">
                  <c:v>332.875</c:v>
                </c:pt>
                <c:pt idx="46">
                  <c:v>326.41800000000001</c:v>
                </c:pt>
                <c:pt idx="47">
                  <c:v>320.11399999999998</c:v>
                </c:pt>
                <c:pt idx="48">
                  <c:v>313.95800000000003</c:v>
                </c:pt>
                <c:pt idx="49">
                  <c:v>307.94600000000003</c:v>
                </c:pt>
                <c:pt idx="50">
                  <c:v>302.07600000000002</c:v>
                </c:pt>
                <c:pt idx="51">
                  <c:v>296.346</c:v>
                </c:pt>
                <c:pt idx="52">
                  <c:v>290.74799999999999</c:v>
                </c:pt>
                <c:pt idx="53">
                  <c:v>285.28199999999998</c:v>
                </c:pt>
                <c:pt idx="54">
                  <c:v>281.44799999999998</c:v>
                </c:pt>
                <c:pt idx="55">
                  <c:v>275.21300000000002</c:v>
                </c:pt>
                <c:pt idx="56">
                  <c:v>269.97699999999998</c:v>
                </c:pt>
                <c:pt idx="57">
                  <c:v>264.56099999999998</c:v>
                </c:pt>
                <c:pt idx="58">
                  <c:v>259.52100000000002</c:v>
                </c:pt>
                <c:pt idx="59">
                  <c:v>254.49299999999999</c:v>
                </c:pt>
                <c:pt idx="60">
                  <c:v>249.642</c:v>
                </c:pt>
                <c:pt idx="61">
                  <c:v>244.87700000000001</c:v>
                </c:pt>
                <c:pt idx="62">
                  <c:v>240.24299999999999</c:v>
                </c:pt>
                <c:pt idx="63">
                  <c:v>235.727</c:v>
                </c:pt>
                <c:pt idx="64">
                  <c:v>231.31200000000001</c:v>
                </c:pt>
                <c:pt idx="65">
                  <c:v>227.02</c:v>
                </c:pt>
                <c:pt idx="66">
                  <c:v>222.84899999999999</c:v>
                </c:pt>
                <c:pt idx="67">
                  <c:v>218.76900000000001</c:v>
                </c:pt>
                <c:pt idx="68">
                  <c:v>214.78700000000001</c:v>
                </c:pt>
                <c:pt idx="69">
                  <c:v>210.91800000000001</c:v>
                </c:pt>
                <c:pt idx="70">
                  <c:v>207.142</c:v>
                </c:pt>
                <c:pt idx="71">
                  <c:v>203.45400000000001</c:v>
                </c:pt>
                <c:pt idx="72">
                  <c:v>199.86099999999999</c:v>
                </c:pt>
                <c:pt idx="73">
                  <c:v>196.35599999999999</c:v>
                </c:pt>
                <c:pt idx="74">
                  <c:v>192.93899999999999</c:v>
                </c:pt>
                <c:pt idx="75">
                  <c:v>189.61199999999999</c:v>
                </c:pt>
                <c:pt idx="76">
                  <c:v>186.35900000000001</c:v>
                </c:pt>
                <c:pt idx="77">
                  <c:v>183.2</c:v>
                </c:pt>
                <c:pt idx="78">
                  <c:v>180.11600000000001</c:v>
                </c:pt>
                <c:pt idx="79">
                  <c:v>178.09800000000001</c:v>
                </c:pt>
                <c:pt idx="80">
                  <c:v>175.86099999999999</c:v>
                </c:pt>
                <c:pt idx="81">
                  <c:v>172.62100000000001</c:v>
                </c:pt>
                <c:pt idx="82">
                  <c:v>169.43199999999999</c:v>
                </c:pt>
                <c:pt idx="83">
                  <c:v>166.363</c:v>
                </c:pt>
                <c:pt idx="84">
                  <c:v>163.36500000000001</c:v>
                </c:pt>
                <c:pt idx="85">
                  <c:v>160.45699999999999</c:v>
                </c:pt>
                <c:pt idx="86">
                  <c:v>157.62899999999999</c:v>
                </c:pt>
                <c:pt idx="87">
                  <c:v>154.87899999999999</c:v>
                </c:pt>
                <c:pt idx="88">
                  <c:v>152.208</c:v>
                </c:pt>
                <c:pt idx="89">
                  <c:v>149.608</c:v>
                </c:pt>
                <c:pt idx="90">
                  <c:v>147.083</c:v>
                </c:pt>
                <c:pt idx="91">
                  <c:v>144.626</c:v>
                </c:pt>
                <c:pt idx="92">
                  <c:v>142.238</c:v>
                </c:pt>
                <c:pt idx="93">
                  <c:v>139.91399999999999</c:v>
                </c:pt>
                <c:pt idx="94">
                  <c:v>137.655</c:v>
                </c:pt>
                <c:pt idx="95">
                  <c:v>135.458</c:v>
                </c:pt>
                <c:pt idx="96">
                  <c:v>133.32</c:v>
                </c:pt>
                <c:pt idx="97">
                  <c:v>131.24100000000001</c:v>
                </c:pt>
                <c:pt idx="98">
                  <c:v>129.21899999999999</c:v>
                </c:pt>
                <c:pt idx="99">
                  <c:v>127.251</c:v>
                </c:pt>
                <c:pt idx="100">
                  <c:v>125.336</c:v>
                </c:pt>
                <c:pt idx="101">
                  <c:v>123.474</c:v>
                </c:pt>
                <c:pt idx="102">
                  <c:v>120.48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3F3-40D4-9AE3-4FD1BDD2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100'!$Z$33:$Z$632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100'!$AP$33:$AP$632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3F3-40D4-9AE3-4FD1BDD229CF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3F3-40D4-9AE3-4FD1BDD229CF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3F3-40D4-9AE3-4FD1BDD229CF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100'!$Z$33:$Z$632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100'!$AN$33:$AN$632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B3F3-40D4-9AE3-4FD1BDD229C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100'!$F$32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100'!$A$33:$A$135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2.68336</c:v>
                </c:pt>
                <c:pt idx="28">
                  <c:v>8.9258799999999999E-2</c:v>
                </c:pt>
                <c:pt idx="29">
                  <c:v>6.2455799999999999E-2</c:v>
                </c:pt>
                <c:pt idx="30">
                  <c:v>7.8587699999999996E-2</c:v>
                </c:pt>
                <c:pt idx="31">
                  <c:v>9.8788699999999993E-2</c:v>
                </c:pt>
                <c:pt idx="32">
                  <c:v>7.8797500000000006E-2</c:v>
                </c:pt>
                <c:pt idx="33">
                  <c:v>7.8885499999999997E-2</c:v>
                </c:pt>
                <c:pt idx="34">
                  <c:v>9.9383299999999994E-2</c:v>
                </c:pt>
                <c:pt idx="35">
                  <c:v>9.9533999999999997E-2</c:v>
                </c:pt>
                <c:pt idx="36">
                  <c:v>7.9208799999999996E-2</c:v>
                </c:pt>
                <c:pt idx="37">
                  <c:v>7.9288499999999998E-2</c:v>
                </c:pt>
                <c:pt idx="38">
                  <c:v>7.9366000000000006E-2</c:v>
                </c:pt>
                <c:pt idx="39">
                  <c:v>7.9453599999999999E-2</c:v>
                </c:pt>
                <c:pt idx="40">
                  <c:v>0.100518</c:v>
                </c:pt>
                <c:pt idx="41">
                  <c:v>0.100661</c:v>
                </c:pt>
                <c:pt idx="42">
                  <c:v>0.10080600000000001</c:v>
                </c:pt>
                <c:pt idx="43">
                  <c:v>7.9839199999999999E-2</c:v>
                </c:pt>
                <c:pt idx="44">
                  <c:v>7.9897700000000002E-2</c:v>
                </c:pt>
                <c:pt idx="45">
                  <c:v>7.9962199999999997E-2</c:v>
                </c:pt>
                <c:pt idx="46">
                  <c:v>0.101495</c:v>
                </c:pt>
                <c:pt idx="47">
                  <c:v>0.1016</c:v>
                </c:pt>
                <c:pt idx="48">
                  <c:v>8.0213300000000001E-2</c:v>
                </c:pt>
                <c:pt idx="49">
                  <c:v>8.0268300000000001E-2</c:v>
                </c:pt>
                <c:pt idx="50">
                  <c:v>8.0327399999999993E-2</c:v>
                </c:pt>
                <c:pt idx="51">
                  <c:v>8.0377000000000004E-2</c:v>
                </c:pt>
                <c:pt idx="52">
                  <c:v>0.10231700000000001</c:v>
                </c:pt>
                <c:pt idx="53">
                  <c:v>0.38764999999999999</c:v>
                </c:pt>
                <c:pt idx="54">
                  <c:v>0.11996</c:v>
                </c:pt>
                <c:pt idx="55">
                  <c:v>0.106808</c:v>
                </c:pt>
                <c:pt idx="56">
                  <c:v>9.1479099999999994E-2</c:v>
                </c:pt>
                <c:pt idx="57">
                  <c:v>0.13595299999999999</c:v>
                </c:pt>
                <c:pt idx="58">
                  <c:v>0.136216</c:v>
                </c:pt>
                <c:pt idx="59">
                  <c:v>0.120963</c:v>
                </c:pt>
                <c:pt idx="60">
                  <c:v>0.107389</c:v>
                </c:pt>
                <c:pt idx="61">
                  <c:v>0.102002</c:v>
                </c:pt>
                <c:pt idx="62">
                  <c:v>0.101507</c:v>
                </c:pt>
                <c:pt idx="63">
                  <c:v>0.48705599999999999</c:v>
                </c:pt>
                <c:pt idx="64">
                  <c:v>0.43271999999999999</c:v>
                </c:pt>
                <c:pt idx="65">
                  <c:v>0.41254299999999999</c:v>
                </c:pt>
                <c:pt idx="66">
                  <c:v>0.36199300000000001</c:v>
                </c:pt>
                <c:pt idx="67">
                  <c:v>0.108221</c:v>
                </c:pt>
                <c:pt idx="68">
                  <c:v>0.107222</c:v>
                </c:pt>
                <c:pt idx="69">
                  <c:v>40</c:v>
                </c:pt>
                <c:pt idx="70">
                  <c:v>0.49496400000000002</c:v>
                </c:pt>
                <c:pt idx="71">
                  <c:v>0.108346</c:v>
                </c:pt>
                <c:pt idx="72">
                  <c:v>0.53542500000000004</c:v>
                </c:pt>
                <c:pt idx="73">
                  <c:v>0.108401</c:v>
                </c:pt>
                <c:pt idx="74">
                  <c:v>0.346049</c:v>
                </c:pt>
                <c:pt idx="75">
                  <c:v>40</c:v>
                </c:pt>
                <c:pt idx="76">
                  <c:v>0.39643800000000001</c:v>
                </c:pt>
                <c:pt idx="77">
                  <c:v>39.960999999999999</c:v>
                </c:pt>
                <c:pt idx="78">
                  <c:v>0.41881099999999999</c:v>
                </c:pt>
                <c:pt idx="79">
                  <c:v>0.64424700000000001</c:v>
                </c:pt>
                <c:pt idx="80">
                  <c:v>0.221054</c:v>
                </c:pt>
                <c:pt idx="81">
                  <c:v>0.221054</c:v>
                </c:pt>
                <c:pt idx="82">
                  <c:v>0.221054</c:v>
                </c:pt>
                <c:pt idx="83">
                  <c:v>0.221054</c:v>
                </c:pt>
                <c:pt idx="84">
                  <c:v>0.221054</c:v>
                </c:pt>
                <c:pt idx="85">
                  <c:v>0.221054</c:v>
                </c:pt>
                <c:pt idx="86">
                  <c:v>0.221054</c:v>
                </c:pt>
                <c:pt idx="87">
                  <c:v>0.221054</c:v>
                </c:pt>
                <c:pt idx="88">
                  <c:v>0.221054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F3-40D4-9AE3-4FD1BDD229CF}"/>
            </c:ext>
          </c:extLst>
        </c:ser>
        <c:ser>
          <c:idx val="6"/>
          <c:order val="2"/>
          <c:tx>
            <c:strRef>
              <c:f>'REFAP dt 100'!$G$32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100'!$A$33:$A$135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2.5992099999999998</c:v>
                </c:pt>
                <c:pt idx="28">
                  <c:v>3.3541799999999999</c:v>
                </c:pt>
                <c:pt idx="29">
                  <c:v>3.9222800000000002</c:v>
                </c:pt>
                <c:pt idx="30">
                  <c:v>4.3128299999999999</c:v>
                </c:pt>
                <c:pt idx="31">
                  <c:v>4.59389</c:v>
                </c:pt>
                <c:pt idx="32">
                  <c:v>4.9119599999999997</c:v>
                </c:pt>
                <c:pt idx="33">
                  <c:v>5.1433799999999996</c:v>
                </c:pt>
                <c:pt idx="34">
                  <c:v>5.3658099999999997</c:v>
                </c:pt>
                <c:pt idx="35">
                  <c:v>5.5866400000000001</c:v>
                </c:pt>
                <c:pt idx="36">
                  <c:v>5.8631599999999997</c:v>
                </c:pt>
                <c:pt idx="37">
                  <c:v>6.0848899999999997</c:v>
                </c:pt>
                <c:pt idx="38">
                  <c:v>6.3069600000000001</c:v>
                </c:pt>
                <c:pt idx="39">
                  <c:v>6.5294999999999996</c:v>
                </c:pt>
                <c:pt idx="40">
                  <c:v>6.7523799999999996</c:v>
                </c:pt>
                <c:pt idx="41">
                  <c:v>6.9757400000000001</c:v>
                </c:pt>
                <c:pt idx="42">
                  <c:v>7.1994300000000004</c:v>
                </c:pt>
                <c:pt idx="43">
                  <c:v>7.4794799999999997</c:v>
                </c:pt>
                <c:pt idx="44">
                  <c:v>7.7039900000000001</c:v>
                </c:pt>
                <c:pt idx="45">
                  <c:v>7.9288600000000002</c:v>
                </c:pt>
                <c:pt idx="46">
                  <c:v>8.1539800000000007</c:v>
                </c:pt>
                <c:pt idx="47">
                  <c:v>8.3794799999999992</c:v>
                </c:pt>
                <c:pt idx="48">
                  <c:v>8.6616700000000009</c:v>
                </c:pt>
                <c:pt idx="49">
                  <c:v>8.8878199999999996</c:v>
                </c:pt>
                <c:pt idx="50">
                  <c:v>9.1143199999999993</c:v>
                </c:pt>
                <c:pt idx="51">
                  <c:v>9.3410600000000006</c:v>
                </c:pt>
                <c:pt idx="52">
                  <c:v>9.5680300000000003</c:v>
                </c:pt>
                <c:pt idx="53">
                  <c:v>9.7953499999999991</c:v>
                </c:pt>
                <c:pt idx="54">
                  <c:v>10.134399999999999</c:v>
                </c:pt>
                <c:pt idx="55">
                  <c:v>10.510199999999999</c:v>
                </c:pt>
                <c:pt idx="56">
                  <c:v>10.8866</c:v>
                </c:pt>
                <c:pt idx="57">
                  <c:v>11.1882</c:v>
                </c:pt>
                <c:pt idx="58">
                  <c:v>11.565899999999999</c:v>
                </c:pt>
                <c:pt idx="59">
                  <c:v>11.944100000000001</c:v>
                </c:pt>
                <c:pt idx="60">
                  <c:v>12.3231</c:v>
                </c:pt>
                <c:pt idx="61">
                  <c:v>12.7019</c:v>
                </c:pt>
                <c:pt idx="62">
                  <c:v>13.0816</c:v>
                </c:pt>
                <c:pt idx="63">
                  <c:v>13.385899999999999</c:v>
                </c:pt>
                <c:pt idx="64">
                  <c:v>13.766299999999999</c:v>
                </c:pt>
                <c:pt idx="65">
                  <c:v>14.1471</c:v>
                </c:pt>
                <c:pt idx="66">
                  <c:v>14.5288</c:v>
                </c:pt>
                <c:pt idx="67">
                  <c:v>14.9114</c:v>
                </c:pt>
                <c:pt idx="68">
                  <c:v>15.2943</c:v>
                </c:pt>
                <c:pt idx="69">
                  <c:v>15.678100000000001</c:v>
                </c:pt>
                <c:pt idx="70">
                  <c:v>15.985900000000001</c:v>
                </c:pt>
                <c:pt idx="71">
                  <c:v>16.2927</c:v>
                </c:pt>
                <c:pt idx="72">
                  <c:v>16.599900000000002</c:v>
                </c:pt>
                <c:pt idx="73">
                  <c:v>16.906600000000001</c:v>
                </c:pt>
                <c:pt idx="74">
                  <c:v>17.213899999999999</c:v>
                </c:pt>
                <c:pt idx="75">
                  <c:v>17.520900000000001</c:v>
                </c:pt>
                <c:pt idx="76">
                  <c:v>17.751300000000001</c:v>
                </c:pt>
                <c:pt idx="77">
                  <c:v>18.134899999999998</c:v>
                </c:pt>
                <c:pt idx="78">
                  <c:v>18.365500000000001</c:v>
                </c:pt>
                <c:pt idx="79">
                  <c:v>19.313199999999998</c:v>
                </c:pt>
                <c:pt idx="80">
                  <c:v>20.209900000000001</c:v>
                </c:pt>
                <c:pt idx="81">
                  <c:v>20.482299999999999</c:v>
                </c:pt>
                <c:pt idx="82">
                  <c:v>20.7547</c:v>
                </c:pt>
                <c:pt idx="83">
                  <c:v>21.027100000000001</c:v>
                </c:pt>
                <c:pt idx="84">
                  <c:v>21.299499999999998</c:v>
                </c:pt>
                <c:pt idx="85">
                  <c:v>21.5718</c:v>
                </c:pt>
                <c:pt idx="86">
                  <c:v>21.844200000000001</c:v>
                </c:pt>
                <c:pt idx="87">
                  <c:v>22.116599999999998</c:v>
                </c:pt>
                <c:pt idx="88">
                  <c:v>22.388999999999999</c:v>
                </c:pt>
                <c:pt idx="89">
                  <c:v>22.661300000000001</c:v>
                </c:pt>
                <c:pt idx="90">
                  <c:v>22.933700000000002</c:v>
                </c:pt>
                <c:pt idx="91">
                  <c:v>23.206099999999999</c:v>
                </c:pt>
                <c:pt idx="92">
                  <c:v>23.4785</c:v>
                </c:pt>
                <c:pt idx="93">
                  <c:v>23.750800000000002</c:v>
                </c:pt>
                <c:pt idx="94">
                  <c:v>24.023199999999999</c:v>
                </c:pt>
                <c:pt idx="95">
                  <c:v>24.2956</c:v>
                </c:pt>
                <c:pt idx="96">
                  <c:v>24.568000000000001</c:v>
                </c:pt>
                <c:pt idx="97">
                  <c:v>24.840299999999999</c:v>
                </c:pt>
                <c:pt idx="98">
                  <c:v>25.1127</c:v>
                </c:pt>
                <c:pt idx="99">
                  <c:v>25.385100000000001</c:v>
                </c:pt>
                <c:pt idx="100">
                  <c:v>25.657499999999999</c:v>
                </c:pt>
                <c:pt idx="101">
                  <c:v>25.9298</c:v>
                </c:pt>
                <c:pt idx="102">
                  <c:v>26.383800000000001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F3-40D4-9AE3-4FD1BDD22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100'!$AH$32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100'!$AF$33:$AF$153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100'!$AH$33:$AH$153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B3F3-40D4-9AE3-4FD1BDD229CF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50'!$D$32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50'!$A$33:$A$135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50'!$D$33:$D$135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433.09699999999998</c:v>
                </c:pt>
                <c:pt idx="2">
                  <c:v>432.68299999999999</c:v>
                </c:pt>
                <c:pt idx="3">
                  <c:v>432.31400000000002</c:v>
                </c:pt>
                <c:pt idx="4">
                  <c:v>431.97800000000001</c:v>
                </c:pt>
                <c:pt idx="5">
                  <c:v>431.666</c:v>
                </c:pt>
                <c:pt idx="6">
                  <c:v>431.37099999999998</c:v>
                </c:pt>
                <c:pt idx="7">
                  <c:v>430.93099999999998</c:v>
                </c:pt>
                <c:pt idx="8">
                  <c:v>430.505</c:v>
                </c:pt>
                <c:pt idx="9">
                  <c:v>430.096</c:v>
                </c:pt>
                <c:pt idx="10">
                  <c:v>429.702</c:v>
                </c:pt>
                <c:pt idx="11">
                  <c:v>429.32100000000003</c:v>
                </c:pt>
                <c:pt idx="12">
                  <c:v>428.94799999999998</c:v>
                </c:pt>
                <c:pt idx="13">
                  <c:v>428.584</c:v>
                </c:pt>
                <c:pt idx="14">
                  <c:v>428.22500000000002</c:v>
                </c:pt>
                <c:pt idx="15">
                  <c:v>427.87400000000002</c:v>
                </c:pt>
                <c:pt idx="16">
                  <c:v>427.52699999999999</c:v>
                </c:pt>
                <c:pt idx="17">
                  <c:v>427.18200000000002</c:v>
                </c:pt>
                <c:pt idx="18">
                  <c:v>426.84</c:v>
                </c:pt>
                <c:pt idx="19">
                  <c:v>426.49900000000002</c:v>
                </c:pt>
                <c:pt idx="20">
                  <c:v>426.16</c:v>
                </c:pt>
                <c:pt idx="21">
                  <c:v>425.822</c:v>
                </c:pt>
                <c:pt idx="22">
                  <c:v>425.48500000000001</c:v>
                </c:pt>
                <c:pt idx="23">
                  <c:v>425.149</c:v>
                </c:pt>
                <c:pt idx="24">
                  <c:v>424.81299999999999</c:v>
                </c:pt>
                <c:pt idx="25">
                  <c:v>424.47899999999998</c:v>
                </c:pt>
                <c:pt idx="26">
                  <c:v>424.14499999999998</c:v>
                </c:pt>
                <c:pt idx="27">
                  <c:v>423.98200000000003</c:v>
                </c:pt>
                <c:pt idx="28">
                  <c:v>423.98200000000003</c:v>
                </c:pt>
                <c:pt idx="29">
                  <c:v>423.98200000000003</c:v>
                </c:pt>
                <c:pt idx="30">
                  <c:v>423.98099999999999</c:v>
                </c:pt>
                <c:pt idx="31">
                  <c:v>423.97399999999999</c:v>
                </c:pt>
                <c:pt idx="32">
                  <c:v>423.959</c:v>
                </c:pt>
                <c:pt idx="33">
                  <c:v>423.83300000000003</c:v>
                </c:pt>
                <c:pt idx="34">
                  <c:v>423.83300000000003</c:v>
                </c:pt>
                <c:pt idx="35">
                  <c:v>416.49599999999998</c:v>
                </c:pt>
                <c:pt idx="36">
                  <c:v>406.51100000000002</c:v>
                </c:pt>
                <c:pt idx="37">
                  <c:v>396.15899999999999</c:v>
                </c:pt>
                <c:pt idx="38">
                  <c:v>386.291</c:v>
                </c:pt>
                <c:pt idx="39">
                  <c:v>376.71800000000002</c:v>
                </c:pt>
                <c:pt idx="40">
                  <c:v>367.43099999999998</c:v>
                </c:pt>
                <c:pt idx="41">
                  <c:v>358.39800000000002</c:v>
                </c:pt>
                <c:pt idx="42">
                  <c:v>349.63299999999998</c:v>
                </c:pt>
                <c:pt idx="43">
                  <c:v>341.12400000000002</c:v>
                </c:pt>
                <c:pt idx="44">
                  <c:v>332.86900000000003</c:v>
                </c:pt>
                <c:pt idx="45">
                  <c:v>324.851</c:v>
                </c:pt>
                <c:pt idx="46">
                  <c:v>317.06900000000002</c:v>
                </c:pt>
                <c:pt idx="47">
                  <c:v>309.50700000000001</c:v>
                </c:pt>
                <c:pt idx="48">
                  <c:v>302.17399999999998</c:v>
                </c:pt>
                <c:pt idx="49">
                  <c:v>295.05399999999997</c:v>
                </c:pt>
                <c:pt idx="50">
                  <c:v>288.14299999999997</c:v>
                </c:pt>
                <c:pt idx="51">
                  <c:v>281.43700000000001</c:v>
                </c:pt>
                <c:pt idx="52">
                  <c:v>274.92599999999999</c:v>
                </c:pt>
                <c:pt idx="53">
                  <c:v>268.60300000000001</c:v>
                </c:pt>
                <c:pt idx="54">
                  <c:v>262.01900000000001</c:v>
                </c:pt>
                <c:pt idx="55">
                  <c:v>255.626</c:v>
                </c:pt>
                <c:pt idx="56">
                  <c:v>249.518</c:v>
                </c:pt>
                <c:pt idx="57">
                  <c:v>243.596</c:v>
                </c:pt>
                <c:pt idx="58">
                  <c:v>237.84800000000001</c:v>
                </c:pt>
                <c:pt idx="59">
                  <c:v>232.28800000000001</c:v>
                </c:pt>
                <c:pt idx="60">
                  <c:v>226.899</c:v>
                </c:pt>
                <c:pt idx="61">
                  <c:v>221.684</c:v>
                </c:pt>
                <c:pt idx="62">
                  <c:v>216.62700000000001</c:v>
                </c:pt>
                <c:pt idx="63">
                  <c:v>211.733</c:v>
                </c:pt>
                <c:pt idx="64">
                  <c:v>207.005</c:v>
                </c:pt>
                <c:pt idx="65">
                  <c:v>202.41</c:v>
                </c:pt>
                <c:pt idx="66">
                  <c:v>197.97499999999999</c:v>
                </c:pt>
                <c:pt idx="67">
                  <c:v>193.667</c:v>
                </c:pt>
                <c:pt idx="68">
                  <c:v>189.50399999999999</c:v>
                </c:pt>
                <c:pt idx="69">
                  <c:v>185.46199999999999</c:v>
                </c:pt>
                <c:pt idx="70">
                  <c:v>181.547</c:v>
                </c:pt>
                <c:pt idx="71">
                  <c:v>177.755</c:v>
                </c:pt>
                <c:pt idx="72">
                  <c:v>174.08199999999999</c:v>
                </c:pt>
                <c:pt idx="73">
                  <c:v>170.51900000000001</c:v>
                </c:pt>
                <c:pt idx="74">
                  <c:v>167.07400000000001</c:v>
                </c:pt>
                <c:pt idx="75">
                  <c:v>163.73099999999999</c:v>
                </c:pt>
                <c:pt idx="76">
                  <c:v>160.49100000000001</c:v>
                </c:pt>
                <c:pt idx="77">
                  <c:v>157.35</c:v>
                </c:pt>
                <c:pt idx="78">
                  <c:v>154.30799999999999</c:v>
                </c:pt>
                <c:pt idx="79">
                  <c:v>152.387</c:v>
                </c:pt>
                <c:pt idx="80">
                  <c:v>149.02600000000001</c:v>
                </c:pt>
                <c:pt idx="81">
                  <c:v>145.851</c:v>
                </c:pt>
                <c:pt idx="82">
                  <c:v>142.80199999999999</c:v>
                </c:pt>
                <c:pt idx="83">
                  <c:v>139.863</c:v>
                </c:pt>
                <c:pt idx="84">
                  <c:v>137.029</c:v>
                </c:pt>
                <c:pt idx="85">
                  <c:v>134.29400000000001</c:v>
                </c:pt>
                <c:pt idx="86">
                  <c:v>131.65299999999999</c:v>
                </c:pt>
                <c:pt idx="87">
                  <c:v>129.10300000000001</c:v>
                </c:pt>
                <c:pt idx="88">
                  <c:v>126.64100000000001</c:v>
                </c:pt>
                <c:pt idx="89">
                  <c:v>124.264</c:v>
                </c:pt>
                <c:pt idx="90">
                  <c:v>121.968</c:v>
                </c:pt>
                <c:pt idx="91">
                  <c:v>119.75</c:v>
                </c:pt>
                <c:pt idx="92">
                  <c:v>117.608</c:v>
                </c:pt>
                <c:pt idx="93">
                  <c:v>115.539</c:v>
                </c:pt>
                <c:pt idx="94">
                  <c:v>113.539</c:v>
                </c:pt>
                <c:pt idx="95">
                  <c:v>111.60599999999999</c:v>
                </c:pt>
                <c:pt idx="96">
                  <c:v>109.739</c:v>
                </c:pt>
                <c:pt idx="97">
                  <c:v>107.934</c:v>
                </c:pt>
                <c:pt idx="98">
                  <c:v>106.18899999999999</c:v>
                </c:pt>
                <c:pt idx="99">
                  <c:v>104.502</c:v>
                </c:pt>
                <c:pt idx="100">
                  <c:v>102.871</c:v>
                </c:pt>
                <c:pt idx="101">
                  <c:v>101.294</c:v>
                </c:pt>
                <c:pt idx="102">
                  <c:v>98.779399999999995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18-4BE2-A78E-6CD8100A1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50'!$Z$33:$Z$632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50'!$AP$33:$AP$632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ED18-4BE2-A78E-6CD8100A15B0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D18-4BE2-A78E-6CD8100A15B0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D18-4BE2-A78E-6CD8100A15B0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50'!$Z$33:$Z$632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50'!$AN$33:$AN$632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D18-4BE2-A78E-6CD8100A15B0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50'!$F$32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50'!$A$33:$A$135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50'!$F$33:$F$135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8.7571800000000005E-2</c:v>
                </c:pt>
                <c:pt idx="28">
                  <c:v>7.0972900000000005E-2</c:v>
                </c:pt>
                <c:pt idx="29">
                  <c:v>7.8445600000000004E-2</c:v>
                </c:pt>
                <c:pt idx="30">
                  <c:v>7.8566800000000006E-2</c:v>
                </c:pt>
                <c:pt idx="31">
                  <c:v>7.8700300000000001E-2</c:v>
                </c:pt>
                <c:pt idx="32">
                  <c:v>7.8782099999999994E-2</c:v>
                </c:pt>
                <c:pt idx="33">
                  <c:v>9.9185200000000001E-2</c:v>
                </c:pt>
                <c:pt idx="34">
                  <c:v>7.9054200000000005E-2</c:v>
                </c:pt>
                <c:pt idx="35">
                  <c:v>7.9152899999999998E-2</c:v>
                </c:pt>
                <c:pt idx="36">
                  <c:v>7.9256999999999994E-2</c:v>
                </c:pt>
                <c:pt idx="37">
                  <c:v>7.9363600000000006E-2</c:v>
                </c:pt>
                <c:pt idx="38">
                  <c:v>7.9468999999999998E-2</c:v>
                </c:pt>
                <c:pt idx="39">
                  <c:v>7.9574000000000006E-2</c:v>
                </c:pt>
                <c:pt idx="40">
                  <c:v>7.9677799999999993E-2</c:v>
                </c:pt>
                <c:pt idx="41">
                  <c:v>0.10072200000000001</c:v>
                </c:pt>
                <c:pt idx="42">
                  <c:v>0.10091899999999999</c:v>
                </c:pt>
                <c:pt idx="43">
                  <c:v>0.1011</c:v>
                </c:pt>
                <c:pt idx="44">
                  <c:v>0.101253</c:v>
                </c:pt>
                <c:pt idx="45">
                  <c:v>0.10140399999999999</c:v>
                </c:pt>
                <c:pt idx="46">
                  <c:v>0.101553</c:v>
                </c:pt>
                <c:pt idx="47">
                  <c:v>0.101701</c:v>
                </c:pt>
                <c:pt idx="48">
                  <c:v>0.10184600000000001</c:v>
                </c:pt>
                <c:pt idx="49">
                  <c:v>0.10199</c:v>
                </c:pt>
                <c:pt idx="50">
                  <c:v>8.0334100000000006E-2</c:v>
                </c:pt>
                <c:pt idx="51">
                  <c:v>8.0403500000000003E-2</c:v>
                </c:pt>
                <c:pt idx="52">
                  <c:v>8.0473000000000003E-2</c:v>
                </c:pt>
                <c:pt idx="53">
                  <c:v>8.0541399999999999E-2</c:v>
                </c:pt>
                <c:pt idx="54">
                  <c:v>0.106794</c:v>
                </c:pt>
                <c:pt idx="55">
                  <c:v>0.10685799999999999</c:v>
                </c:pt>
                <c:pt idx="56">
                  <c:v>0.13577600000000001</c:v>
                </c:pt>
                <c:pt idx="57">
                  <c:v>0.10710799999999999</c:v>
                </c:pt>
                <c:pt idx="58">
                  <c:v>0.107158</c:v>
                </c:pt>
                <c:pt idx="59">
                  <c:v>0.10734399999999999</c:v>
                </c:pt>
                <c:pt idx="60">
                  <c:v>0.10739700000000001</c:v>
                </c:pt>
                <c:pt idx="61">
                  <c:v>0.13683300000000001</c:v>
                </c:pt>
                <c:pt idx="62">
                  <c:v>0.10763200000000001</c:v>
                </c:pt>
                <c:pt idx="63">
                  <c:v>0.107673</c:v>
                </c:pt>
                <c:pt idx="64">
                  <c:v>0.107859</c:v>
                </c:pt>
                <c:pt idx="65">
                  <c:v>0.10789899999999999</c:v>
                </c:pt>
                <c:pt idx="66">
                  <c:v>0.33680100000000002</c:v>
                </c:pt>
                <c:pt idx="67">
                  <c:v>0.10811999999999999</c:v>
                </c:pt>
                <c:pt idx="68">
                  <c:v>0.26657900000000001</c:v>
                </c:pt>
                <c:pt idx="69">
                  <c:v>0.108331</c:v>
                </c:pt>
                <c:pt idx="70">
                  <c:v>0.10835699999999999</c:v>
                </c:pt>
                <c:pt idx="71">
                  <c:v>30.310400000000001</c:v>
                </c:pt>
                <c:pt idx="72">
                  <c:v>0.10845100000000001</c:v>
                </c:pt>
                <c:pt idx="73">
                  <c:v>0.25094899999999998</c:v>
                </c:pt>
                <c:pt idx="74">
                  <c:v>0.31170100000000001</c:v>
                </c:pt>
                <c:pt idx="75">
                  <c:v>0.108433</c:v>
                </c:pt>
                <c:pt idx="76">
                  <c:v>0.108464</c:v>
                </c:pt>
                <c:pt idx="77">
                  <c:v>28.486799999999999</c:v>
                </c:pt>
                <c:pt idx="78">
                  <c:v>0.10846500000000001</c:v>
                </c:pt>
                <c:pt idx="79">
                  <c:v>0.337001</c:v>
                </c:pt>
                <c:pt idx="80">
                  <c:v>0.38574700000000001</c:v>
                </c:pt>
                <c:pt idx="81">
                  <c:v>0</c:v>
                </c:pt>
                <c:pt idx="82">
                  <c:v>0.221054</c:v>
                </c:pt>
                <c:pt idx="83">
                  <c:v>0.221054</c:v>
                </c:pt>
                <c:pt idx="84">
                  <c:v>0.221054</c:v>
                </c:pt>
                <c:pt idx="85">
                  <c:v>0.221054</c:v>
                </c:pt>
                <c:pt idx="86">
                  <c:v>0.221054</c:v>
                </c:pt>
                <c:pt idx="87">
                  <c:v>0.221054</c:v>
                </c:pt>
                <c:pt idx="88">
                  <c:v>0.221054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18-4BE2-A78E-6CD8100A15B0}"/>
            </c:ext>
          </c:extLst>
        </c:ser>
        <c:ser>
          <c:idx val="6"/>
          <c:order val="2"/>
          <c:tx>
            <c:strRef>
              <c:f>'REFAP dt 50'!$G$32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50'!$A$33:$A$135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50'!$G$33:$G$135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1.96435</c:v>
                </c:pt>
                <c:pt idx="28">
                  <c:v>2.8763800000000002</c:v>
                </c:pt>
                <c:pt idx="29">
                  <c:v>3.34429</c:v>
                </c:pt>
                <c:pt idx="30">
                  <c:v>3.7389100000000002</c:v>
                </c:pt>
                <c:pt idx="31">
                  <c:v>4.07944</c:v>
                </c:pt>
                <c:pt idx="32">
                  <c:v>4.3453999999999997</c:v>
                </c:pt>
                <c:pt idx="33">
                  <c:v>4.5887500000000001</c:v>
                </c:pt>
                <c:pt idx="34">
                  <c:v>4.8442699999999999</c:v>
                </c:pt>
                <c:pt idx="35">
                  <c:v>5.05227</c:v>
                </c:pt>
                <c:pt idx="36">
                  <c:v>5.2491500000000002</c:v>
                </c:pt>
                <c:pt idx="37">
                  <c:v>5.4433299999999996</c:v>
                </c:pt>
                <c:pt idx="38">
                  <c:v>5.6379099999999998</c:v>
                </c:pt>
                <c:pt idx="39">
                  <c:v>5.8329000000000004</c:v>
                </c:pt>
                <c:pt idx="40">
                  <c:v>6.0282799999999996</c:v>
                </c:pt>
                <c:pt idx="41">
                  <c:v>6.19611</c:v>
                </c:pt>
                <c:pt idx="42">
                  <c:v>6.3921299999999999</c:v>
                </c:pt>
                <c:pt idx="43">
                  <c:v>6.5884999999999998</c:v>
                </c:pt>
                <c:pt idx="44">
                  <c:v>6.7851800000000004</c:v>
                </c:pt>
                <c:pt idx="45">
                  <c:v>6.9821600000000004</c:v>
                </c:pt>
                <c:pt idx="46">
                  <c:v>7.1794399999999996</c:v>
                </c:pt>
                <c:pt idx="47">
                  <c:v>7.3769999999999998</c:v>
                </c:pt>
                <c:pt idx="48">
                  <c:v>7.5748600000000001</c:v>
                </c:pt>
                <c:pt idx="49">
                  <c:v>7.7729999999999997</c:v>
                </c:pt>
                <c:pt idx="50">
                  <c:v>7.9714099999999997</c:v>
                </c:pt>
                <c:pt idx="51">
                  <c:v>8.1700199999999992</c:v>
                </c:pt>
                <c:pt idx="52">
                  <c:v>8.3689</c:v>
                </c:pt>
                <c:pt idx="53">
                  <c:v>8.5680499999999995</c:v>
                </c:pt>
                <c:pt idx="54">
                  <c:v>8.8597900000000003</c:v>
                </c:pt>
                <c:pt idx="55">
                  <c:v>9.1231299999999997</c:v>
                </c:pt>
                <c:pt idx="56">
                  <c:v>9.3867700000000003</c:v>
                </c:pt>
                <c:pt idx="57">
                  <c:v>9.6885999999999992</c:v>
                </c:pt>
                <c:pt idx="58">
                  <c:v>9.9532000000000007</c:v>
                </c:pt>
                <c:pt idx="59">
                  <c:v>10.2559</c:v>
                </c:pt>
                <c:pt idx="60">
                  <c:v>10.5214</c:v>
                </c:pt>
                <c:pt idx="61">
                  <c:v>10.787100000000001</c:v>
                </c:pt>
                <c:pt idx="62">
                  <c:v>11.0913</c:v>
                </c:pt>
                <c:pt idx="63">
                  <c:v>11.357900000000001</c:v>
                </c:pt>
                <c:pt idx="64">
                  <c:v>11.6629</c:v>
                </c:pt>
                <c:pt idx="65">
                  <c:v>11.930400000000001</c:v>
                </c:pt>
                <c:pt idx="66">
                  <c:v>12.1981</c:v>
                </c:pt>
                <c:pt idx="67">
                  <c:v>12.504099999999999</c:v>
                </c:pt>
                <c:pt idx="68">
                  <c:v>12.772500000000001</c:v>
                </c:pt>
                <c:pt idx="69">
                  <c:v>13.079499999999999</c:v>
                </c:pt>
                <c:pt idx="70">
                  <c:v>13.348599999999999</c:v>
                </c:pt>
                <c:pt idx="71">
                  <c:v>13.6563</c:v>
                </c:pt>
                <c:pt idx="72">
                  <c:v>13.896800000000001</c:v>
                </c:pt>
                <c:pt idx="73">
                  <c:v>14.1663</c:v>
                </c:pt>
                <c:pt idx="74">
                  <c:v>14.4358</c:v>
                </c:pt>
                <c:pt idx="75">
                  <c:v>14.704800000000001</c:v>
                </c:pt>
                <c:pt idx="76">
                  <c:v>14.944599999999999</c:v>
                </c:pt>
                <c:pt idx="77">
                  <c:v>15.2525</c:v>
                </c:pt>
                <c:pt idx="78">
                  <c:v>15.4948</c:v>
                </c:pt>
                <c:pt idx="79">
                  <c:v>16.354800000000001</c:v>
                </c:pt>
                <c:pt idx="80">
                  <c:v>17.999500000000001</c:v>
                </c:pt>
                <c:pt idx="81">
                  <c:v>19.7714</c:v>
                </c:pt>
                <c:pt idx="82">
                  <c:v>20.043800000000001</c:v>
                </c:pt>
                <c:pt idx="83">
                  <c:v>20.316199999999998</c:v>
                </c:pt>
                <c:pt idx="84">
                  <c:v>20.5886</c:v>
                </c:pt>
                <c:pt idx="85">
                  <c:v>20.860900000000001</c:v>
                </c:pt>
                <c:pt idx="86">
                  <c:v>21.133299999999998</c:v>
                </c:pt>
                <c:pt idx="87">
                  <c:v>21.4057</c:v>
                </c:pt>
                <c:pt idx="88">
                  <c:v>21.678100000000001</c:v>
                </c:pt>
                <c:pt idx="89">
                  <c:v>21.950399999999998</c:v>
                </c:pt>
                <c:pt idx="90">
                  <c:v>22.222799999999999</c:v>
                </c:pt>
                <c:pt idx="91">
                  <c:v>22.495200000000001</c:v>
                </c:pt>
                <c:pt idx="92">
                  <c:v>22.767600000000002</c:v>
                </c:pt>
                <c:pt idx="93">
                  <c:v>23.039899999999999</c:v>
                </c:pt>
                <c:pt idx="94">
                  <c:v>23.3123</c:v>
                </c:pt>
                <c:pt idx="95">
                  <c:v>23.584700000000002</c:v>
                </c:pt>
                <c:pt idx="96">
                  <c:v>23.857099999999999</c:v>
                </c:pt>
                <c:pt idx="97">
                  <c:v>24.1294</c:v>
                </c:pt>
                <c:pt idx="98">
                  <c:v>24.401800000000001</c:v>
                </c:pt>
                <c:pt idx="99">
                  <c:v>24.674199999999999</c:v>
                </c:pt>
                <c:pt idx="100">
                  <c:v>24.9466</c:v>
                </c:pt>
                <c:pt idx="101">
                  <c:v>25.219000000000001</c:v>
                </c:pt>
                <c:pt idx="102">
                  <c:v>25.672899999999998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18-4BE2-A78E-6CD8100A1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50'!$AH$32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50'!$AF$33:$AF$153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50'!$AH$33:$AH$153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ED18-4BE2-A78E-6CD8100A15B0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20'!$D$32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20'!$A$33:$A$135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20'!$D$33:$D$135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433.00599999999997</c:v>
                </c:pt>
                <c:pt idx="2">
                  <c:v>432.66899999999998</c:v>
                </c:pt>
                <c:pt idx="3">
                  <c:v>432.346</c:v>
                </c:pt>
                <c:pt idx="4">
                  <c:v>432.07</c:v>
                </c:pt>
                <c:pt idx="5">
                  <c:v>431.78800000000001</c:v>
                </c:pt>
                <c:pt idx="6">
                  <c:v>431.52699999999999</c:v>
                </c:pt>
                <c:pt idx="7">
                  <c:v>431.11</c:v>
                </c:pt>
                <c:pt idx="8">
                  <c:v>430.68</c:v>
                </c:pt>
                <c:pt idx="9">
                  <c:v>430.30399999999997</c:v>
                </c:pt>
                <c:pt idx="10">
                  <c:v>429.91699999999997</c:v>
                </c:pt>
                <c:pt idx="11">
                  <c:v>429.56200000000001</c:v>
                </c:pt>
                <c:pt idx="12">
                  <c:v>429.19799999999998</c:v>
                </c:pt>
                <c:pt idx="13">
                  <c:v>428.851</c:v>
                </c:pt>
                <c:pt idx="14">
                  <c:v>428.49599999999998</c:v>
                </c:pt>
                <c:pt idx="15">
                  <c:v>428.15300000000002</c:v>
                </c:pt>
                <c:pt idx="16">
                  <c:v>427.803</c:v>
                </c:pt>
                <c:pt idx="17">
                  <c:v>427.46100000000001</c:v>
                </c:pt>
                <c:pt idx="18">
                  <c:v>427.11599999999999</c:v>
                </c:pt>
                <c:pt idx="19">
                  <c:v>426.77499999999998</c:v>
                </c:pt>
                <c:pt idx="20">
                  <c:v>426.43200000000002</c:v>
                </c:pt>
                <c:pt idx="21">
                  <c:v>426.09100000000001</c:v>
                </c:pt>
                <c:pt idx="22">
                  <c:v>425.74900000000002</c:v>
                </c:pt>
                <c:pt idx="23">
                  <c:v>425.41</c:v>
                </c:pt>
                <c:pt idx="24">
                  <c:v>425.06900000000002</c:v>
                </c:pt>
                <c:pt idx="25">
                  <c:v>424.73</c:v>
                </c:pt>
                <c:pt idx="26">
                  <c:v>424.39100000000002</c:v>
                </c:pt>
                <c:pt idx="27">
                  <c:v>424.255</c:v>
                </c:pt>
                <c:pt idx="28">
                  <c:v>424.25400000000002</c:v>
                </c:pt>
                <c:pt idx="29">
                  <c:v>424.25</c:v>
                </c:pt>
                <c:pt idx="30">
                  <c:v>424.245</c:v>
                </c:pt>
                <c:pt idx="31">
                  <c:v>424.23899999999998</c:v>
                </c:pt>
                <c:pt idx="32">
                  <c:v>424.22199999999998</c:v>
                </c:pt>
                <c:pt idx="33">
                  <c:v>424.18200000000002</c:v>
                </c:pt>
                <c:pt idx="34">
                  <c:v>424.065</c:v>
                </c:pt>
                <c:pt idx="35">
                  <c:v>423.85599999999999</c:v>
                </c:pt>
                <c:pt idx="36">
                  <c:v>423.85599999999999</c:v>
                </c:pt>
                <c:pt idx="37">
                  <c:v>410.46499999999997</c:v>
                </c:pt>
                <c:pt idx="38">
                  <c:v>396.96199999999999</c:v>
                </c:pt>
                <c:pt idx="39">
                  <c:v>383.99799999999999</c:v>
                </c:pt>
                <c:pt idx="40">
                  <c:v>371.49799999999999</c:v>
                </c:pt>
                <c:pt idx="41">
                  <c:v>359.48099999999999</c:v>
                </c:pt>
                <c:pt idx="42">
                  <c:v>347.92700000000002</c:v>
                </c:pt>
                <c:pt idx="43">
                  <c:v>336.82400000000001</c:v>
                </c:pt>
                <c:pt idx="44">
                  <c:v>326.14100000000002</c:v>
                </c:pt>
                <c:pt idx="45">
                  <c:v>315.86</c:v>
                </c:pt>
                <c:pt idx="46">
                  <c:v>305.98700000000002</c:v>
                </c:pt>
                <c:pt idx="47">
                  <c:v>296.48200000000003</c:v>
                </c:pt>
                <c:pt idx="48">
                  <c:v>287.346</c:v>
                </c:pt>
                <c:pt idx="49">
                  <c:v>278.57100000000003</c:v>
                </c:pt>
                <c:pt idx="50">
                  <c:v>270.13099999999997</c:v>
                </c:pt>
                <c:pt idx="51">
                  <c:v>262.03100000000001</c:v>
                </c:pt>
                <c:pt idx="52">
                  <c:v>254.23500000000001</c:v>
                </c:pt>
                <c:pt idx="53">
                  <c:v>246.74100000000001</c:v>
                </c:pt>
                <c:pt idx="54">
                  <c:v>239.376</c:v>
                </c:pt>
                <c:pt idx="55">
                  <c:v>231.97</c:v>
                </c:pt>
                <c:pt idx="56">
                  <c:v>224.852</c:v>
                </c:pt>
                <c:pt idx="57">
                  <c:v>218.03899999999999</c:v>
                </c:pt>
                <c:pt idx="58">
                  <c:v>211.51400000000001</c:v>
                </c:pt>
                <c:pt idx="59">
                  <c:v>205.268</c:v>
                </c:pt>
                <c:pt idx="60">
                  <c:v>199.28399999999999</c:v>
                </c:pt>
                <c:pt idx="61">
                  <c:v>193.55799999999999</c:v>
                </c:pt>
                <c:pt idx="62">
                  <c:v>188.071</c:v>
                </c:pt>
                <c:pt idx="63">
                  <c:v>182.81100000000001</c:v>
                </c:pt>
                <c:pt idx="64">
                  <c:v>177.773</c:v>
                </c:pt>
                <c:pt idx="65">
                  <c:v>172.94399999999999</c:v>
                </c:pt>
                <c:pt idx="66">
                  <c:v>168.316</c:v>
                </c:pt>
                <c:pt idx="67">
                  <c:v>163.88</c:v>
                </c:pt>
                <c:pt idx="68">
                  <c:v>159.62799999999999</c:v>
                </c:pt>
                <c:pt idx="69">
                  <c:v>155.55000000000001</c:v>
                </c:pt>
                <c:pt idx="70">
                  <c:v>151.63999999999999</c:v>
                </c:pt>
                <c:pt idx="71">
                  <c:v>147.88999999999999</c:v>
                </c:pt>
                <c:pt idx="72">
                  <c:v>144.292</c:v>
                </c:pt>
                <c:pt idx="73">
                  <c:v>140.84100000000001</c:v>
                </c:pt>
                <c:pt idx="74">
                  <c:v>137.529</c:v>
                </c:pt>
                <c:pt idx="75">
                  <c:v>134.35</c:v>
                </c:pt>
                <c:pt idx="76">
                  <c:v>131.30000000000001</c:v>
                </c:pt>
                <c:pt idx="77">
                  <c:v>128.37100000000001</c:v>
                </c:pt>
                <c:pt idx="78">
                  <c:v>125.559</c:v>
                </c:pt>
                <c:pt idx="79">
                  <c:v>122.858</c:v>
                </c:pt>
                <c:pt idx="80">
                  <c:v>119.64400000000001</c:v>
                </c:pt>
                <c:pt idx="81">
                  <c:v>116.84099999999999</c:v>
                </c:pt>
                <c:pt idx="82">
                  <c:v>114.15</c:v>
                </c:pt>
                <c:pt idx="83">
                  <c:v>111.584</c:v>
                </c:pt>
                <c:pt idx="84">
                  <c:v>109.133</c:v>
                </c:pt>
                <c:pt idx="85">
                  <c:v>106.79300000000001</c:v>
                </c:pt>
                <c:pt idx="86">
                  <c:v>104.557</c:v>
                </c:pt>
                <c:pt idx="87">
                  <c:v>102.42100000000001</c:v>
                </c:pt>
                <c:pt idx="88">
                  <c:v>100.379</c:v>
                </c:pt>
                <c:pt idx="89">
                  <c:v>98.427899999999994</c:v>
                </c:pt>
                <c:pt idx="90">
                  <c:v>96.561599999999999</c:v>
                </c:pt>
                <c:pt idx="91">
                  <c:v>94.776499999999999</c:v>
                </c:pt>
                <c:pt idx="92">
                  <c:v>93.068899999999999</c:v>
                </c:pt>
                <c:pt idx="93">
                  <c:v>91.434799999999996</c:v>
                </c:pt>
                <c:pt idx="94">
                  <c:v>89.870699999999999</c:v>
                </c:pt>
                <c:pt idx="95">
                  <c:v>88.3733</c:v>
                </c:pt>
                <c:pt idx="96">
                  <c:v>86.939099999999996</c:v>
                </c:pt>
                <c:pt idx="97">
                  <c:v>85.565799999999996</c:v>
                </c:pt>
                <c:pt idx="98">
                  <c:v>84.25</c:v>
                </c:pt>
                <c:pt idx="99">
                  <c:v>82.988900000000001</c:v>
                </c:pt>
                <c:pt idx="100">
                  <c:v>81.780600000000007</c:v>
                </c:pt>
                <c:pt idx="101">
                  <c:v>80.622</c:v>
                </c:pt>
                <c:pt idx="102">
                  <c:v>78.655000000000001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A15-4B81-A6E7-CAFAB8A9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A15-4B81-A6E7-CAFAB8A9CA4A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A15-4B81-A6E7-CAFAB8A9CA4A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A15-4B81-A6E7-CAFAB8A9CA4A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AA15-4B81-A6E7-CAFAB8A9CA4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20'!$F$32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20'!$A$33:$A$135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20'!$F$33:$F$135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7.81834E-2</c:v>
                </c:pt>
                <c:pt idx="28">
                  <c:v>9.8090499999999997E-2</c:v>
                </c:pt>
                <c:pt idx="29">
                  <c:v>7.8492699999999999E-2</c:v>
                </c:pt>
                <c:pt idx="30">
                  <c:v>7.8640600000000005E-2</c:v>
                </c:pt>
                <c:pt idx="31">
                  <c:v>7.8825400000000004E-2</c:v>
                </c:pt>
                <c:pt idx="32">
                  <c:v>7.89049E-2</c:v>
                </c:pt>
                <c:pt idx="33">
                  <c:v>9.9449999999999997E-2</c:v>
                </c:pt>
                <c:pt idx="34">
                  <c:v>7.9266699999999995E-2</c:v>
                </c:pt>
                <c:pt idx="35">
                  <c:v>7.9386300000000007E-2</c:v>
                </c:pt>
                <c:pt idx="36">
                  <c:v>7.9516500000000004E-2</c:v>
                </c:pt>
                <c:pt idx="37">
                  <c:v>7.9659400000000005E-2</c:v>
                </c:pt>
                <c:pt idx="38">
                  <c:v>7.9809400000000003E-2</c:v>
                </c:pt>
                <c:pt idx="39">
                  <c:v>0.100899</c:v>
                </c:pt>
                <c:pt idx="40">
                  <c:v>7.9851000000000005E-2</c:v>
                </c:pt>
                <c:pt idx="41">
                  <c:v>7.99676E-2</c:v>
                </c:pt>
                <c:pt idx="42">
                  <c:v>8.0083100000000004E-2</c:v>
                </c:pt>
                <c:pt idx="43">
                  <c:v>8.0197000000000004E-2</c:v>
                </c:pt>
                <c:pt idx="44">
                  <c:v>8.0310099999999995E-2</c:v>
                </c:pt>
                <c:pt idx="45">
                  <c:v>8.0421900000000004E-2</c:v>
                </c:pt>
                <c:pt idx="46">
                  <c:v>8.0532099999999995E-2</c:v>
                </c:pt>
                <c:pt idx="47">
                  <c:v>8.0641900000000002E-2</c:v>
                </c:pt>
                <c:pt idx="48">
                  <c:v>8.0749799999999997E-2</c:v>
                </c:pt>
                <c:pt idx="49">
                  <c:v>0.102731</c:v>
                </c:pt>
                <c:pt idx="50">
                  <c:v>8.0735799999999996E-2</c:v>
                </c:pt>
                <c:pt idx="51">
                  <c:v>8.0837099999999995E-2</c:v>
                </c:pt>
                <c:pt idx="52">
                  <c:v>8.0937300000000004E-2</c:v>
                </c:pt>
                <c:pt idx="53">
                  <c:v>8.10361E-2</c:v>
                </c:pt>
                <c:pt idx="54">
                  <c:v>0.10716100000000001</c:v>
                </c:pt>
                <c:pt idx="55">
                  <c:v>0.10745300000000001</c:v>
                </c:pt>
                <c:pt idx="56">
                  <c:v>0.107534</c:v>
                </c:pt>
                <c:pt idx="57">
                  <c:v>0.10760599999999999</c:v>
                </c:pt>
                <c:pt idx="58">
                  <c:v>0.10767500000000001</c:v>
                </c:pt>
                <c:pt idx="59">
                  <c:v>0.137431</c:v>
                </c:pt>
                <c:pt idx="60">
                  <c:v>0.108031</c:v>
                </c:pt>
                <c:pt idx="61">
                  <c:v>0.10809000000000001</c:v>
                </c:pt>
                <c:pt idx="62">
                  <c:v>0.10814699999999999</c:v>
                </c:pt>
                <c:pt idx="63">
                  <c:v>0.138353</c:v>
                </c:pt>
                <c:pt idx="64">
                  <c:v>0.108486</c:v>
                </c:pt>
                <c:pt idx="65">
                  <c:v>0.108386</c:v>
                </c:pt>
                <c:pt idx="66">
                  <c:v>40</c:v>
                </c:pt>
                <c:pt idx="67">
                  <c:v>0.108344</c:v>
                </c:pt>
                <c:pt idx="68">
                  <c:v>40</c:v>
                </c:pt>
                <c:pt idx="69">
                  <c:v>0.108307</c:v>
                </c:pt>
                <c:pt idx="70">
                  <c:v>40</c:v>
                </c:pt>
                <c:pt idx="71">
                  <c:v>0.138515</c:v>
                </c:pt>
                <c:pt idx="72">
                  <c:v>0.21026800000000001</c:v>
                </c:pt>
                <c:pt idx="73">
                  <c:v>0.108504</c:v>
                </c:pt>
                <c:pt idx="74">
                  <c:v>0.10842599999999999</c:v>
                </c:pt>
                <c:pt idx="75">
                  <c:v>0.108497</c:v>
                </c:pt>
                <c:pt idx="76">
                  <c:v>0.108432</c:v>
                </c:pt>
                <c:pt idx="77">
                  <c:v>0.10850600000000001</c:v>
                </c:pt>
                <c:pt idx="78">
                  <c:v>0.10842400000000001</c:v>
                </c:pt>
                <c:pt idx="79">
                  <c:v>0.33538200000000001</c:v>
                </c:pt>
                <c:pt idx="80">
                  <c:v>0.42436800000000002</c:v>
                </c:pt>
                <c:pt idx="81">
                  <c:v>0.337036</c:v>
                </c:pt>
                <c:pt idx="82">
                  <c:v>0.33791399999999999</c:v>
                </c:pt>
                <c:pt idx="83">
                  <c:v>0.42908000000000002</c:v>
                </c:pt>
                <c:pt idx="84">
                  <c:v>0.33915899999999999</c:v>
                </c:pt>
                <c:pt idx="85">
                  <c:v>0</c:v>
                </c:pt>
                <c:pt idx="86">
                  <c:v>0.221054</c:v>
                </c:pt>
                <c:pt idx="87">
                  <c:v>0.221054</c:v>
                </c:pt>
                <c:pt idx="88">
                  <c:v>0.221054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5-4B81-A6E7-CAFAB8A9CA4A}"/>
            </c:ext>
          </c:extLst>
        </c:ser>
        <c:ser>
          <c:idx val="6"/>
          <c:order val="2"/>
          <c:tx>
            <c:strRef>
              <c:f>'REFAP dt 20'!$G$32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20'!$A$33:$A$135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20'!$G$33:$G$135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1.6556200000000001</c:v>
                </c:pt>
                <c:pt idx="28">
                  <c:v>2.3883899999999998</c:v>
                </c:pt>
                <c:pt idx="29">
                  <c:v>2.90964</c:v>
                </c:pt>
                <c:pt idx="30">
                  <c:v>3.3087300000000002</c:v>
                </c:pt>
                <c:pt idx="31">
                  <c:v>3.65035</c:v>
                </c:pt>
                <c:pt idx="32">
                  <c:v>3.9333999999999998</c:v>
                </c:pt>
                <c:pt idx="33">
                  <c:v>4.1901900000000003</c:v>
                </c:pt>
                <c:pt idx="34">
                  <c:v>4.4390400000000003</c:v>
                </c:pt>
                <c:pt idx="35">
                  <c:v>4.6553899999999997</c:v>
                </c:pt>
                <c:pt idx="36">
                  <c:v>4.8582700000000001</c:v>
                </c:pt>
                <c:pt idx="37">
                  <c:v>5.0489600000000001</c:v>
                </c:pt>
                <c:pt idx="38">
                  <c:v>5.2307800000000002</c:v>
                </c:pt>
                <c:pt idx="39">
                  <c:v>5.3989500000000001</c:v>
                </c:pt>
                <c:pt idx="40">
                  <c:v>5.5786899999999999</c:v>
                </c:pt>
                <c:pt idx="41">
                  <c:v>5.7588100000000004</c:v>
                </c:pt>
                <c:pt idx="42">
                  <c:v>5.9392699999999996</c:v>
                </c:pt>
                <c:pt idx="43">
                  <c:v>6.1200299999999999</c:v>
                </c:pt>
                <c:pt idx="44">
                  <c:v>6.3011100000000004</c:v>
                </c:pt>
                <c:pt idx="45">
                  <c:v>6.4825400000000002</c:v>
                </c:pt>
                <c:pt idx="46">
                  <c:v>6.6642599999999996</c:v>
                </c:pt>
                <c:pt idx="47">
                  <c:v>6.8463200000000004</c:v>
                </c:pt>
                <c:pt idx="48">
                  <c:v>7.0286600000000004</c:v>
                </c:pt>
                <c:pt idx="49">
                  <c:v>7.1999199999999997</c:v>
                </c:pt>
                <c:pt idx="50">
                  <c:v>7.3828800000000001</c:v>
                </c:pt>
                <c:pt idx="51">
                  <c:v>7.56616</c:v>
                </c:pt>
                <c:pt idx="52">
                  <c:v>7.7497400000000001</c:v>
                </c:pt>
                <c:pt idx="53">
                  <c:v>7.9335800000000001</c:v>
                </c:pt>
                <c:pt idx="54">
                  <c:v>8.1648099999999992</c:v>
                </c:pt>
                <c:pt idx="55">
                  <c:v>8.4223499999999998</c:v>
                </c:pt>
                <c:pt idx="56">
                  <c:v>8.6653400000000005</c:v>
                </c:pt>
                <c:pt idx="57">
                  <c:v>8.9087399999999999</c:v>
                </c:pt>
                <c:pt idx="58">
                  <c:v>9.1525499999999997</c:v>
                </c:pt>
                <c:pt idx="59">
                  <c:v>9.3967100000000006</c:v>
                </c:pt>
                <c:pt idx="60">
                  <c:v>9.6566299999999998</c:v>
                </c:pt>
                <c:pt idx="61">
                  <c:v>9.9017199999999992</c:v>
                </c:pt>
                <c:pt idx="62">
                  <c:v>10.1472</c:v>
                </c:pt>
                <c:pt idx="63">
                  <c:v>10.393000000000001</c:v>
                </c:pt>
                <c:pt idx="64">
                  <c:v>10.6547</c:v>
                </c:pt>
                <c:pt idx="65">
                  <c:v>10.854900000000001</c:v>
                </c:pt>
                <c:pt idx="66">
                  <c:v>11.1012</c:v>
                </c:pt>
                <c:pt idx="67">
                  <c:v>11.301399999999999</c:v>
                </c:pt>
                <c:pt idx="68">
                  <c:v>11.547800000000001</c:v>
                </c:pt>
                <c:pt idx="69">
                  <c:v>11.7479</c:v>
                </c:pt>
                <c:pt idx="70">
                  <c:v>11.9635</c:v>
                </c:pt>
                <c:pt idx="71">
                  <c:v>12.1943</c:v>
                </c:pt>
                <c:pt idx="72">
                  <c:v>12.394500000000001</c:v>
                </c:pt>
                <c:pt idx="73">
                  <c:v>12.6563</c:v>
                </c:pt>
                <c:pt idx="74">
                  <c:v>12.832800000000001</c:v>
                </c:pt>
                <c:pt idx="75">
                  <c:v>13.0663</c:v>
                </c:pt>
                <c:pt idx="76">
                  <c:v>13.239599999999999</c:v>
                </c:pt>
                <c:pt idx="77">
                  <c:v>13.471500000000001</c:v>
                </c:pt>
                <c:pt idx="78">
                  <c:v>13.6433</c:v>
                </c:pt>
                <c:pt idx="79">
                  <c:v>14.298999999999999</c:v>
                </c:pt>
                <c:pt idx="80">
                  <c:v>15.192500000000001</c:v>
                </c:pt>
                <c:pt idx="81">
                  <c:v>16.136700000000001</c:v>
                </c:pt>
                <c:pt idx="82">
                  <c:v>17.084900000000001</c:v>
                </c:pt>
                <c:pt idx="83">
                  <c:v>17.988700000000001</c:v>
                </c:pt>
                <c:pt idx="84">
                  <c:v>18.942900000000002</c:v>
                </c:pt>
                <c:pt idx="85">
                  <c:v>19.7331</c:v>
                </c:pt>
                <c:pt idx="86">
                  <c:v>20.005400000000002</c:v>
                </c:pt>
                <c:pt idx="87">
                  <c:v>20.277799999999999</c:v>
                </c:pt>
                <c:pt idx="88">
                  <c:v>20.5502</c:v>
                </c:pt>
                <c:pt idx="89">
                  <c:v>20.822600000000001</c:v>
                </c:pt>
                <c:pt idx="90">
                  <c:v>21.094899999999999</c:v>
                </c:pt>
                <c:pt idx="91">
                  <c:v>21.3673</c:v>
                </c:pt>
                <c:pt idx="92">
                  <c:v>21.639700000000001</c:v>
                </c:pt>
                <c:pt idx="93">
                  <c:v>21.912099999999999</c:v>
                </c:pt>
                <c:pt idx="94">
                  <c:v>22.1844</c:v>
                </c:pt>
                <c:pt idx="95">
                  <c:v>22.456800000000001</c:v>
                </c:pt>
                <c:pt idx="96">
                  <c:v>22.729199999999999</c:v>
                </c:pt>
                <c:pt idx="97">
                  <c:v>23.0016</c:v>
                </c:pt>
                <c:pt idx="98">
                  <c:v>23.273900000000001</c:v>
                </c:pt>
                <c:pt idx="99">
                  <c:v>23.546299999999999</c:v>
                </c:pt>
                <c:pt idx="100">
                  <c:v>23.8187</c:v>
                </c:pt>
                <c:pt idx="101">
                  <c:v>24.091100000000001</c:v>
                </c:pt>
                <c:pt idx="102">
                  <c:v>24.581299999999999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15-4B81-A6E7-CAFAB8A9C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20'!$AH$32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A15-4B81-A6E7-CAFAB8A9CA4A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10'!$D$32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10'!$A$33:$A$135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433.01600000000002</c:v>
                </c:pt>
                <c:pt idx="2">
                  <c:v>432.69</c:v>
                </c:pt>
                <c:pt idx="3">
                  <c:v>432.4</c:v>
                </c:pt>
                <c:pt idx="4">
                  <c:v>432.12599999999998</c:v>
                </c:pt>
                <c:pt idx="5">
                  <c:v>431.85700000000003</c:v>
                </c:pt>
                <c:pt idx="6">
                  <c:v>431.59100000000001</c:v>
                </c:pt>
                <c:pt idx="7">
                  <c:v>431.16699999999997</c:v>
                </c:pt>
                <c:pt idx="8">
                  <c:v>430.77699999999999</c:v>
                </c:pt>
                <c:pt idx="9">
                  <c:v>430.40600000000001</c:v>
                </c:pt>
                <c:pt idx="10">
                  <c:v>430.04599999999999</c:v>
                </c:pt>
                <c:pt idx="11">
                  <c:v>429.69200000000001</c:v>
                </c:pt>
                <c:pt idx="12">
                  <c:v>429.34100000000001</c:v>
                </c:pt>
                <c:pt idx="13">
                  <c:v>428.99099999999999</c:v>
                </c:pt>
                <c:pt idx="14">
                  <c:v>428.64299999999997</c:v>
                </c:pt>
                <c:pt idx="15">
                  <c:v>428.29599999999999</c:v>
                </c:pt>
                <c:pt idx="16">
                  <c:v>427.95</c:v>
                </c:pt>
                <c:pt idx="17">
                  <c:v>427.60399999999998</c:v>
                </c:pt>
                <c:pt idx="18">
                  <c:v>427.25900000000001</c:v>
                </c:pt>
                <c:pt idx="19">
                  <c:v>426.91399999999999</c:v>
                </c:pt>
                <c:pt idx="20">
                  <c:v>426.56700000000001</c:v>
                </c:pt>
                <c:pt idx="21">
                  <c:v>426.221</c:v>
                </c:pt>
                <c:pt idx="22">
                  <c:v>425.87700000000001</c:v>
                </c:pt>
                <c:pt idx="23">
                  <c:v>425.53399999999999</c:v>
                </c:pt>
                <c:pt idx="24">
                  <c:v>425.19099999999997</c:v>
                </c:pt>
                <c:pt idx="25">
                  <c:v>424.84899999999999</c:v>
                </c:pt>
                <c:pt idx="26">
                  <c:v>424.50700000000001</c:v>
                </c:pt>
                <c:pt idx="27">
                  <c:v>424.37099999999998</c:v>
                </c:pt>
                <c:pt idx="28">
                  <c:v>424.37099999999998</c:v>
                </c:pt>
                <c:pt idx="29">
                  <c:v>424.36700000000002</c:v>
                </c:pt>
                <c:pt idx="30">
                  <c:v>424.358</c:v>
                </c:pt>
                <c:pt idx="31">
                  <c:v>424.351</c:v>
                </c:pt>
                <c:pt idx="32">
                  <c:v>424.33800000000002</c:v>
                </c:pt>
                <c:pt idx="33">
                  <c:v>424.31700000000001</c:v>
                </c:pt>
                <c:pt idx="34">
                  <c:v>424.23599999999999</c:v>
                </c:pt>
                <c:pt idx="35">
                  <c:v>424.05200000000002</c:v>
                </c:pt>
                <c:pt idx="36">
                  <c:v>423.89299999999997</c:v>
                </c:pt>
                <c:pt idx="37">
                  <c:v>421.334</c:v>
                </c:pt>
                <c:pt idx="38">
                  <c:v>405.30099999999999</c:v>
                </c:pt>
                <c:pt idx="39">
                  <c:v>388.70299999999997</c:v>
                </c:pt>
                <c:pt idx="40">
                  <c:v>373.03399999999999</c:v>
                </c:pt>
                <c:pt idx="41">
                  <c:v>358.238</c:v>
                </c:pt>
                <c:pt idx="42">
                  <c:v>344.34699999999998</c:v>
                </c:pt>
                <c:pt idx="43">
                  <c:v>331.09800000000001</c:v>
                </c:pt>
                <c:pt idx="44">
                  <c:v>318.48399999999998</c:v>
                </c:pt>
                <c:pt idx="45">
                  <c:v>306.44</c:v>
                </c:pt>
                <c:pt idx="46">
                  <c:v>294.95999999999998</c:v>
                </c:pt>
                <c:pt idx="47">
                  <c:v>284.02</c:v>
                </c:pt>
                <c:pt idx="48">
                  <c:v>273.596</c:v>
                </c:pt>
                <c:pt idx="49">
                  <c:v>263.66399999999999</c:v>
                </c:pt>
                <c:pt idx="50">
                  <c:v>254.202</c:v>
                </c:pt>
                <c:pt idx="51">
                  <c:v>245.18700000000001</c:v>
                </c:pt>
                <c:pt idx="52">
                  <c:v>236.6</c:v>
                </c:pt>
                <c:pt idx="53">
                  <c:v>228.41900000000001</c:v>
                </c:pt>
                <c:pt idx="54">
                  <c:v>220.43700000000001</c:v>
                </c:pt>
                <c:pt idx="55">
                  <c:v>212.42699999999999</c:v>
                </c:pt>
                <c:pt idx="56">
                  <c:v>204.82400000000001</c:v>
                </c:pt>
                <c:pt idx="57">
                  <c:v>197.624</c:v>
                </c:pt>
                <c:pt idx="58">
                  <c:v>190.785</c:v>
                </c:pt>
                <c:pt idx="59">
                  <c:v>184.30099999999999</c:v>
                </c:pt>
                <c:pt idx="60">
                  <c:v>178.15</c:v>
                </c:pt>
                <c:pt idx="61">
                  <c:v>172.315</c:v>
                </c:pt>
                <c:pt idx="62">
                  <c:v>166.77699999999999</c:v>
                </c:pt>
                <c:pt idx="63">
                  <c:v>161.52000000000001</c:v>
                </c:pt>
                <c:pt idx="64">
                  <c:v>156.529</c:v>
                </c:pt>
                <c:pt idx="65">
                  <c:v>151.78899999999999</c:v>
                </c:pt>
                <c:pt idx="66">
                  <c:v>147.285</c:v>
                </c:pt>
                <c:pt idx="67">
                  <c:v>143.005</c:v>
                </c:pt>
                <c:pt idx="68">
                  <c:v>138.93799999999999</c:v>
                </c:pt>
                <c:pt idx="69">
                  <c:v>135.07</c:v>
                </c:pt>
                <c:pt idx="70">
                  <c:v>131.39099999999999</c:v>
                </c:pt>
                <c:pt idx="71">
                  <c:v>127.892</c:v>
                </c:pt>
                <c:pt idx="72">
                  <c:v>124.562</c:v>
                </c:pt>
                <c:pt idx="73">
                  <c:v>121.392</c:v>
                </c:pt>
                <c:pt idx="74">
                  <c:v>118.374</c:v>
                </c:pt>
                <c:pt idx="75">
                  <c:v>115.5</c:v>
                </c:pt>
                <c:pt idx="76">
                  <c:v>112.762</c:v>
                </c:pt>
                <c:pt idx="77">
                  <c:v>110.15300000000001</c:v>
                </c:pt>
                <c:pt idx="78">
                  <c:v>107.666</c:v>
                </c:pt>
                <c:pt idx="79">
                  <c:v>105.27200000000001</c:v>
                </c:pt>
                <c:pt idx="80">
                  <c:v>102.80500000000001</c:v>
                </c:pt>
                <c:pt idx="81">
                  <c:v>100.482</c:v>
                </c:pt>
                <c:pt idx="82">
                  <c:v>98.264600000000002</c:v>
                </c:pt>
                <c:pt idx="83">
                  <c:v>96.150499999999994</c:v>
                </c:pt>
                <c:pt idx="84">
                  <c:v>94.128799999999998</c:v>
                </c:pt>
                <c:pt idx="85">
                  <c:v>92.202399999999997</c:v>
                </c:pt>
                <c:pt idx="86">
                  <c:v>90.365200000000002</c:v>
                </c:pt>
                <c:pt idx="87">
                  <c:v>88.614000000000004</c:v>
                </c:pt>
                <c:pt idx="88">
                  <c:v>86.943700000000007</c:v>
                </c:pt>
                <c:pt idx="89">
                  <c:v>85.350499999999997</c:v>
                </c:pt>
                <c:pt idx="90">
                  <c:v>83.829099999999997</c:v>
                </c:pt>
                <c:pt idx="91">
                  <c:v>82.378900000000002</c:v>
                </c:pt>
                <c:pt idx="92">
                  <c:v>80.995199999999997</c:v>
                </c:pt>
                <c:pt idx="93">
                  <c:v>79.674700000000001</c:v>
                </c:pt>
                <c:pt idx="94">
                  <c:v>78.414299999999997</c:v>
                </c:pt>
                <c:pt idx="95">
                  <c:v>77.210899999999995</c:v>
                </c:pt>
                <c:pt idx="96">
                  <c:v>76.062299999999993</c:v>
                </c:pt>
                <c:pt idx="97">
                  <c:v>74.965500000000006</c:v>
                </c:pt>
                <c:pt idx="98">
                  <c:v>73.918099999999995</c:v>
                </c:pt>
                <c:pt idx="99">
                  <c:v>72.917599999999993</c:v>
                </c:pt>
                <c:pt idx="100">
                  <c:v>71.961600000000004</c:v>
                </c:pt>
                <c:pt idx="101">
                  <c:v>71.0488</c:v>
                </c:pt>
                <c:pt idx="102">
                  <c:v>69.506399999999999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1A0-4B1B-A7F4-E171988AB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10'!$AP$33:$AP$632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1A0-4B1B-A7F4-E171988AB30B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1A0-4B1B-A7F4-E171988AB30B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10'!$AG$33:$AG$153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A0-4B1B-A7F4-E171988AB30B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10'!$Z$33:$Z$632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10'!$AN$33:$AN$632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41A0-4B1B-A7F4-E171988AB30B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10'!$F$32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10'!$A$33:$A$135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7.8161599999999998E-2</c:v>
                </c:pt>
                <c:pt idx="28">
                  <c:v>7.8345700000000004E-2</c:v>
                </c:pt>
                <c:pt idx="29">
                  <c:v>7.8560199999999997E-2</c:v>
                </c:pt>
                <c:pt idx="30">
                  <c:v>7.8736399999999998E-2</c:v>
                </c:pt>
                <c:pt idx="31">
                  <c:v>7.8952999999999995E-2</c:v>
                </c:pt>
                <c:pt idx="32">
                  <c:v>7.9046599999999995E-2</c:v>
                </c:pt>
                <c:pt idx="33">
                  <c:v>7.9348699999999994E-2</c:v>
                </c:pt>
                <c:pt idx="34">
                  <c:v>7.9480599999999998E-2</c:v>
                </c:pt>
                <c:pt idx="35">
                  <c:v>7.9622399999999996E-2</c:v>
                </c:pt>
                <c:pt idx="36">
                  <c:v>7.9778100000000005E-2</c:v>
                </c:pt>
                <c:pt idx="37">
                  <c:v>7.9911399999999994E-2</c:v>
                </c:pt>
                <c:pt idx="38">
                  <c:v>8.0057400000000001E-2</c:v>
                </c:pt>
                <c:pt idx="39">
                  <c:v>8.0217300000000005E-2</c:v>
                </c:pt>
                <c:pt idx="40">
                  <c:v>8.0379699999999998E-2</c:v>
                </c:pt>
                <c:pt idx="41">
                  <c:v>0.101963</c:v>
                </c:pt>
                <c:pt idx="42">
                  <c:v>8.0401299999999995E-2</c:v>
                </c:pt>
                <c:pt idx="43">
                  <c:v>8.0550300000000005E-2</c:v>
                </c:pt>
                <c:pt idx="44">
                  <c:v>8.0698000000000006E-2</c:v>
                </c:pt>
                <c:pt idx="45">
                  <c:v>8.0843999999999999E-2</c:v>
                </c:pt>
                <c:pt idx="46">
                  <c:v>8.0988000000000004E-2</c:v>
                </c:pt>
                <c:pt idx="47">
                  <c:v>8.1129800000000002E-2</c:v>
                </c:pt>
                <c:pt idx="48">
                  <c:v>8.1269999999999995E-2</c:v>
                </c:pt>
                <c:pt idx="49">
                  <c:v>8.1407800000000002E-2</c:v>
                </c:pt>
                <c:pt idx="50">
                  <c:v>30</c:v>
                </c:pt>
                <c:pt idx="51">
                  <c:v>30</c:v>
                </c:pt>
                <c:pt idx="52">
                  <c:v>27.959099999999999</c:v>
                </c:pt>
                <c:pt idx="53">
                  <c:v>30</c:v>
                </c:pt>
                <c:pt idx="54">
                  <c:v>0.107184</c:v>
                </c:pt>
                <c:pt idx="55">
                  <c:v>0.107304</c:v>
                </c:pt>
                <c:pt idx="56">
                  <c:v>0.10771699999999999</c:v>
                </c:pt>
                <c:pt idx="57">
                  <c:v>0.10782899999999999</c:v>
                </c:pt>
                <c:pt idx="58">
                  <c:v>0.107931</c:v>
                </c:pt>
                <c:pt idx="59">
                  <c:v>0.108027</c:v>
                </c:pt>
                <c:pt idx="60">
                  <c:v>0.108117</c:v>
                </c:pt>
                <c:pt idx="61">
                  <c:v>0.13835600000000001</c:v>
                </c:pt>
                <c:pt idx="62">
                  <c:v>0.108282</c:v>
                </c:pt>
                <c:pt idx="63">
                  <c:v>0.108309</c:v>
                </c:pt>
                <c:pt idx="64">
                  <c:v>0.108086</c:v>
                </c:pt>
                <c:pt idx="65">
                  <c:v>0.108124</c:v>
                </c:pt>
                <c:pt idx="66">
                  <c:v>13.9899</c:v>
                </c:pt>
                <c:pt idx="67">
                  <c:v>0.108304</c:v>
                </c:pt>
                <c:pt idx="68">
                  <c:v>0.108339</c:v>
                </c:pt>
                <c:pt idx="69">
                  <c:v>0.108123</c:v>
                </c:pt>
                <c:pt idx="70">
                  <c:v>0.108168</c:v>
                </c:pt>
                <c:pt idx="71">
                  <c:v>0.108268</c:v>
                </c:pt>
                <c:pt idx="72">
                  <c:v>21.1401</c:v>
                </c:pt>
                <c:pt idx="73">
                  <c:v>40</c:v>
                </c:pt>
                <c:pt idx="74">
                  <c:v>0.10816000000000001</c:v>
                </c:pt>
                <c:pt idx="75">
                  <c:v>0.108265</c:v>
                </c:pt>
                <c:pt idx="76">
                  <c:v>0.108363</c:v>
                </c:pt>
                <c:pt idx="77">
                  <c:v>0.39185399999999998</c:v>
                </c:pt>
                <c:pt idx="78">
                  <c:v>0.108193</c:v>
                </c:pt>
                <c:pt idx="79">
                  <c:v>0.33244299999999999</c:v>
                </c:pt>
                <c:pt idx="80">
                  <c:v>0.331733</c:v>
                </c:pt>
                <c:pt idx="81">
                  <c:v>0.33718799999999999</c:v>
                </c:pt>
                <c:pt idx="82">
                  <c:v>0.33804800000000002</c:v>
                </c:pt>
                <c:pt idx="83">
                  <c:v>0.33875899999999998</c:v>
                </c:pt>
                <c:pt idx="84">
                  <c:v>0.33944400000000002</c:v>
                </c:pt>
                <c:pt idx="85">
                  <c:v>0.340111</c:v>
                </c:pt>
                <c:pt idx="86">
                  <c:v>0.34075699999999998</c:v>
                </c:pt>
                <c:pt idx="87">
                  <c:v>0.34138200000000002</c:v>
                </c:pt>
                <c:pt idx="88">
                  <c:v>0.34198600000000001</c:v>
                </c:pt>
                <c:pt idx="89">
                  <c:v>0.221054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  <c:pt idx="102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A0-4B1B-A7F4-E171988AB30B}"/>
            </c:ext>
          </c:extLst>
        </c:ser>
        <c:ser>
          <c:idx val="6"/>
          <c:order val="2"/>
          <c:tx>
            <c:strRef>
              <c:f>'REFAP dt 10'!$G$32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10'!$A$33:$A$135</c:f>
              <c:numCache>
                <c:formatCode>0</c:formatCode>
                <c:ptCount val="10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514</c:v>
                </c:pt>
              </c:numCache>
            </c:numRef>
          </c:xVal>
          <c:yVal>
            <c:numRef>
              <c:f>'REFAP dt 10'!$G$33:$G$135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1.33121</c:v>
                </c:pt>
                <c:pt idx="28">
                  <c:v>2.1546099999999999</c:v>
                </c:pt>
                <c:pt idx="29">
                  <c:v>2.6912199999999999</c:v>
                </c:pt>
                <c:pt idx="30">
                  <c:v>3.1038899999999998</c:v>
                </c:pt>
                <c:pt idx="31">
                  <c:v>3.4533</c:v>
                </c:pt>
                <c:pt idx="32">
                  <c:v>3.74919</c:v>
                </c:pt>
                <c:pt idx="33">
                  <c:v>4.02393</c:v>
                </c:pt>
                <c:pt idx="34">
                  <c:v>4.2653999999999996</c:v>
                </c:pt>
                <c:pt idx="35">
                  <c:v>4.48895</c:v>
                </c:pt>
                <c:pt idx="36">
                  <c:v>4.6974400000000003</c:v>
                </c:pt>
                <c:pt idx="37">
                  <c:v>4.89276</c:v>
                </c:pt>
                <c:pt idx="38">
                  <c:v>5.0771499999999996</c:v>
                </c:pt>
                <c:pt idx="39">
                  <c:v>5.2542900000000001</c:v>
                </c:pt>
                <c:pt idx="40">
                  <c:v>5.4295299999999997</c:v>
                </c:pt>
                <c:pt idx="41">
                  <c:v>5.5995299999999997</c:v>
                </c:pt>
                <c:pt idx="42">
                  <c:v>5.7756699999999999</c:v>
                </c:pt>
                <c:pt idx="43">
                  <c:v>5.9522199999999996</c:v>
                </c:pt>
                <c:pt idx="44">
                  <c:v>6.1291399999999996</c:v>
                </c:pt>
                <c:pt idx="45">
                  <c:v>6.3064400000000003</c:v>
                </c:pt>
                <c:pt idx="46">
                  <c:v>6.4840900000000001</c:v>
                </c:pt>
                <c:pt idx="47">
                  <c:v>6.6620999999999997</c:v>
                </c:pt>
                <c:pt idx="48">
                  <c:v>6.8404800000000003</c:v>
                </c:pt>
                <c:pt idx="49">
                  <c:v>7.0174300000000001</c:v>
                </c:pt>
                <c:pt idx="50">
                  <c:v>7.1415699999999998</c:v>
                </c:pt>
                <c:pt idx="51">
                  <c:v>7.2049200000000004</c:v>
                </c:pt>
                <c:pt idx="52">
                  <c:v>7.2353800000000001</c:v>
                </c:pt>
                <c:pt idx="53">
                  <c:v>7.3220700000000001</c:v>
                </c:pt>
                <c:pt idx="54">
                  <c:v>7.5302300000000004</c:v>
                </c:pt>
                <c:pt idx="55">
                  <c:v>7.7651500000000002</c:v>
                </c:pt>
                <c:pt idx="56">
                  <c:v>8.0082400000000007</c:v>
                </c:pt>
                <c:pt idx="57">
                  <c:v>8.2444400000000009</c:v>
                </c:pt>
                <c:pt idx="58">
                  <c:v>8.4811700000000005</c:v>
                </c:pt>
                <c:pt idx="59">
                  <c:v>8.7184200000000001</c:v>
                </c:pt>
                <c:pt idx="60">
                  <c:v>8.9561700000000002</c:v>
                </c:pt>
                <c:pt idx="61">
                  <c:v>9.1943999999999999</c:v>
                </c:pt>
                <c:pt idx="62">
                  <c:v>9.3746799999999997</c:v>
                </c:pt>
                <c:pt idx="63">
                  <c:v>9.4464500000000005</c:v>
                </c:pt>
                <c:pt idx="64">
                  <c:v>9.5680899999999998</c:v>
                </c:pt>
                <c:pt idx="65">
                  <c:v>9.7753499999999995</c:v>
                </c:pt>
                <c:pt idx="66">
                  <c:v>10.0214</c:v>
                </c:pt>
                <c:pt idx="67">
                  <c:v>10.1762</c:v>
                </c:pt>
                <c:pt idx="68">
                  <c:v>10.224600000000001</c:v>
                </c:pt>
                <c:pt idx="69">
                  <c:v>10.3505</c:v>
                </c:pt>
                <c:pt idx="70">
                  <c:v>10.5425</c:v>
                </c:pt>
                <c:pt idx="71">
                  <c:v>10.780799999999999</c:v>
                </c:pt>
                <c:pt idx="72">
                  <c:v>10.828799999999999</c:v>
                </c:pt>
                <c:pt idx="73">
                  <c:v>10.9537</c:v>
                </c:pt>
                <c:pt idx="74">
                  <c:v>11.1379</c:v>
                </c:pt>
                <c:pt idx="75">
                  <c:v>11.376200000000001</c:v>
                </c:pt>
                <c:pt idx="76">
                  <c:v>11.5663</c:v>
                </c:pt>
                <c:pt idx="77">
                  <c:v>11.6044</c:v>
                </c:pt>
                <c:pt idx="78">
                  <c:v>11.7141</c:v>
                </c:pt>
                <c:pt idx="79">
                  <c:v>12.252000000000001</c:v>
                </c:pt>
                <c:pt idx="80">
                  <c:v>13.051</c:v>
                </c:pt>
                <c:pt idx="81">
                  <c:v>13.8536</c:v>
                </c:pt>
                <c:pt idx="82">
                  <c:v>14.659800000000001</c:v>
                </c:pt>
                <c:pt idx="83">
                  <c:v>15.468999999999999</c:v>
                </c:pt>
                <c:pt idx="84">
                  <c:v>16.280899999999999</c:v>
                </c:pt>
                <c:pt idx="85">
                  <c:v>17.095400000000001</c:v>
                </c:pt>
                <c:pt idx="86">
                  <c:v>17.912500000000001</c:v>
                </c:pt>
                <c:pt idx="87">
                  <c:v>18.732099999999999</c:v>
                </c:pt>
                <c:pt idx="88">
                  <c:v>19.554099999999998</c:v>
                </c:pt>
                <c:pt idx="89">
                  <c:v>19.911300000000001</c:v>
                </c:pt>
                <c:pt idx="90">
                  <c:v>20.183700000000002</c:v>
                </c:pt>
                <c:pt idx="91">
                  <c:v>20.456099999999999</c:v>
                </c:pt>
                <c:pt idx="92">
                  <c:v>20.7285</c:v>
                </c:pt>
                <c:pt idx="93">
                  <c:v>21.000800000000002</c:v>
                </c:pt>
                <c:pt idx="94">
                  <c:v>21.273199999999999</c:v>
                </c:pt>
                <c:pt idx="95">
                  <c:v>21.5456</c:v>
                </c:pt>
                <c:pt idx="96">
                  <c:v>21.818000000000001</c:v>
                </c:pt>
                <c:pt idx="97">
                  <c:v>22.090299999999999</c:v>
                </c:pt>
                <c:pt idx="98">
                  <c:v>22.3627</c:v>
                </c:pt>
                <c:pt idx="99">
                  <c:v>22.635100000000001</c:v>
                </c:pt>
                <c:pt idx="100">
                  <c:v>22.907499999999999</c:v>
                </c:pt>
                <c:pt idx="101">
                  <c:v>23.1799</c:v>
                </c:pt>
                <c:pt idx="102">
                  <c:v>23.670100000000001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A0-4B1B-A7F4-E171988AB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10'!$AH$32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10'!$AF$33:$AF$153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10'!$AH$33:$AH$153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41A0-4B1B-A7F4-E171988AB30B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5'!$D$32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5'!$A$33:$A$135</c:f>
              <c:numCache>
                <c:formatCode>0</c:formatCode>
                <c:ptCount val="103"/>
                <c:pt idx="0">
                  <c:v>0</c:v>
                </c:pt>
                <c:pt idx="1">
                  <c:v>5.0833300000000001</c:v>
                </c:pt>
                <c:pt idx="2">
                  <c:v>10.166700000000001</c:v>
                </c:pt>
                <c:pt idx="3">
                  <c:v>15.25</c:v>
                </c:pt>
                <c:pt idx="4">
                  <c:v>20.333300000000001</c:v>
                </c:pt>
                <c:pt idx="5">
                  <c:v>25.416699999999999</c:v>
                </c:pt>
                <c:pt idx="6">
                  <c:v>30.5</c:v>
                </c:pt>
                <c:pt idx="7">
                  <c:v>35.583300000000001</c:v>
                </c:pt>
                <c:pt idx="8">
                  <c:v>40.666699999999999</c:v>
                </c:pt>
                <c:pt idx="9">
                  <c:v>45.75</c:v>
                </c:pt>
                <c:pt idx="10">
                  <c:v>50.833300000000001</c:v>
                </c:pt>
                <c:pt idx="11">
                  <c:v>55.916699999999999</c:v>
                </c:pt>
                <c:pt idx="12">
                  <c:v>61</c:v>
                </c:pt>
                <c:pt idx="13">
                  <c:v>66.083299999999994</c:v>
                </c:pt>
                <c:pt idx="14">
                  <c:v>71.166700000000006</c:v>
                </c:pt>
                <c:pt idx="15">
                  <c:v>76.25</c:v>
                </c:pt>
                <c:pt idx="16">
                  <c:v>81.333299999999994</c:v>
                </c:pt>
                <c:pt idx="17">
                  <c:v>86.416700000000006</c:v>
                </c:pt>
                <c:pt idx="18">
                  <c:v>91.5</c:v>
                </c:pt>
                <c:pt idx="19">
                  <c:v>96.583299999999994</c:v>
                </c:pt>
                <c:pt idx="20">
                  <c:v>101.667</c:v>
                </c:pt>
                <c:pt idx="21">
                  <c:v>106.75</c:v>
                </c:pt>
                <c:pt idx="22">
                  <c:v>111.833</c:v>
                </c:pt>
                <c:pt idx="23">
                  <c:v>116.917</c:v>
                </c:pt>
                <c:pt idx="24">
                  <c:v>122</c:v>
                </c:pt>
                <c:pt idx="25">
                  <c:v>127.083</c:v>
                </c:pt>
                <c:pt idx="26">
                  <c:v>132.167</c:v>
                </c:pt>
                <c:pt idx="27">
                  <c:v>137.25</c:v>
                </c:pt>
                <c:pt idx="28">
                  <c:v>142.333</c:v>
                </c:pt>
                <c:pt idx="29">
                  <c:v>147.417</c:v>
                </c:pt>
                <c:pt idx="30">
                  <c:v>152.5</c:v>
                </c:pt>
                <c:pt idx="31">
                  <c:v>157.583</c:v>
                </c:pt>
                <c:pt idx="32">
                  <c:v>162.667</c:v>
                </c:pt>
                <c:pt idx="33">
                  <c:v>167.75</c:v>
                </c:pt>
                <c:pt idx="34">
                  <c:v>172.833</c:v>
                </c:pt>
                <c:pt idx="35">
                  <c:v>177.917</c:v>
                </c:pt>
                <c:pt idx="36">
                  <c:v>183</c:v>
                </c:pt>
                <c:pt idx="37">
                  <c:v>188.083</c:v>
                </c:pt>
                <c:pt idx="38">
                  <c:v>193.167</c:v>
                </c:pt>
                <c:pt idx="39">
                  <c:v>198.25</c:v>
                </c:pt>
                <c:pt idx="40">
                  <c:v>203.333</c:v>
                </c:pt>
                <c:pt idx="41">
                  <c:v>208.417</c:v>
                </c:pt>
                <c:pt idx="42">
                  <c:v>213.5</c:v>
                </c:pt>
                <c:pt idx="43">
                  <c:v>218.583</c:v>
                </c:pt>
                <c:pt idx="44">
                  <c:v>223.667</c:v>
                </c:pt>
                <c:pt idx="45">
                  <c:v>228.75</c:v>
                </c:pt>
                <c:pt idx="46">
                  <c:v>233.833</c:v>
                </c:pt>
                <c:pt idx="47">
                  <c:v>238.917</c:v>
                </c:pt>
                <c:pt idx="48">
                  <c:v>244</c:v>
                </c:pt>
                <c:pt idx="49">
                  <c:v>249.083</c:v>
                </c:pt>
                <c:pt idx="50">
                  <c:v>254.167</c:v>
                </c:pt>
                <c:pt idx="51">
                  <c:v>259.25</c:v>
                </c:pt>
                <c:pt idx="52">
                  <c:v>264.33300000000003</c:v>
                </c:pt>
                <c:pt idx="53">
                  <c:v>269.41699999999997</c:v>
                </c:pt>
                <c:pt idx="54">
                  <c:v>274.5</c:v>
                </c:pt>
                <c:pt idx="55">
                  <c:v>279.58300000000003</c:v>
                </c:pt>
                <c:pt idx="56">
                  <c:v>284.66699999999997</c:v>
                </c:pt>
                <c:pt idx="57">
                  <c:v>289.75</c:v>
                </c:pt>
                <c:pt idx="58">
                  <c:v>294.83300000000003</c:v>
                </c:pt>
                <c:pt idx="59">
                  <c:v>299.91699999999997</c:v>
                </c:pt>
                <c:pt idx="60">
                  <c:v>305</c:v>
                </c:pt>
                <c:pt idx="61">
                  <c:v>310.08300000000003</c:v>
                </c:pt>
                <c:pt idx="62">
                  <c:v>315.16699999999997</c:v>
                </c:pt>
                <c:pt idx="63">
                  <c:v>320.25</c:v>
                </c:pt>
                <c:pt idx="64">
                  <c:v>325.33300000000003</c:v>
                </c:pt>
                <c:pt idx="65">
                  <c:v>330.41699999999997</c:v>
                </c:pt>
                <c:pt idx="66">
                  <c:v>335.5</c:v>
                </c:pt>
                <c:pt idx="67">
                  <c:v>340.58300000000003</c:v>
                </c:pt>
                <c:pt idx="68">
                  <c:v>345.66699999999997</c:v>
                </c:pt>
                <c:pt idx="69">
                  <c:v>350.75</c:v>
                </c:pt>
                <c:pt idx="70">
                  <c:v>355.83300000000003</c:v>
                </c:pt>
                <c:pt idx="71">
                  <c:v>360.91699999999997</c:v>
                </c:pt>
                <c:pt idx="72">
                  <c:v>366</c:v>
                </c:pt>
                <c:pt idx="73">
                  <c:v>371.08300000000003</c:v>
                </c:pt>
                <c:pt idx="74">
                  <c:v>376.16699999999997</c:v>
                </c:pt>
                <c:pt idx="75">
                  <c:v>381.25</c:v>
                </c:pt>
                <c:pt idx="76">
                  <c:v>386.33300000000003</c:v>
                </c:pt>
                <c:pt idx="77">
                  <c:v>391.41699999999997</c:v>
                </c:pt>
                <c:pt idx="78">
                  <c:v>396.5</c:v>
                </c:pt>
                <c:pt idx="79">
                  <c:v>401.58300000000003</c:v>
                </c:pt>
                <c:pt idx="80">
                  <c:v>406.66699999999997</c:v>
                </c:pt>
                <c:pt idx="81">
                  <c:v>411.75</c:v>
                </c:pt>
                <c:pt idx="82">
                  <c:v>416.83300000000003</c:v>
                </c:pt>
                <c:pt idx="83">
                  <c:v>421.91699999999997</c:v>
                </c:pt>
                <c:pt idx="84">
                  <c:v>427</c:v>
                </c:pt>
                <c:pt idx="85">
                  <c:v>432.08300000000003</c:v>
                </c:pt>
                <c:pt idx="86">
                  <c:v>437.16699999999997</c:v>
                </c:pt>
                <c:pt idx="87">
                  <c:v>442.25</c:v>
                </c:pt>
                <c:pt idx="88">
                  <c:v>447.33300000000003</c:v>
                </c:pt>
                <c:pt idx="89">
                  <c:v>452.41699999999997</c:v>
                </c:pt>
                <c:pt idx="90">
                  <c:v>457.5</c:v>
                </c:pt>
                <c:pt idx="91">
                  <c:v>462.58300000000003</c:v>
                </c:pt>
                <c:pt idx="92">
                  <c:v>467.66699999999997</c:v>
                </c:pt>
                <c:pt idx="93">
                  <c:v>472.75</c:v>
                </c:pt>
                <c:pt idx="94">
                  <c:v>477.83300000000003</c:v>
                </c:pt>
                <c:pt idx="95">
                  <c:v>482.91699999999997</c:v>
                </c:pt>
                <c:pt idx="96">
                  <c:v>488</c:v>
                </c:pt>
                <c:pt idx="97">
                  <c:v>493.08300000000003</c:v>
                </c:pt>
                <c:pt idx="98">
                  <c:v>498.16699999999997</c:v>
                </c:pt>
                <c:pt idx="99">
                  <c:v>503.25</c:v>
                </c:pt>
                <c:pt idx="100">
                  <c:v>508.33300000000003</c:v>
                </c:pt>
                <c:pt idx="101">
                  <c:v>514</c:v>
                </c:pt>
              </c:numCache>
            </c:numRef>
          </c:xVal>
          <c:yVal>
            <c:numRef>
              <c:f>'REFAP dt 5'!$D$33:$D$135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432.96100000000001</c:v>
                </c:pt>
                <c:pt idx="2">
                  <c:v>432.65</c:v>
                </c:pt>
                <c:pt idx="3">
                  <c:v>432.36900000000003</c:v>
                </c:pt>
                <c:pt idx="4">
                  <c:v>432.09899999999999</c:v>
                </c:pt>
                <c:pt idx="5">
                  <c:v>431.83</c:v>
                </c:pt>
                <c:pt idx="6">
                  <c:v>431.54500000000002</c:v>
                </c:pt>
                <c:pt idx="7">
                  <c:v>431.13400000000001</c:v>
                </c:pt>
                <c:pt idx="8">
                  <c:v>430.755</c:v>
                </c:pt>
                <c:pt idx="9">
                  <c:v>430.392</c:v>
                </c:pt>
                <c:pt idx="10">
                  <c:v>430.03199999999998</c:v>
                </c:pt>
                <c:pt idx="11">
                  <c:v>429.67500000000001</c:v>
                </c:pt>
                <c:pt idx="12">
                  <c:v>429.31900000000002</c:v>
                </c:pt>
                <c:pt idx="13">
                  <c:v>428.964</c:v>
                </c:pt>
                <c:pt idx="14">
                  <c:v>428.60899999999998</c:v>
                </c:pt>
                <c:pt idx="15">
                  <c:v>428.25400000000002</c:v>
                </c:pt>
                <c:pt idx="16">
                  <c:v>427.9</c:v>
                </c:pt>
                <c:pt idx="17">
                  <c:v>427.54700000000003</c:v>
                </c:pt>
                <c:pt idx="18">
                  <c:v>427.19400000000002</c:v>
                </c:pt>
                <c:pt idx="19">
                  <c:v>426.84100000000001</c:v>
                </c:pt>
                <c:pt idx="20">
                  <c:v>426.49</c:v>
                </c:pt>
                <c:pt idx="21">
                  <c:v>426.13900000000001</c:v>
                </c:pt>
                <c:pt idx="22">
                  <c:v>425.78800000000001</c:v>
                </c:pt>
                <c:pt idx="23">
                  <c:v>425.43700000000001</c:v>
                </c:pt>
                <c:pt idx="24">
                  <c:v>425.08800000000002</c:v>
                </c:pt>
                <c:pt idx="25">
                  <c:v>424.72899999999998</c:v>
                </c:pt>
                <c:pt idx="26">
                  <c:v>424.387</c:v>
                </c:pt>
                <c:pt idx="27">
                  <c:v>424.387</c:v>
                </c:pt>
                <c:pt idx="28">
                  <c:v>424.387</c:v>
                </c:pt>
                <c:pt idx="29">
                  <c:v>424.387</c:v>
                </c:pt>
                <c:pt idx="30">
                  <c:v>424.387</c:v>
                </c:pt>
                <c:pt idx="31">
                  <c:v>424.37299999999999</c:v>
                </c:pt>
                <c:pt idx="32">
                  <c:v>424.35399999999998</c:v>
                </c:pt>
                <c:pt idx="33">
                  <c:v>424.30599999999998</c:v>
                </c:pt>
                <c:pt idx="34">
                  <c:v>424.21100000000001</c:v>
                </c:pt>
                <c:pt idx="35">
                  <c:v>423.85700000000003</c:v>
                </c:pt>
                <c:pt idx="36">
                  <c:v>423.73700000000002</c:v>
                </c:pt>
                <c:pt idx="37">
                  <c:v>417.46800000000002</c:v>
                </c:pt>
                <c:pt idx="38">
                  <c:v>397.72</c:v>
                </c:pt>
                <c:pt idx="39">
                  <c:v>378.71699999999998</c:v>
                </c:pt>
                <c:pt idx="40">
                  <c:v>360.786</c:v>
                </c:pt>
                <c:pt idx="41">
                  <c:v>343.91300000000001</c:v>
                </c:pt>
                <c:pt idx="42">
                  <c:v>327.863</c:v>
                </c:pt>
                <c:pt idx="43">
                  <c:v>312.75200000000001</c:v>
                </c:pt>
                <c:pt idx="44">
                  <c:v>298.815</c:v>
                </c:pt>
                <c:pt idx="45">
                  <c:v>285.65800000000002</c:v>
                </c:pt>
                <c:pt idx="46">
                  <c:v>273.226</c:v>
                </c:pt>
                <c:pt idx="47">
                  <c:v>261.48899999999998</c:v>
                </c:pt>
                <c:pt idx="48">
                  <c:v>250.40899999999999</c:v>
                </c:pt>
                <c:pt idx="49">
                  <c:v>239.947</c:v>
                </c:pt>
                <c:pt idx="50">
                  <c:v>230.07499999999999</c:v>
                </c:pt>
                <c:pt idx="51">
                  <c:v>220.75800000000001</c:v>
                </c:pt>
                <c:pt idx="52">
                  <c:v>211.96199999999999</c:v>
                </c:pt>
                <c:pt idx="53">
                  <c:v>203.03899999999999</c:v>
                </c:pt>
                <c:pt idx="54">
                  <c:v>194.55699999999999</c:v>
                </c:pt>
                <c:pt idx="55">
                  <c:v>186.614</c:v>
                </c:pt>
                <c:pt idx="56">
                  <c:v>179.15100000000001</c:v>
                </c:pt>
                <c:pt idx="57">
                  <c:v>172.15899999999999</c:v>
                </c:pt>
                <c:pt idx="58">
                  <c:v>165.589</c:v>
                </c:pt>
                <c:pt idx="59">
                  <c:v>159.422</c:v>
                </c:pt>
                <c:pt idx="60">
                  <c:v>153.62700000000001</c:v>
                </c:pt>
                <c:pt idx="61">
                  <c:v>148.17500000000001</c:v>
                </c:pt>
                <c:pt idx="62">
                  <c:v>143.05500000000001</c:v>
                </c:pt>
                <c:pt idx="63">
                  <c:v>138.24100000000001</c:v>
                </c:pt>
                <c:pt idx="64">
                  <c:v>133.70699999999999</c:v>
                </c:pt>
                <c:pt idx="65">
                  <c:v>129.44300000000001</c:v>
                </c:pt>
                <c:pt idx="66">
                  <c:v>125.428</c:v>
                </c:pt>
                <c:pt idx="67">
                  <c:v>121.642</c:v>
                </c:pt>
                <c:pt idx="68">
                  <c:v>118.07599999999999</c:v>
                </c:pt>
                <c:pt idx="69">
                  <c:v>114.714</c:v>
                </c:pt>
                <c:pt idx="70">
                  <c:v>111.539</c:v>
                </c:pt>
                <c:pt idx="71">
                  <c:v>108.545</c:v>
                </c:pt>
                <c:pt idx="72">
                  <c:v>105.718</c:v>
                </c:pt>
                <c:pt idx="73">
                  <c:v>103.045</c:v>
                </c:pt>
                <c:pt idx="74">
                  <c:v>100.52</c:v>
                </c:pt>
                <c:pt idx="75">
                  <c:v>98.134</c:v>
                </c:pt>
                <c:pt idx="76">
                  <c:v>95.874899999999997</c:v>
                </c:pt>
                <c:pt idx="77">
                  <c:v>93.738600000000005</c:v>
                </c:pt>
                <c:pt idx="78">
                  <c:v>91.319199999999995</c:v>
                </c:pt>
                <c:pt idx="79">
                  <c:v>89.208799999999997</c:v>
                </c:pt>
                <c:pt idx="80">
                  <c:v>87.124099999999999</c:v>
                </c:pt>
                <c:pt idx="81">
                  <c:v>85.230900000000005</c:v>
                </c:pt>
                <c:pt idx="82">
                  <c:v>83.449399999999997</c:v>
                </c:pt>
                <c:pt idx="83">
                  <c:v>81.688699999999997</c:v>
                </c:pt>
                <c:pt idx="84">
                  <c:v>80.086500000000001</c:v>
                </c:pt>
                <c:pt idx="85">
                  <c:v>78.577500000000001</c:v>
                </c:pt>
                <c:pt idx="86">
                  <c:v>77.086200000000005</c:v>
                </c:pt>
                <c:pt idx="87">
                  <c:v>75.731999999999999</c:v>
                </c:pt>
                <c:pt idx="88">
                  <c:v>74.455699999999993</c:v>
                </c:pt>
                <c:pt idx="89">
                  <c:v>73.193299999999994</c:v>
                </c:pt>
                <c:pt idx="90">
                  <c:v>72.046899999999994</c:v>
                </c:pt>
                <c:pt idx="91">
                  <c:v>70.965500000000006</c:v>
                </c:pt>
                <c:pt idx="92">
                  <c:v>69.894999999999996</c:v>
                </c:pt>
                <c:pt idx="93">
                  <c:v>68.922700000000006</c:v>
                </c:pt>
                <c:pt idx="94">
                  <c:v>68.004800000000003</c:v>
                </c:pt>
                <c:pt idx="95">
                  <c:v>67.095500000000001</c:v>
                </c:pt>
                <c:pt idx="96">
                  <c:v>66.2697</c:v>
                </c:pt>
                <c:pt idx="97">
                  <c:v>65.489400000000003</c:v>
                </c:pt>
                <c:pt idx="98">
                  <c:v>64.715800000000002</c:v>
                </c:pt>
                <c:pt idx="99">
                  <c:v>64.012900000000002</c:v>
                </c:pt>
                <c:pt idx="100">
                  <c:v>63.348300000000002</c:v>
                </c:pt>
                <c:pt idx="101">
                  <c:v>62.625799999999998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668-44BA-A565-83090936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5'!$AP$33:$AP$632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5668-44BA-A565-83090936F439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668-44BA-A565-83090936F439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5'!$AG$33:$AG$153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668-44BA-A565-83090936F439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5'!$Z$33:$Z$632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5'!$AN$33:$AN$632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5668-44BA-A565-83090936F43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5'!$F$32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5'!$A$33:$A$135</c:f>
              <c:numCache>
                <c:formatCode>0</c:formatCode>
                <c:ptCount val="103"/>
                <c:pt idx="0">
                  <c:v>0</c:v>
                </c:pt>
                <c:pt idx="1">
                  <c:v>5.0833300000000001</c:v>
                </c:pt>
                <c:pt idx="2">
                  <c:v>10.166700000000001</c:v>
                </c:pt>
                <c:pt idx="3">
                  <c:v>15.25</c:v>
                </c:pt>
                <c:pt idx="4">
                  <c:v>20.333300000000001</c:v>
                </c:pt>
                <c:pt idx="5">
                  <c:v>25.416699999999999</c:v>
                </c:pt>
                <c:pt idx="6">
                  <c:v>30.5</c:v>
                </c:pt>
                <c:pt idx="7">
                  <c:v>35.583300000000001</c:v>
                </c:pt>
                <c:pt idx="8">
                  <c:v>40.666699999999999</c:v>
                </c:pt>
                <c:pt idx="9">
                  <c:v>45.75</c:v>
                </c:pt>
                <c:pt idx="10">
                  <c:v>50.833300000000001</c:v>
                </c:pt>
                <c:pt idx="11">
                  <c:v>55.916699999999999</c:v>
                </c:pt>
                <c:pt idx="12">
                  <c:v>61</c:v>
                </c:pt>
                <c:pt idx="13">
                  <c:v>66.083299999999994</c:v>
                </c:pt>
                <c:pt idx="14">
                  <c:v>71.166700000000006</c:v>
                </c:pt>
                <c:pt idx="15">
                  <c:v>76.25</c:v>
                </c:pt>
                <c:pt idx="16">
                  <c:v>81.333299999999994</c:v>
                </c:pt>
                <c:pt idx="17">
                  <c:v>86.416700000000006</c:v>
                </c:pt>
                <c:pt idx="18">
                  <c:v>91.5</c:v>
                </c:pt>
                <c:pt idx="19">
                  <c:v>96.583299999999994</c:v>
                </c:pt>
                <c:pt idx="20">
                  <c:v>101.667</c:v>
                </c:pt>
                <c:pt idx="21">
                  <c:v>106.75</c:v>
                </c:pt>
                <c:pt idx="22">
                  <c:v>111.833</c:v>
                </c:pt>
                <c:pt idx="23">
                  <c:v>116.917</c:v>
                </c:pt>
                <c:pt idx="24">
                  <c:v>122</c:v>
                </c:pt>
                <c:pt idx="25">
                  <c:v>127.083</c:v>
                </c:pt>
                <c:pt idx="26">
                  <c:v>132.167</c:v>
                </c:pt>
                <c:pt idx="27">
                  <c:v>137.25</c:v>
                </c:pt>
                <c:pt idx="28">
                  <c:v>142.333</c:v>
                </c:pt>
                <c:pt idx="29">
                  <c:v>147.417</c:v>
                </c:pt>
                <c:pt idx="30">
                  <c:v>152.5</c:v>
                </c:pt>
                <c:pt idx="31">
                  <c:v>157.583</c:v>
                </c:pt>
                <c:pt idx="32">
                  <c:v>162.667</c:v>
                </c:pt>
                <c:pt idx="33">
                  <c:v>167.75</c:v>
                </c:pt>
                <c:pt idx="34">
                  <c:v>172.833</c:v>
                </c:pt>
                <c:pt idx="35">
                  <c:v>177.917</c:v>
                </c:pt>
                <c:pt idx="36">
                  <c:v>183</c:v>
                </c:pt>
                <c:pt idx="37">
                  <c:v>188.083</c:v>
                </c:pt>
                <c:pt idx="38">
                  <c:v>193.167</c:v>
                </c:pt>
                <c:pt idx="39">
                  <c:v>198.25</c:v>
                </c:pt>
                <c:pt idx="40">
                  <c:v>203.333</c:v>
                </c:pt>
                <c:pt idx="41">
                  <c:v>208.417</c:v>
                </c:pt>
                <c:pt idx="42">
                  <c:v>213.5</c:v>
                </c:pt>
                <c:pt idx="43">
                  <c:v>218.583</c:v>
                </c:pt>
                <c:pt idx="44">
                  <c:v>223.667</c:v>
                </c:pt>
                <c:pt idx="45">
                  <c:v>228.75</c:v>
                </c:pt>
                <c:pt idx="46">
                  <c:v>233.833</c:v>
                </c:pt>
                <c:pt idx="47">
                  <c:v>238.917</c:v>
                </c:pt>
                <c:pt idx="48">
                  <c:v>244</c:v>
                </c:pt>
                <c:pt idx="49">
                  <c:v>249.083</c:v>
                </c:pt>
                <c:pt idx="50">
                  <c:v>254.167</c:v>
                </c:pt>
                <c:pt idx="51">
                  <c:v>259.25</c:v>
                </c:pt>
                <c:pt idx="52">
                  <c:v>264.33300000000003</c:v>
                </c:pt>
                <c:pt idx="53">
                  <c:v>269.41699999999997</c:v>
                </c:pt>
                <c:pt idx="54">
                  <c:v>274.5</c:v>
                </c:pt>
                <c:pt idx="55">
                  <c:v>279.58300000000003</c:v>
                </c:pt>
                <c:pt idx="56">
                  <c:v>284.66699999999997</c:v>
                </c:pt>
                <c:pt idx="57">
                  <c:v>289.75</c:v>
                </c:pt>
                <c:pt idx="58">
                  <c:v>294.83300000000003</c:v>
                </c:pt>
                <c:pt idx="59">
                  <c:v>299.91699999999997</c:v>
                </c:pt>
                <c:pt idx="60">
                  <c:v>305</c:v>
                </c:pt>
                <c:pt idx="61">
                  <c:v>310.08300000000003</c:v>
                </c:pt>
                <c:pt idx="62">
                  <c:v>315.16699999999997</c:v>
                </c:pt>
                <c:pt idx="63">
                  <c:v>320.25</c:v>
                </c:pt>
                <c:pt idx="64">
                  <c:v>325.33300000000003</c:v>
                </c:pt>
                <c:pt idx="65">
                  <c:v>330.41699999999997</c:v>
                </c:pt>
                <c:pt idx="66">
                  <c:v>335.5</c:v>
                </c:pt>
                <c:pt idx="67">
                  <c:v>340.58300000000003</c:v>
                </c:pt>
                <c:pt idx="68">
                  <c:v>345.66699999999997</c:v>
                </c:pt>
                <c:pt idx="69">
                  <c:v>350.75</c:v>
                </c:pt>
                <c:pt idx="70">
                  <c:v>355.83300000000003</c:v>
                </c:pt>
                <c:pt idx="71">
                  <c:v>360.91699999999997</c:v>
                </c:pt>
                <c:pt idx="72">
                  <c:v>366</c:v>
                </c:pt>
                <c:pt idx="73">
                  <c:v>371.08300000000003</c:v>
                </c:pt>
                <c:pt idx="74">
                  <c:v>376.16699999999997</c:v>
                </c:pt>
                <c:pt idx="75">
                  <c:v>381.25</c:v>
                </c:pt>
                <c:pt idx="76">
                  <c:v>386.33300000000003</c:v>
                </c:pt>
                <c:pt idx="77">
                  <c:v>391.41699999999997</c:v>
                </c:pt>
                <c:pt idx="78">
                  <c:v>396.5</c:v>
                </c:pt>
                <c:pt idx="79">
                  <c:v>401.58300000000003</c:v>
                </c:pt>
                <c:pt idx="80">
                  <c:v>406.66699999999997</c:v>
                </c:pt>
                <c:pt idx="81">
                  <c:v>411.75</c:v>
                </c:pt>
                <c:pt idx="82">
                  <c:v>416.83300000000003</c:v>
                </c:pt>
                <c:pt idx="83">
                  <c:v>421.91699999999997</c:v>
                </c:pt>
                <c:pt idx="84">
                  <c:v>427</c:v>
                </c:pt>
                <c:pt idx="85">
                  <c:v>432.08300000000003</c:v>
                </c:pt>
                <c:pt idx="86">
                  <c:v>437.16699999999997</c:v>
                </c:pt>
                <c:pt idx="87">
                  <c:v>442.25</c:v>
                </c:pt>
                <c:pt idx="88">
                  <c:v>447.33300000000003</c:v>
                </c:pt>
                <c:pt idx="89">
                  <c:v>452.41699999999997</c:v>
                </c:pt>
                <c:pt idx="90">
                  <c:v>457.5</c:v>
                </c:pt>
                <c:pt idx="91">
                  <c:v>462.58300000000003</c:v>
                </c:pt>
                <c:pt idx="92">
                  <c:v>467.66699999999997</c:v>
                </c:pt>
                <c:pt idx="93">
                  <c:v>472.75</c:v>
                </c:pt>
                <c:pt idx="94">
                  <c:v>477.83300000000003</c:v>
                </c:pt>
                <c:pt idx="95">
                  <c:v>482.91699999999997</c:v>
                </c:pt>
                <c:pt idx="96">
                  <c:v>488</c:v>
                </c:pt>
                <c:pt idx="97">
                  <c:v>493.08300000000003</c:v>
                </c:pt>
                <c:pt idx="98">
                  <c:v>498.16699999999997</c:v>
                </c:pt>
                <c:pt idx="99">
                  <c:v>503.25</c:v>
                </c:pt>
                <c:pt idx="100">
                  <c:v>508.33300000000003</c:v>
                </c:pt>
                <c:pt idx="101">
                  <c:v>514</c:v>
                </c:pt>
              </c:numCache>
            </c:numRef>
          </c:xVal>
          <c:yVal>
            <c:numRef>
              <c:f>'REFAP dt 5'!$F$33:$F$135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7.8046000000000004E-2</c:v>
                </c:pt>
                <c:pt idx="27">
                  <c:v>7.5161599999999995E-2</c:v>
                </c:pt>
                <c:pt idx="28">
                  <c:v>7.8523999999999997E-2</c:v>
                </c:pt>
                <c:pt idx="29">
                  <c:v>9.8888100000000007E-2</c:v>
                </c:pt>
                <c:pt idx="30">
                  <c:v>7.8948000000000004E-2</c:v>
                </c:pt>
                <c:pt idx="31">
                  <c:v>7.9241900000000004E-2</c:v>
                </c:pt>
                <c:pt idx="32">
                  <c:v>7.6985999999999999E-2</c:v>
                </c:pt>
                <c:pt idx="33">
                  <c:v>7.9761200000000004E-2</c:v>
                </c:pt>
                <c:pt idx="34">
                  <c:v>7.9887799999999995E-2</c:v>
                </c:pt>
                <c:pt idx="35">
                  <c:v>8.0021499999999995E-2</c:v>
                </c:pt>
                <c:pt idx="36">
                  <c:v>8.0168699999999996E-2</c:v>
                </c:pt>
                <c:pt idx="37">
                  <c:v>8.0328700000000003E-2</c:v>
                </c:pt>
                <c:pt idx="38">
                  <c:v>8.0504800000000001E-2</c:v>
                </c:pt>
                <c:pt idx="39">
                  <c:v>8.0698900000000004E-2</c:v>
                </c:pt>
                <c:pt idx="40">
                  <c:v>8.0896499999999996E-2</c:v>
                </c:pt>
                <c:pt idx="41">
                  <c:v>8.1090099999999998E-2</c:v>
                </c:pt>
                <c:pt idx="42">
                  <c:v>8.1280500000000006E-2</c:v>
                </c:pt>
                <c:pt idx="43">
                  <c:v>0.30865799999999999</c:v>
                </c:pt>
                <c:pt idx="44">
                  <c:v>30</c:v>
                </c:pt>
                <c:pt idx="45">
                  <c:v>30</c:v>
                </c:pt>
                <c:pt idx="46">
                  <c:v>8.0851400000000004E-2</c:v>
                </c:pt>
                <c:pt idx="47">
                  <c:v>8.1073500000000007E-2</c:v>
                </c:pt>
                <c:pt idx="48">
                  <c:v>8.1265500000000004E-2</c:v>
                </c:pt>
                <c:pt idx="49">
                  <c:v>8.1047099999999997E-2</c:v>
                </c:pt>
                <c:pt idx="50">
                  <c:v>0.35221599999999997</c:v>
                </c:pt>
                <c:pt idx="51">
                  <c:v>30</c:v>
                </c:pt>
                <c:pt idx="52">
                  <c:v>8.0875000000000002E-2</c:v>
                </c:pt>
                <c:pt idx="53">
                  <c:v>0.107141</c:v>
                </c:pt>
                <c:pt idx="54">
                  <c:v>9.2018299999999997E-2</c:v>
                </c:pt>
                <c:pt idx="55">
                  <c:v>0.10785400000000001</c:v>
                </c:pt>
                <c:pt idx="56">
                  <c:v>0.10799499999999999</c:v>
                </c:pt>
                <c:pt idx="57">
                  <c:v>0.108125</c:v>
                </c:pt>
                <c:pt idx="58">
                  <c:v>40</c:v>
                </c:pt>
                <c:pt idx="59">
                  <c:v>0.29766199999999998</c:v>
                </c:pt>
                <c:pt idx="60">
                  <c:v>0.20840700000000001</c:v>
                </c:pt>
                <c:pt idx="61">
                  <c:v>40</c:v>
                </c:pt>
                <c:pt idx="62">
                  <c:v>0.108344</c:v>
                </c:pt>
                <c:pt idx="63">
                  <c:v>0.25215300000000002</c:v>
                </c:pt>
                <c:pt idx="64">
                  <c:v>0.242456</c:v>
                </c:pt>
                <c:pt idx="65">
                  <c:v>0.39222699999999999</c:v>
                </c:pt>
                <c:pt idx="66">
                  <c:v>0.28509000000000001</c:v>
                </c:pt>
                <c:pt idx="67">
                  <c:v>40</c:v>
                </c:pt>
                <c:pt idx="68">
                  <c:v>0.41452</c:v>
                </c:pt>
                <c:pt idx="69">
                  <c:v>0.29578199999999999</c:v>
                </c:pt>
                <c:pt idx="70">
                  <c:v>31.772400000000001</c:v>
                </c:pt>
                <c:pt idx="71">
                  <c:v>0.41809800000000003</c:v>
                </c:pt>
                <c:pt idx="72">
                  <c:v>0.28878399999999999</c:v>
                </c:pt>
                <c:pt idx="73">
                  <c:v>40</c:v>
                </c:pt>
                <c:pt idx="74">
                  <c:v>0.39854600000000001</c:v>
                </c:pt>
                <c:pt idx="75">
                  <c:v>0.27378400000000003</c:v>
                </c:pt>
                <c:pt idx="76">
                  <c:v>40</c:v>
                </c:pt>
                <c:pt idx="77">
                  <c:v>0.39388499999999999</c:v>
                </c:pt>
                <c:pt idx="78">
                  <c:v>0.33606599999999998</c:v>
                </c:pt>
                <c:pt idx="79">
                  <c:v>0.29135499999999998</c:v>
                </c:pt>
                <c:pt idx="80">
                  <c:v>0.428263</c:v>
                </c:pt>
                <c:pt idx="81">
                  <c:v>0.33896199999999999</c:v>
                </c:pt>
                <c:pt idx="82">
                  <c:v>0.33986300000000003</c:v>
                </c:pt>
                <c:pt idx="83">
                  <c:v>0.34073500000000001</c:v>
                </c:pt>
                <c:pt idx="84">
                  <c:v>0.34157700000000002</c:v>
                </c:pt>
                <c:pt idx="85">
                  <c:v>0.34239199999999997</c:v>
                </c:pt>
                <c:pt idx="86">
                  <c:v>0.34317599999999998</c:v>
                </c:pt>
                <c:pt idx="87">
                  <c:v>0.34393000000000001</c:v>
                </c:pt>
                <c:pt idx="88">
                  <c:v>0.476159</c:v>
                </c:pt>
                <c:pt idx="89">
                  <c:v>0</c:v>
                </c:pt>
                <c:pt idx="90">
                  <c:v>0.221054</c:v>
                </c:pt>
                <c:pt idx="91">
                  <c:v>0.221054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  <c:pt idx="101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68-44BA-A565-83090936F439}"/>
            </c:ext>
          </c:extLst>
        </c:ser>
        <c:ser>
          <c:idx val="6"/>
          <c:order val="2"/>
          <c:tx>
            <c:strRef>
              <c:f>'REFAP dt 5'!$G$32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5'!$A$33:$A$135</c:f>
              <c:numCache>
                <c:formatCode>0</c:formatCode>
                <c:ptCount val="103"/>
                <c:pt idx="0">
                  <c:v>0</c:v>
                </c:pt>
                <c:pt idx="1">
                  <c:v>5.0833300000000001</c:v>
                </c:pt>
                <c:pt idx="2">
                  <c:v>10.166700000000001</c:v>
                </c:pt>
                <c:pt idx="3">
                  <c:v>15.25</c:v>
                </c:pt>
                <c:pt idx="4">
                  <c:v>20.333300000000001</c:v>
                </c:pt>
                <c:pt idx="5">
                  <c:v>25.416699999999999</c:v>
                </c:pt>
                <c:pt idx="6">
                  <c:v>30.5</c:v>
                </c:pt>
                <c:pt idx="7">
                  <c:v>35.583300000000001</c:v>
                </c:pt>
                <c:pt idx="8">
                  <c:v>40.666699999999999</c:v>
                </c:pt>
                <c:pt idx="9">
                  <c:v>45.75</c:v>
                </c:pt>
                <c:pt idx="10">
                  <c:v>50.833300000000001</c:v>
                </c:pt>
                <c:pt idx="11">
                  <c:v>55.916699999999999</c:v>
                </c:pt>
                <c:pt idx="12">
                  <c:v>61</c:v>
                </c:pt>
                <c:pt idx="13">
                  <c:v>66.083299999999994</c:v>
                </c:pt>
                <c:pt idx="14">
                  <c:v>71.166700000000006</c:v>
                </c:pt>
                <c:pt idx="15">
                  <c:v>76.25</c:v>
                </c:pt>
                <c:pt idx="16">
                  <c:v>81.333299999999994</c:v>
                </c:pt>
                <c:pt idx="17">
                  <c:v>86.416700000000006</c:v>
                </c:pt>
                <c:pt idx="18">
                  <c:v>91.5</c:v>
                </c:pt>
                <c:pt idx="19">
                  <c:v>96.583299999999994</c:v>
                </c:pt>
                <c:pt idx="20">
                  <c:v>101.667</c:v>
                </c:pt>
                <c:pt idx="21">
                  <c:v>106.75</c:v>
                </c:pt>
                <c:pt idx="22">
                  <c:v>111.833</c:v>
                </c:pt>
                <c:pt idx="23">
                  <c:v>116.917</c:v>
                </c:pt>
                <c:pt idx="24">
                  <c:v>122</c:v>
                </c:pt>
                <c:pt idx="25">
                  <c:v>127.083</c:v>
                </c:pt>
                <c:pt idx="26">
                  <c:v>132.167</c:v>
                </c:pt>
                <c:pt idx="27">
                  <c:v>137.25</c:v>
                </c:pt>
                <c:pt idx="28">
                  <c:v>142.333</c:v>
                </c:pt>
                <c:pt idx="29">
                  <c:v>147.417</c:v>
                </c:pt>
                <c:pt idx="30">
                  <c:v>152.5</c:v>
                </c:pt>
                <c:pt idx="31">
                  <c:v>157.583</c:v>
                </c:pt>
                <c:pt idx="32">
                  <c:v>162.667</c:v>
                </c:pt>
                <c:pt idx="33">
                  <c:v>167.75</c:v>
                </c:pt>
                <c:pt idx="34">
                  <c:v>172.833</c:v>
                </c:pt>
                <c:pt idx="35">
                  <c:v>177.917</c:v>
                </c:pt>
                <c:pt idx="36">
                  <c:v>183</c:v>
                </c:pt>
                <c:pt idx="37">
                  <c:v>188.083</c:v>
                </c:pt>
                <c:pt idx="38">
                  <c:v>193.167</c:v>
                </c:pt>
                <c:pt idx="39">
                  <c:v>198.25</c:v>
                </c:pt>
                <c:pt idx="40">
                  <c:v>203.333</c:v>
                </c:pt>
                <c:pt idx="41">
                  <c:v>208.417</c:v>
                </c:pt>
                <c:pt idx="42">
                  <c:v>213.5</c:v>
                </c:pt>
                <c:pt idx="43">
                  <c:v>218.583</c:v>
                </c:pt>
                <c:pt idx="44">
                  <c:v>223.667</c:v>
                </c:pt>
                <c:pt idx="45">
                  <c:v>228.75</c:v>
                </c:pt>
                <c:pt idx="46">
                  <c:v>233.833</c:v>
                </c:pt>
                <c:pt idx="47">
                  <c:v>238.917</c:v>
                </c:pt>
                <c:pt idx="48">
                  <c:v>244</c:v>
                </c:pt>
                <c:pt idx="49">
                  <c:v>249.083</c:v>
                </c:pt>
                <c:pt idx="50">
                  <c:v>254.167</c:v>
                </c:pt>
                <c:pt idx="51">
                  <c:v>259.25</c:v>
                </c:pt>
                <c:pt idx="52">
                  <c:v>264.33300000000003</c:v>
                </c:pt>
                <c:pt idx="53">
                  <c:v>269.41699999999997</c:v>
                </c:pt>
                <c:pt idx="54">
                  <c:v>274.5</c:v>
                </c:pt>
                <c:pt idx="55">
                  <c:v>279.58300000000003</c:v>
                </c:pt>
                <c:pt idx="56">
                  <c:v>284.66699999999997</c:v>
                </c:pt>
                <c:pt idx="57">
                  <c:v>289.75</c:v>
                </c:pt>
                <c:pt idx="58">
                  <c:v>294.83300000000003</c:v>
                </c:pt>
                <c:pt idx="59">
                  <c:v>299.91699999999997</c:v>
                </c:pt>
                <c:pt idx="60">
                  <c:v>305</c:v>
                </c:pt>
                <c:pt idx="61">
                  <c:v>310.08300000000003</c:v>
                </c:pt>
                <c:pt idx="62">
                  <c:v>315.16699999999997</c:v>
                </c:pt>
                <c:pt idx="63">
                  <c:v>320.25</c:v>
                </c:pt>
                <c:pt idx="64">
                  <c:v>325.33300000000003</c:v>
                </c:pt>
                <c:pt idx="65">
                  <c:v>330.41699999999997</c:v>
                </c:pt>
                <c:pt idx="66">
                  <c:v>335.5</c:v>
                </c:pt>
                <c:pt idx="67">
                  <c:v>340.58300000000003</c:v>
                </c:pt>
                <c:pt idx="68">
                  <c:v>345.66699999999997</c:v>
                </c:pt>
                <c:pt idx="69">
                  <c:v>350.75</c:v>
                </c:pt>
                <c:pt idx="70">
                  <c:v>355.83300000000003</c:v>
                </c:pt>
                <c:pt idx="71">
                  <c:v>360.91699999999997</c:v>
                </c:pt>
                <c:pt idx="72">
                  <c:v>366</c:v>
                </c:pt>
                <c:pt idx="73">
                  <c:v>371.08300000000003</c:v>
                </c:pt>
                <c:pt idx="74">
                  <c:v>376.16699999999997</c:v>
                </c:pt>
                <c:pt idx="75">
                  <c:v>381.25</c:v>
                </c:pt>
                <c:pt idx="76">
                  <c:v>386.33300000000003</c:v>
                </c:pt>
                <c:pt idx="77">
                  <c:v>391.41699999999997</c:v>
                </c:pt>
                <c:pt idx="78">
                  <c:v>396.5</c:v>
                </c:pt>
                <c:pt idx="79">
                  <c:v>401.58300000000003</c:v>
                </c:pt>
                <c:pt idx="80">
                  <c:v>406.66699999999997</c:v>
                </c:pt>
                <c:pt idx="81">
                  <c:v>411.75</c:v>
                </c:pt>
                <c:pt idx="82">
                  <c:v>416.83300000000003</c:v>
                </c:pt>
                <c:pt idx="83">
                  <c:v>421.91699999999997</c:v>
                </c:pt>
                <c:pt idx="84">
                  <c:v>427</c:v>
                </c:pt>
                <c:pt idx="85">
                  <c:v>432.08300000000003</c:v>
                </c:pt>
                <c:pt idx="86">
                  <c:v>437.16699999999997</c:v>
                </c:pt>
                <c:pt idx="87">
                  <c:v>442.25</c:v>
                </c:pt>
                <c:pt idx="88">
                  <c:v>447.33300000000003</c:v>
                </c:pt>
                <c:pt idx="89">
                  <c:v>452.41699999999997</c:v>
                </c:pt>
                <c:pt idx="90">
                  <c:v>457.5</c:v>
                </c:pt>
                <c:pt idx="91">
                  <c:v>462.58300000000003</c:v>
                </c:pt>
                <c:pt idx="92">
                  <c:v>467.66699999999997</c:v>
                </c:pt>
                <c:pt idx="93">
                  <c:v>472.75</c:v>
                </c:pt>
                <c:pt idx="94">
                  <c:v>477.83300000000003</c:v>
                </c:pt>
                <c:pt idx="95">
                  <c:v>482.91699999999997</c:v>
                </c:pt>
                <c:pt idx="96">
                  <c:v>488</c:v>
                </c:pt>
                <c:pt idx="97">
                  <c:v>493.08300000000003</c:v>
                </c:pt>
                <c:pt idx="98">
                  <c:v>498.16699999999997</c:v>
                </c:pt>
                <c:pt idx="99">
                  <c:v>503.25</c:v>
                </c:pt>
                <c:pt idx="100">
                  <c:v>508.33300000000003</c:v>
                </c:pt>
                <c:pt idx="101">
                  <c:v>514</c:v>
                </c:pt>
              </c:numCache>
            </c:numRef>
          </c:xVal>
          <c:yVal>
            <c:numRef>
              <c:f>'REFAP dt 5'!$G$33:$G$135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0.108908</c:v>
                </c:pt>
                <c:pt idx="27">
                  <c:v>1.65639</c:v>
                </c:pt>
                <c:pt idx="28">
                  <c:v>2.3186599999999999</c:v>
                </c:pt>
                <c:pt idx="29">
                  <c:v>2.7997700000000001</c:v>
                </c:pt>
                <c:pt idx="30">
                  <c:v>3.1892900000000002</c:v>
                </c:pt>
                <c:pt idx="31">
                  <c:v>3.52156</c:v>
                </c:pt>
                <c:pt idx="32">
                  <c:v>3.8174299999999999</c:v>
                </c:pt>
                <c:pt idx="33">
                  <c:v>4.0779699999999997</c:v>
                </c:pt>
                <c:pt idx="34">
                  <c:v>4.3174999999999999</c:v>
                </c:pt>
                <c:pt idx="35">
                  <c:v>4.53939</c:v>
                </c:pt>
                <c:pt idx="36">
                  <c:v>4.7462200000000001</c:v>
                </c:pt>
                <c:pt idx="37">
                  <c:v>4.9403199999999998</c:v>
                </c:pt>
                <c:pt idx="38">
                  <c:v>5.1235799999999996</c:v>
                </c:pt>
                <c:pt idx="39">
                  <c:v>5.3017500000000002</c:v>
                </c:pt>
                <c:pt idx="40">
                  <c:v>5.47898</c:v>
                </c:pt>
                <c:pt idx="41">
                  <c:v>5.6566900000000002</c:v>
                </c:pt>
                <c:pt idx="42">
                  <c:v>5.8349000000000002</c:v>
                </c:pt>
                <c:pt idx="43">
                  <c:v>5.9845499999999996</c:v>
                </c:pt>
                <c:pt idx="44">
                  <c:v>6.0131500000000004</c:v>
                </c:pt>
                <c:pt idx="45">
                  <c:v>6.0786800000000003</c:v>
                </c:pt>
                <c:pt idx="46">
                  <c:v>6.1850800000000001</c:v>
                </c:pt>
                <c:pt idx="47">
                  <c:v>6.2838200000000004</c:v>
                </c:pt>
                <c:pt idx="48">
                  <c:v>6.46218</c:v>
                </c:pt>
                <c:pt idx="49">
                  <c:v>6.5915100000000004</c:v>
                </c:pt>
                <c:pt idx="50">
                  <c:v>6.6210100000000001</c:v>
                </c:pt>
                <c:pt idx="51">
                  <c:v>6.6777699999999998</c:v>
                </c:pt>
                <c:pt idx="52">
                  <c:v>6.7849199999999996</c:v>
                </c:pt>
                <c:pt idx="53">
                  <c:v>6.9650299999999996</c:v>
                </c:pt>
                <c:pt idx="54">
                  <c:v>7.2039499999999999</c:v>
                </c:pt>
                <c:pt idx="55">
                  <c:v>7.4400599999999999</c:v>
                </c:pt>
                <c:pt idx="56">
                  <c:v>7.6768999999999998</c:v>
                </c:pt>
                <c:pt idx="57">
                  <c:v>7.9144100000000002</c:v>
                </c:pt>
                <c:pt idx="58">
                  <c:v>8.15259</c:v>
                </c:pt>
                <c:pt idx="59">
                  <c:v>8.3222799999999992</c:v>
                </c:pt>
                <c:pt idx="60">
                  <c:v>8.4373000000000005</c:v>
                </c:pt>
                <c:pt idx="61">
                  <c:v>8.6133900000000008</c:v>
                </c:pt>
                <c:pt idx="62">
                  <c:v>8.7590500000000002</c:v>
                </c:pt>
                <c:pt idx="63">
                  <c:v>8.8533899999999992</c:v>
                </c:pt>
                <c:pt idx="64">
                  <c:v>9.0181199999999997</c:v>
                </c:pt>
                <c:pt idx="65">
                  <c:v>9.1803100000000004</c:v>
                </c:pt>
                <c:pt idx="66">
                  <c:v>9.2714499999999997</c:v>
                </c:pt>
                <c:pt idx="67">
                  <c:v>9.4202999999999992</c:v>
                </c:pt>
                <c:pt idx="68">
                  <c:v>9.5905299999999993</c:v>
                </c:pt>
                <c:pt idx="69">
                  <c:v>9.6735399999999991</c:v>
                </c:pt>
                <c:pt idx="70">
                  <c:v>9.8264399999999998</c:v>
                </c:pt>
                <c:pt idx="71">
                  <c:v>9.9893599999999996</c:v>
                </c:pt>
                <c:pt idx="72">
                  <c:v>10.062799999999999</c:v>
                </c:pt>
                <c:pt idx="73">
                  <c:v>10.2212</c:v>
                </c:pt>
                <c:pt idx="74">
                  <c:v>10.3691</c:v>
                </c:pt>
                <c:pt idx="75">
                  <c:v>10.450799999999999</c:v>
                </c:pt>
                <c:pt idx="76">
                  <c:v>10.621</c:v>
                </c:pt>
                <c:pt idx="77">
                  <c:v>10.758599999999999</c:v>
                </c:pt>
                <c:pt idx="78">
                  <c:v>11.4664</c:v>
                </c:pt>
                <c:pt idx="79">
                  <c:v>12.233499999999999</c:v>
                </c:pt>
                <c:pt idx="80">
                  <c:v>12.993</c:v>
                </c:pt>
                <c:pt idx="81">
                  <c:v>13.7677</c:v>
                </c:pt>
                <c:pt idx="82">
                  <c:v>14.5456</c:v>
                </c:pt>
                <c:pt idx="83">
                  <c:v>15.326499999999999</c:v>
                </c:pt>
                <c:pt idx="84">
                  <c:v>16.110399999999998</c:v>
                </c:pt>
                <c:pt idx="85">
                  <c:v>16.897099999999998</c:v>
                </c:pt>
                <c:pt idx="86">
                  <c:v>17.686699999999998</c:v>
                </c:pt>
                <c:pt idx="87">
                  <c:v>18.478899999999999</c:v>
                </c:pt>
                <c:pt idx="88">
                  <c:v>19.254999999999999</c:v>
                </c:pt>
                <c:pt idx="89">
                  <c:v>19.735199999999999</c:v>
                </c:pt>
                <c:pt idx="90">
                  <c:v>20.010200000000001</c:v>
                </c:pt>
                <c:pt idx="91">
                  <c:v>20.287099999999999</c:v>
                </c:pt>
                <c:pt idx="92">
                  <c:v>20.5641</c:v>
                </c:pt>
                <c:pt idx="93">
                  <c:v>20.841000000000001</c:v>
                </c:pt>
                <c:pt idx="94">
                  <c:v>21.117899999999999</c:v>
                </c:pt>
                <c:pt idx="95">
                  <c:v>21.3948</c:v>
                </c:pt>
                <c:pt idx="96">
                  <c:v>21.671700000000001</c:v>
                </c:pt>
                <c:pt idx="97">
                  <c:v>21.948599999999999</c:v>
                </c:pt>
                <c:pt idx="98">
                  <c:v>22.2256</c:v>
                </c:pt>
                <c:pt idx="99">
                  <c:v>22.502500000000001</c:v>
                </c:pt>
                <c:pt idx="100">
                  <c:v>22.779399999999999</c:v>
                </c:pt>
                <c:pt idx="101">
                  <c:v>23.088100000000001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68-44BA-A565-83090936F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5'!$AH$32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5'!$AF$33:$AF$153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5'!$AH$33:$AH$153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668-44BA-A565-83090936F439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2'!$D$32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2'!$A$33:$A$135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2'!$D$33:$D$135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432.93900000000002</c:v>
                </c:pt>
                <c:pt idx="2">
                  <c:v>432.64699999999999</c:v>
                </c:pt>
                <c:pt idx="3">
                  <c:v>432.37</c:v>
                </c:pt>
                <c:pt idx="4">
                  <c:v>432.09699999999998</c:v>
                </c:pt>
                <c:pt idx="5">
                  <c:v>431.82499999999999</c:v>
                </c:pt>
                <c:pt idx="6">
                  <c:v>431.52600000000001</c:v>
                </c:pt>
                <c:pt idx="7">
                  <c:v>431.13099999999997</c:v>
                </c:pt>
                <c:pt idx="8">
                  <c:v>430.74799999999999</c:v>
                </c:pt>
                <c:pt idx="9">
                  <c:v>430.36399999999998</c:v>
                </c:pt>
                <c:pt idx="10">
                  <c:v>429.98</c:v>
                </c:pt>
                <c:pt idx="11">
                  <c:v>429.59699999999998</c:v>
                </c:pt>
                <c:pt idx="12">
                  <c:v>429.214</c:v>
                </c:pt>
                <c:pt idx="13">
                  <c:v>428.83300000000003</c:v>
                </c:pt>
                <c:pt idx="14">
                  <c:v>428.45100000000002</c:v>
                </c:pt>
                <c:pt idx="15">
                  <c:v>428.06900000000002</c:v>
                </c:pt>
                <c:pt idx="16">
                  <c:v>427.68799999999999</c:v>
                </c:pt>
                <c:pt idx="17">
                  <c:v>427.30700000000002</c:v>
                </c:pt>
                <c:pt idx="18">
                  <c:v>426.92700000000002</c:v>
                </c:pt>
                <c:pt idx="19">
                  <c:v>426.54700000000003</c:v>
                </c:pt>
                <c:pt idx="20">
                  <c:v>426.16699999999997</c:v>
                </c:pt>
                <c:pt idx="21">
                  <c:v>425.78899999999999</c:v>
                </c:pt>
                <c:pt idx="22">
                  <c:v>425.41</c:v>
                </c:pt>
                <c:pt idx="23">
                  <c:v>425.03199999999998</c:v>
                </c:pt>
                <c:pt idx="24">
                  <c:v>424.654</c:v>
                </c:pt>
                <c:pt idx="25">
                  <c:v>424.27699999999999</c:v>
                </c:pt>
                <c:pt idx="26">
                  <c:v>424.00900000000001</c:v>
                </c:pt>
                <c:pt idx="27">
                  <c:v>424.00900000000001</c:v>
                </c:pt>
                <c:pt idx="28">
                  <c:v>424.00900000000001</c:v>
                </c:pt>
                <c:pt idx="29">
                  <c:v>424.00900000000001</c:v>
                </c:pt>
                <c:pt idx="30">
                  <c:v>424.00900000000001</c:v>
                </c:pt>
                <c:pt idx="31">
                  <c:v>424.00900000000001</c:v>
                </c:pt>
                <c:pt idx="32">
                  <c:v>423.97800000000001</c:v>
                </c:pt>
                <c:pt idx="33">
                  <c:v>423.916</c:v>
                </c:pt>
                <c:pt idx="34">
                  <c:v>423.79500000000002</c:v>
                </c:pt>
                <c:pt idx="35">
                  <c:v>423.47800000000001</c:v>
                </c:pt>
                <c:pt idx="36">
                  <c:v>423.44200000000001</c:v>
                </c:pt>
                <c:pt idx="37">
                  <c:v>412.73700000000002</c:v>
                </c:pt>
                <c:pt idx="38">
                  <c:v>389.65899999999999</c:v>
                </c:pt>
                <c:pt idx="39">
                  <c:v>368.08</c:v>
                </c:pt>
                <c:pt idx="40">
                  <c:v>347.93099999999998</c:v>
                </c:pt>
                <c:pt idx="41">
                  <c:v>329.13499999999999</c:v>
                </c:pt>
                <c:pt idx="42">
                  <c:v>311.601</c:v>
                </c:pt>
                <c:pt idx="43">
                  <c:v>295.35700000000003</c:v>
                </c:pt>
                <c:pt idx="44">
                  <c:v>279.94600000000003</c:v>
                </c:pt>
                <c:pt idx="45">
                  <c:v>265.75599999999997</c:v>
                </c:pt>
                <c:pt idx="46">
                  <c:v>252.60300000000001</c:v>
                </c:pt>
                <c:pt idx="47">
                  <c:v>240.30099999999999</c:v>
                </c:pt>
                <c:pt idx="48">
                  <c:v>228.80099999999999</c:v>
                </c:pt>
                <c:pt idx="49">
                  <c:v>218.05199999999999</c:v>
                </c:pt>
                <c:pt idx="50">
                  <c:v>208.006</c:v>
                </c:pt>
                <c:pt idx="51">
                  <c:v>198.619</c:v>
                </c:pt>
                <c:pt idx="52">
                  <c:v>189.679</c:v>
                </c:pt>
                <c:pt idx="53">
                  <c:v>180.71299999999999</c:v>
                </c:pt>
                <c:pt idx="54">
                  <c:v>172.39699999999999</c:v>
                </c:pt>
                <c:pt idx="55">
                  <c:v>164.69499999999999</c:v>
                </c:pt>
                <c:pt idx="56">
                  <c:v>157.55099999999999</c:v>
                </c:pt>
                <c:pt idx="57">
                  <c:v>150.922</c:v>
                </c:pt>
                <c:pt idx="58">
                  <c:v>144.768</c:v>
                </c:pt>
                <c:pt idx="59">
                  <c:v>139.048</c:v>
                </c:pt>
                <c:pt idx="60">
                  <c:v>133.72800000000001</c:v>
                </c:pt>
                <c:pt idx="61">
                  <c:v>128.779</c:v>
                </c:pt>
                <c:pt idx="62">
                  <c:v>124.16800000000001</c:v>
                </c:pt>
                <c:pt idx="63">
                  <c:v>119.87</c:v>
                </c:pt>
                <c:pt idx="64">
                  <c:v>115.863</c:v>
                </c:pt>
                <c:pt idx="65">
                  <c:v>112.122</c:v>
                </c:pt>
                <c:pt idx="66">
                  <c:v>108.627</c:v>
                </c:pt>
                <c:pt idx="67">
                  <c:v>105.361</c:v>
                </c:pt>
                <c:pt idx="68">
                  <c:v>102.306</c:v>
                </c:pt>
                <c:pt idx="69">
                  <c:v>99.445800000000006</c:v>
                </c:pt>
                <c:pt idx="70">
                  <c:v>96.767899999999997</c:v>
                </c:pt>
                <c:pt idx="71">
                  <c:v>94.257499999999993</c:v>
                </c:pt>
                <c:pt idx="72">
                  <c:v>91.903099999999995</c:v>
                </c:pt>
                <c:pt idx="73">
                  <c:v>89.694400000000002</c:v>
                </c:pt>
                <c:pt idx="74">
                  <c:v>87.619900000000001</c:v>
                </c:pt>
                <c:pt idx="75">
                  <c:v>85.6708</c:v>
                </c:pt>
                <c:pt idx="76">
                  <c:v>83.838899999999995</c:v>
                </c:pt>
                <c:pt idx="77">
                  <c:v>81.782200000000003</c:v>
                </c:pt>
                <c:pt idx="78">
                  <c:v>79.643799999999999</c:v>
                </c:pt>
                <c:pt idx="79">
                  <c:v>77.657899999999998</c:v>
                </c:pt>
                <c:pt idx="80">
                  <c:v>75.783500000000004</c:v>
                </c:pt>
                <c:pt idx="81">
                  <c:v>74.076300000000003</c:v>
                </c:pt>
                <c:pt idx="82">
                  <c:v>72.493399999999994</c:v>
                </c:pt>
                <c:pt idx="83">
                  <c:v>70.997</c:v>
                </c:pt>
                <c:pt idx="84">
                  <c:v>69.632400000000004</c:v>
                </c:pt>
                <c:pt idx="85">
                  <c:v>68.365399999999994</c:v>
                </c:pt>
                <c:pt idx="86">
                  <c:v>67.165899999999993</c:v>
                </c:pt>
                <c:pt idx="87">
                  <c:v>66.070899999999995</c:v>
                </c:pt>
                <c:pt idx="88">
                  <c:v>65.052700000000002</c:v>
                </c:pt>
                <c:pt idx="89">
                  <c:v>64.087500000000006</c:v>
                </c:pt>
                <c:pt idx="90">
                  <c:v>63.205300000000001</c:v>
                </c:pt>
                <c:pt idx="91">
                  <c:v>62.383899999999997</c:v>
                </c:pt>
                <c:pt idx="92">
                  <c:v>61.604300000000002</c:v>
                </c:pt>
                <c:pt idx="93">
                  <c:v>60.890900000000002</c:v>
                </c:pt>
                <c:pt idx="94">
                  <c:v>60.2258</c:v>
                </c:pt>
                <c:pt idx="95">
                  <c:v>59.593800000000002</c:v>
                </c:pt>
                <c:pt idx="96">
                  <c:v>59.014699999999998</c:v>
                </c:pt>
                <c:pt idx="97">
                  <c:v>58.474200000000003</c:v>
                </c:pt>
                <c:pt idx="98">
                  <c:v>57.959800000000001</c:v>
                </c:pt>
                <c:pt idx="99">
                  <c:v>57.488</c:v>
                </c:pt>
                <c:pt idx="100">
                  <c:v>56.988799999999998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0C-4C6B-BDF8-D72C02C8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40C-4C6B-BDF8-D72C02C8D6AA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40C-4C6B-BDF8-D72C02C8D6AA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2'!$AG$33:$AG$153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40C-4C6B-BDF8-D72C02C8D6AA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40C-4C6B-BDF8-D72C02C8D6A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2'!$F$32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2'!$A$33:$A$135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2'!$F$33:$F$135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7.8115299999999999E-2</c:v>
                </c:pt>
                <c:pt idx="27">
                  <c:v>7.8405100000000005E-2</c:v>
                </c:pt>
                <c:pt idx="28">
                  <c:v>5.6151300000000001E-2</c:v>
                </c:pt>
                <c:pt idx="29">
                  <c:v>7.9148099999999999E-2</c:v>
                </c:pt>
                <c:pt idx="30">
                  <c:v>7.9508200000000001E-2</c:v>
                </c:pt>
                <c:pt idx="31">
                  <c:v>7.9625000000000001E-2</c:v>
                </c:pt>
                <c:pt idx="32">
                  <c:v>8.0038499999999999E-2</c:v>
                </c:pt>
                <c:pt idx="33">
                  <c:v>8.0162200000000003E-2</c:v>
                </c:pt>
                <c:pt idx="34">
                  <c:v>8.0304E-2</c:v>
                </c:pt>
                <c:pt idx="35">
                  <c:v>8.0455399999999996E-2</c:v>
                </c:pt>
                <c:pt idx="36">
                  <c:v>8.0624500000000002E-2</c:v>
                </c:pt>
                <c:pt idx="37">
                  <c:v>8.0810499999999993E-2</c:v>
                </c:pt>
                <c:pt idx="38">
                  <c:v>8.1016500000000005E-2</c:v>
                </c:pt>
                <c:pt idx="39">
                  <c:v>0.20702300000000001</c:v>
                </c:pt>
                <c:pt idx="40">
                  <c:v>28.461300000000001</c:v>
                </c:pt>
                <c:pt idx="41">
                  <c:v>0.33438600000000002</c:v>
                </c:pt>
                <c:pt idx="42">
                  <c:v>23.509499999999999</c:v>
                </c:pt>
                <c:pt idx="43">
                  <c:v>0.38449800000000001</c:v>
                </c:pt>
                <c:pt idx="44">
                  <c:v>10.1715</c:v>
                </c:pt>
                <c:pt idx="45">
                  <c:v>0.48011100000000001</c:v>
                </c:pt>
                <c:pt idx="46">
                  <c:v>0.52335900000000002</c:v>
                </c:pt>
                <c:pt idx="47">
                  <c:v>0.52529700000000001</c:v>
                </c:pt>
                <c:pt idx="48">
                  <c:v>0.47963299999999998</c:v>
                </c:pt>
                <c:pt idx="49">
                  <c:v>0.75016899999999997</c:v>
                </c:pt>
                <c:pt idx="50">
                  <c:v>0.85692900000000005</c:v>
                </c:pt>
                <c:pt idx="51">
                  <c:v>30</c:v>
                </c:pt>
                <c:pt idx="52">
                  <c:v>0.10823099999999999</c:v>
                </c:pt>
                <c:pt idx="53">
                  <c:v>0.25269200000000003</c:v>
                </c:pt>
                <c:pt idx="54">
                  <c:v>31.713699999999999</c:v>
                </c:pt>
                <c:pt idx="55">
                  <c:v>0.459866</c:v>
                </c:pt>
                <c:pt idx="56">
                  <c:v>0.49698700000000001</c:v>
                </c:pt>
                <c:pt idx="57">
                  <c:v>0.52139599999999997</c:v>
                </c:pt>
                <c:pt idx="58">
                  <c:v>0.73079300000000003</c:v>
                </c:pt>
                <c:pt idx="59">
                  <c:v>0.82212300000000005</c:v>
                </c:pt>
                <c:pt idx="60">
                  <c:v>27.9894</c:v>
                </c:pt>
                <c:pt idx="61">
                  <c:v>1.0156499999999999</c:v>
                </c:pt>
                <c:pt idx="62">
                  <c:v>1.0562199999999999</c:v>
                </c:pt>
                <c:pt idx="63">
                  <c:v>1.1938800000000001</c:v>
                </c:pt>
                <c:pt idx="64">
                  <c:v>1.22502</c:v>
                </c:pt>
                <c:pt idx="65">
                  <c:v>1.30131</c:v>
                </c:pt>
                <c:pt idx="66">
                  <c:v>1.2576499999999999</c:v>
                </c:pt>
                <c:pt idx="67">
                  <c:v>1.42082</c:v>
                </c:pt>
                <c:pt idx="68">
                  <c:v>1.4495800000000001</c:v>
                </c:pt>
                <c:pt idx="69">
                  <c:v>31.301400000000001</c:v>
                </c:pt>
                <c:pt idx="70">
                  <c:v>1.68211</c:v>
                </c:pt>
                <c:pt idx="71">
                  <c:v>40</c:v>
                </c:pt>
                <c:pt idx="72">
                  <c:v>1.5558099999999999</c:v>
                </c:pt>
                <c:pt idx="73">
                  <c:v>1.69102</c:v>
                </c:pt>
                <c:pt idx="74">
                  <c:v>7.6362699999999997</c:v>
                </c:pt>
                <c:pt idx="75">
                  <c:v>2.2837299999999998</c:v>
                </c:pt>
                <c:pt idx="76">
                  <c:v>1.77067</c:v>
                </c:pt>
                <c:pt idx="77">
                  <c:v>0.30284499999999998</c:v>
                </c:pt>
                <c:pt idx="78">
                  <c:v>0.338835</c:v>
                </c:pt>
                <c:pt idx="79">
                  <c:v>0.34006199999999998</c:v>
                </c:pt>
                <c:pt idx="80">
                  <c:v>0.34123399999999998</c:v>
                </c:pt>
                <c:pt idx="81">
                  <c:v>0.34236100000000003</c:v>
                </c:pt>
                <c:pt idx="82">
                  <c:v>0.30602699999999999</c:v>
                </c:pt>
                <c:pt idx="83">
                  <c:v>0.25547300000000001</c:v>
                </c:pt>
                <c:pt idx="84">
                  <c:v>0.65375300000000003</c:v>
                </c:pt>
                <c:pt idx="85">
                  <c:v>1.4550099999999999</c:v>
                </c:pt>
                <c:pt idx="86">
                  <c:v>1.8278700000000001</c:v>
                </c:pt>
                <c:pt idx="87">
                  <c:v>2.31352</c:v>
                </c:pt>
                <c:pt idx="88">
                  <c:v>2.5631699999999999</c:v>
                </c:pt>
                <c:pt idx="89">
                  <c:v>65.998699999999999</c:v>
                </c:pt>
                <c:pt idx="90">
                  <c:v>1.3331500000000001</c:v>
                </c:pt>
                <c:pt idx="91">
                  <c:v>29.0261</c:v>
                </c:pt>
                <c:pt idx="92">
                  <c:v>0.221054</c:v>
                </c:pt>
                <c:pt idx="93">
                  <c:v>0.221054</c:v>
                </c:pt>
                <c:pt idx="94">
                  <c:v>0.221054</c:v>
                </c:pt>
                <c:pt idx="95">
                  <c:v>0.221054</c:v>
                </c:pt>
                <c:pt idx="96">
                  <c:v>0.221054</c:v>
                </c:pt>
                <c:pt idx="97">
                  <c:v>0.221054</c:v>
                </c:pt>
                <c:pt idx="98">
                  <c:v>0.221054</c:v>
                </c:pt>
                <c:pt idx="99">
                  <c:v>0.221054</c:v>
                </c:pt>
                <c:pt idx="100">
                  <c:v>0.221054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0C-4C6B-BDF8-D72C02C8D6AA}"/>
            </c:ext>
          </c:extLst>
        </c:ser>
        <c:ser>
          <c:idx val="6"/>
          <c:order val="2"/>
          <c:tx>
            <c:strRef>
              <c:f>'REFAP dt 2'!$G$32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2'!$A$33:$A$135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2'!$G$33:$G$135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0.72409999999999997</c:v>
                </c:pt>
                <c:pt idx="27">
                  <c:v>1.7912999999999999</c:v>
                </c:pt>
                <c:pt idx="28">
                  <c:v>2.4068499999999999</c:v>
                </c:pt>
                <c:pt idx="29">
                  <c:v>2.8637800000000002</c:v>
                </c:pt>
                <c:pt idx="30">
                  <c:v>3.2425299999999999</c:v>
                </c:pt>
                <c:pt idx="31">
                  <c:v>3.56725</c:v>
                </c:pt>
                <c:pt idx="32">
                  <c:v>3.8566099999999999</c:v>
                </c:pt>
                <c:pt idx="33">
                  <c:v>4.1165099999999999</c:v>
                </c:pt>
                <c:pt idx="34">
                  <c:v>4.3554700000000004</c:v>
                </c:pt>
                <c:pt idx="35">
                  <c:v>4.5768800000000001</c:v>
                </c:pt>
                <c:pt idx="36">
                  <c:v>4.7834399999999997</c:v>
                </c:pt>
                <c:pt idx="37">
                  <c:v>4.9773699999999996</c:v>
                </c:pt>
                <c:pt idx="38">
                  <c:v>5.1546700000000003</c:v>
                </c:pt>
                <c:pt idx="39">
                  <c:v>5.2829499999999996</c:v>
                </c:pt>
                <c:pt idx="40">
                  <c:v>5.4299900000000001</c:v>
                </c:pt>
                <c:pt idx="41">
                  <c:v>5.5131300000000003</c:v>
                </c:pt>
                <c:pt idx="42">
                  <c:v>5.6554599999999997</c:v>
                </c:pt>
                <c:pt idx="43">
                  <c:v>5.73177</c:v>
                </c:pt>
                <c:pt idx="44">
                  <c:v>5.8837400000000004</c:v>
                </c:pt>
                <c:pt idx="45">
                  <c:v>5.9689899999999998</c:v>
                </c:pt>
                <c:pt idx="46">
                  <c:v>6.1371900000000004</c:v>
                </c:pt>
                <c:pt idx="47">
                  <c:v>6.2296100000000001</c:v>
                </c:pt>
                <c:pt idx="48">
                  <c:v>6.4009400000000003</c:v>
                </c:pt>
                <c:pt idx="49">
                  <c:v>6.4822899999999999</c:v>
                </c:pt>
                <c:pt idx="50">
                  <c:v>6.6547900000000002</c:v>
                </c:pt>
                <c:pt idx="51">
                  <c:v>6.7359</c:v>
                </c:pt>
                <c:pt idx="52">
                  <c:v>6.9185400000000001</c:v>
                </c:pt>
                <c:pt idx="53">
                  <c:v>7.0847899999999999</c:v>
                </c:pt>
                <c:pt idx="54">
                  <c:v>7.2529000000000003</c:v>
                </c:pt>
                <c:pt idx="55">
                  <c:v>7.4494100000000003</c:v>
                </c:pt>
                <c:pt idx="56">
                  <c:v>7.5761599999999998</c:v>
                </c:pt>
                <c:pt idx="57">
                  <c:v>7.7724099999999998</c:v>
                </c:pt>
                <c:pt idx="58">
                  <c:v>7.9674100000000001</c:v>
                </c:pt>
                <c:pt idx="59">
                  <c:v>8.1207200000000004</c:v>
                </c:pt>
                <c:pt idx="60">
                  <c:v>8.3270900000000001</c:v>
                </c:pt>
                <c:pt idx="61">
                  <c:v>8.5020100000000003</c:v>
                </c:pt>
                <c:pt idx="62">
                  <c:v>8.6461900000000007</c:v>
                </c:pt>
                <c:pt idx="63">
                  <c:v>8.8524600000000007</c:v>
                </c:pt>
                <c:pt idx="64">
                  <c:v>9.0136299999999991</c:v>
                </c:pt>
                <c:pt idx="65">
                  <c:v>9.14846</c:v>
                </c:pt>
                <c:pt idx="66">
                  <c:v>9.3473100000000002</c:v>
                </c:pt>
                <c:pt idx="67">
                  <c:v>9.5043100000000003</c:v>
                </c:pt>
                <c:pt idx="68">
                  <c:v>9.6368100000000005</c:v>
                </c:pt>
                <c:pt idx="69">
                  <c:v>9.8372799999999998</c:v>
                </c:pt>
                <c:pt idx="70">
                  <c:v>9.9870999999999999</c:v>
                </c:pt>
                <c:pt idx="71">
                  <c:v>10.1126</c:v>
                </c:pt>
                <c:pt idx="72">
                  <c:v>10.312200000000001</c:v>
                </c:pt>
                <c:pt idx="73">
                  <c:v>10.4542</c:v>
                </c:pt>
                <c:pt idx="74">
                  <c:v>10.5688</c:v>
                </c:pt>
                <c:pt idx="75">
                  <c:v>10.752800000000001</c:v>
                </c:pt>
                <c:pt idx="76">
                  <c:v>10.899699999999999</c:v>
                </c:pt>
                <c:pt idx="77">
                  <c:v>11.4382</c:v>
                </c:pt>
                <c:pt idx="78">
                  <c:v>12.186199999999999</c:v>
                </c:pt>
                <c:pt idx="79">
                  <c:v>12.9429</c:v>
                </c:pt>
                <c:pt idx="80">
                  <c:v>13.7035</c:v>
                </c:pt>
                <c:pt idx="81">
                  <c:v>14.467700000000001</c:v>
                </c:pt>
                <c:pt idx="82">
                  <c:v>15.2354</c:v>
                </c:pt>
                <c:pt idx="83">
                  <c:v>16.006499999999999</c:v>
                </c:pt>
                <c:pt idx="84">
                  <c:v>16.736799999999999</c:v>
                </c:pt>
                <c:pt idx="85">
                  <c:v>17.4435</c:v>
                </c:pt>
                <c:pt idx="86">
                  <c:v>18.109000000000002</c:v>
                </c:pt>
                <c:pt idx="87">
                  <c:v>18.783200000000001</c:v>
                </c:pt>
                <c:pt idx="88">
                  <c:v>19.465399999999999</c:v>
                </c:pt>
                <c:pt idx="89">
                  <c:v>19.795100000000001</c:v>
                </c:pt>
                <c:pt idx="90">
                  <c:v>19.991599999999998</c:v>
                </c:pt>
                <c:pt idx="91">
                  <c:v>20.1965</c:v>
                </c:pt>
                <c:pt idx="92">
                  <c:v>20.4621</c:v>
                </c:pt>
                <c:pt idx="93">
                  <c:v>20.741700000000002</c:v>
                </c:pt>
                <c:pt idx="94">
                  <c:v>21.0214</c:v>
                </c:pt>
                <c:pt idx="95">
                  <c:v>21.300999999999998</c:v>
                </c:pt>
                <c:pt idx="96">
                  <c:v>21.5807</c:v>
                </c:pt>
                <c:pt idx="97">
                  <c:v>21.860299999999999</c:v>
                </c:pt>
                <c:pt idx="98">
                  <c:v>22.139900000000001</c:v>
                </c:pt>
                <c:pt idx="99">
                  <c:v>22.419599999999999</c:v>
                </c:pt>
                <c:pt idx="100">
                  <c:v>22.735499999999998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0C-4C6B-BDF8-D72C02C8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2'!$AH$32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2'!$AF$33:$AF$153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2'!$AH$33:$AH$153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840C-4C6B-BDF8-D72C02C8D6AA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876133855484398E-2"/>
          <c:y val="9.3311660915482014E-2"/>
          <c:w val="0.88456832079447123"/>
          <c:h val="0.82435677773780813"/>
        </c:manualLayout>
      </c:layout>
      <c:scatterChart>
        <c:scatterStyle val="lineMarker"/>
        <c:varyColors val="0"/>
        <c:ser>
          <c:idx val="5"/>
          <c:order val="0"/>
          <c:tx>
            <c:strRef>
              <c:f>'REFAP dt 1'!$D$32</c:f>
              <c:strCache>
                <c:ptCount val="1"/>
                <c:pt idx="0">
                  <c:v>TckSld(°C)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'REFAP dt 1'!$A$33:$A$135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1'!$D$33:$D$135</c:f>
              <c:numCache>
                <c:formatCode>0</c:formatCode>
                <c:ptCount val="103"/>
                <c:pt idx="0">
                  <c:v>433.4</c:v>
                </c:pt>
                <c:pt idx="1">
                  <c:v>433.03800000000001</c:v>
                </c:pt>
                <c:pt idx="2">
                  <c:v>432.76499999999999</c:v>
                </c:pt>
                <c:pt idx="3">
                  <c:v>432.49299999999999</c:v>
                </c:pt>
                <c:pt idx="4">
                  <c:v>432.22</c:v>
                </c:pt>
                <c:pt idx="5">
                  <c:v>431.947</c:v>
                </c:pt>
                <c:pt idx="6">
                  <c:v>431.65199999999999</c:v>
                </c:pt>
                <c:pt idx="7">
                  <c:v>431.26299999999998</c:v>
                </c:pt>
                <c:pt idx="8">
                  <c:v>430.88799999999998</c:v>
                </c:pt>
                <c:pt idx="9">
                  <c:v>430.51499999999999</c:v>
                </c:pt>
                <c:pt idx="10">
                  <c:v>429.71899999999999</c:v>
                </c:pt>
                <c:pt idx="11">
                  <c:v>428.81900000000002</c:v>
                </c:pt>
                <c:pt idx="12">
                  <c:v>427.93200000000002</c:v>
                </c:pt>
                <c:pt idx="13">
                  <c:v>427.03800000000001</c:v>
                </c:pt>
                <c:pt idx="14">
                  <c:v>426.53</c:v>
                </c:pt>
                <c:pt idx="15">
                  <c:v>426.13400000000001</c:v>
                </c:pt>
                <c:pt idx="16">
                  <c:v>425.74099999999999</c:v>
                </c:pt>
                <c:pt idx="17">
                  <c:v>425.34500000000003</c:v>
                </c:pt>
                <c:pt idx="18">
                  <c:v>424.94900000000001</c:v>
                </c:pt>
                <c:pt idx="19">
                  <c:v>424.553</c:v>
                </c:pt>
                <c:pt idx="20">
                  <c:v>424.15899999999999</c:v>
                </c:pt>
                <c:pt idx="21">
                  <c:v>423.76499999999999</c:v>
                </c:pt>
                <c:pt idx="22">
                  <c:v>423.37200000000001</c:v>
                </c:pt>
                <c:pt idx="23">
                  <c:v>422.98</c:v>
                </c:pt>
                <c:pt idx="24">
                  <c:v>422.34199999999998</c:v>
                </c:pt>
                <c:pt idx="25">
                  <c:v>421.452</c:v>
                </c:pt>
                <c:pt idx="26">
                  <c:v>420.827</c:v>
                </c:pt>
                <c:pt idx="27">
                  <c:v>420.827</c:v>
                </c:pt>
                <c:pt idx="28">
                  <c:v>420.827</c:v>
                </c:pt>
                <c:pt idx="29">
                  <c:v>420.827</c:v>
                </c:pt>
                <c:pt idx="30">
                  <c:v>420.827</c:v>
                </c:pt>
                <c:pt idx="31">
                  <c:v>420.827</c:v>
                </c:pt>
                <c:pt idx="32">
                  <c:v>420.827</c:v>
                </c:pt>
                <c:pt idx="33">
                  <c:v>420.78500000000003</c:v>
                </c:pt>
                <c:pt idx="34">
                  <c:v>420.66</c:v>
                </c:pt>
                <c:pt idx="35">
                  <c:v>420.19499999999999</c:v>
                </c:pt>
                <c:pt idx="36">
                  <c:v>420.113</c:v>
                </c:pt>
                <c:pt idx="37">
                  <c:v>418.05900000000003</c:v>
                </c:pt>
                <c:pt idx="38">
                  <c:v>412.10399999999998</c:v>
                </c:pt>
                <c:pt idx="39">
                  <c:v>386.56900000000002</c:v>
                </c:pt>
                <c:pt idx="40">
                  <c:v>362.97300000000001</c:v>
                </c:pt>
                <c:pt idx="41">
                  <c:v>341.17200000000003</c:v>
                </c:pt>
                <c:pt idx="42">
                  <c:v>320.99900000000002</c:v>
                </c:pt>
                <c:pt idx="43">
                  <c:v>302.387</c:v>
                </c:pt>
                <c:pt idx="44">
                  <c:v>285.38499999999999</c:v>
                </c:pt>
                <c:pt idx="45">
                  <c:v>269.23200000000003</c:v>
                </c:pt>
                <c:pt idx="46">
                  <c:v>254.566</c:v>
                </c:pt>
                <c:pt idx="47">
                  <c:v>240.929</c:v>
                </c:pt>
                <c:pt idx="48">
                  <c:v>228.285</c:v>
                </c:pt>
                <c:pt idx="49">
                  <c:v>216.56800000000001</c:v>
                </c:pt>
                <c:pt idx="50">
                  <c:v>205.702</c:v>
                </c:pt>
                <c:pt idx="51">
                  <c:v>195.62799999999999</c:v>
                </c:pt>
                <c:pt idx="52">
                  <c:v>186.09800000000001</c:v>
                </c:pt>
                <c:pt idx="53">
                  <c:v>176.61799999999999</c:v>
                </c:pt>
                <c:pt idx="54">
                  <c:v>167.935</c:v>
                </c:pt>
                <c:pt idx="55">
                  <c:v>159.93899999999999</c:v>
                </c:pt>
                <c:pt idx="56">
                  <c:v>152.57499999999999</c:v>
                </c:pt>
                <c:pt idx="57">
                  <c:v>145.77799999999999</c:v>
                </c:pt>
                <c:pt idx="58">
                  <c:v>143.09</c:v>
                </c:pt>
                <c:pt idx="59">
                  <c:v>143.09</c:v>
                </c:pt>
                <c:pt idx="60">
                  <c:v>143.09</c:v>
                </c:pt>
                <c:pt idx="61">
                  <c:v>143.09</c:v>
                </c:pt>
                <c:pt idx="62">
                  <c:v>143.09</c:v>
                </c:pt>
                <c:pt idx="63">
                  <c:v>143.09</c:v>
                </c:pt>
                <c:pt idx="64">
                  <c:v>143.09</c:v>
                </c:pt>
                <c:pt idx="65">
                  <c:v>143.09</c:v>
                </c:pt>
                <c:pt idx="66">
                  <c:v>143.09</c:v>
                </c:pt>
                <c:pt idx="67">
                  <c:v>143.09</c:v>
                </c:pt>
                <c:pt idx="68">
                  <c:v>143.09</c:v>
                </c:pt>
                <c:pt idx="69">
                  <c:v>143.09</c:v>
                </c:pt>
                <c:pt idx="70">
                  <c:v>143.09</c:v>
                </c:pt>
                <c:pt idx="71">
                  <c:v>143.09</c:v>
                </c:pt>
                <c:pt idx="72">
                  <c:v>143.09</c:v>
                </c:pt>
                <c:pt idx="73">
                  <c:v>143.09</c:v>
                </c:pt>
                <c:pt idx="74">
                  <c:v>143.09</c:v>
                </c:pt>
                <c:pt idx="75">
                  <c:v>143.09</c:v>
                </c:pt>
                <c:pt idx="76">
                  <c:v>143.09</c:v>
                </c:pt>
                <c:pt idx="77">
                  <c:v>143.09</c:v>
                </c:pt>
                <c:pt idx="78">
                  <c:v>143.09</c:v>
                </c:pt>
                <c:pt idx="79">
                  <c:v>143.09</c:v>
                </c:pt>
                <c:pt idx="80">
                  <c:v>143.09</c:v>
                </c:pt>
                <c:pt idx="81">
                  <c:v>143.09</c:v>
                </c:pt>
                <c:pt idx="82">
                  <c:v>143.09</c:v>
                </c:pt>
                <c:pt idx="83">
                  <c:v>143.09</c:v>
                </c:pt>
                <c:pt idx="84">
                  <c:v>143.09</c:v>
                </c:pt>
                <c:pt idx="85">
                  <c:v>143.09</c:v>
                </c:pt>
                <c:pt idx="86">
                  <c:v>143.09</c:v>
                </c:pt>
                <c:pt idx="87">
                  <c:v>143.09</c:v>
                </c:pt>
                <c:pt idx="88">
                  <c:v>143.09</c:v>
                </c:pt>
                <c:pt idx="89">
                  <c:v>143.09</c:v>
                </c:pt>
                <c:pt idx="90">
                  <c:v>143.09</c:v>
                </c:pt>
                <c:pt idx="91">
                  <c:v>143.09</c:v>
                </c:pt>
                <c:pt idx="92">
                  <c:v>143.09</c:v>
                </c:pt>
                <c:pt idx="93">
                  <c:v>143.09</c:v>
                </c:pt>
                <c:pt idx="94">
                  <c:v>143.09</c:v>
                </c:pt>
                <c:pt idx="95">
                  <c:v>143.09</c:v>
                </c:pt>
                <c:pt idx="96">
                  <c:v>143.09</c:v>
                </c:pt>
                <c:pt idx="97">
                  <c:v>143.09</c:v>
                </c:pt>
                <c:pt idx="98">
                  <c:v>143.09</c:v>
                </c:pt>
                <c:pt idx="99">
                  <c:v>143.09</c:v>
                </c:pt>
                <c:pt idx="100">
                  <c:v>143.09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518-4B63-8A11-1329CF505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4"/>
                <c:tx>
                  <c:v>media+dsvPd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1'!$AP$33:$AP$632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518-4B63-8A11-1329CF5053D4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media-dsvPd</c:v>
                </c:tx>
                <c:spPr>
                  <a:ln w="12700">
                    <a:prstDash val="sysDot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1'!$AO$33:$AO$632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518-4B63-8A11-1329CF5053D4}"/>
                  </c:ext>
                </c:extLst>
              </c15:ser>
            </c15:filteredScatterSeries>
            <c15:filteredScatterSeries>
              <c15:ser>
                <c:idx val="3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1'!$AF$30:$AG$30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>
                    <a:noFill/>
                  </a:ln>
                </c:spPr>
                <c:marker>
                  <c:symbol val="circle"/>
                  <c:size val="2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'REFAP dt 1'!$AG$33:$AG$153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518-4B63-8A11-1329CF5053D4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8626816"/>
        <c:axId val="398628736"/>
        <c:extLst>
          <c:ext xmlns:c15="http://schemas.microsoft.com/office/drawing/2012/chart" uri="{02D57815-91ED-43cb-92C2-25804820EDAC}">
            <c15:filteredScatterSeries>
              <c15:ser>
                <c:idx val="16"/>
                <c:order val="3"/>
                <c:tx>
                  <c:v>DDS EXP REGAP</c:v>
                </c:tx>
                <c:spPr>
                  <a:ln w="12700"/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1'!$Z$33:$Z$632</c15:sqref>
                        </c15:formulaRef>
                      </c:ext>
                    </c:extLst>
                    <c:numCache>
                      <c:formatCode>General</c:formatCode>
                      <c:ptCount val="600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1'!$AN$33:$AN$632</c15:sqref>
                        </c15:formulaRef>
                      </c:ext>
                    </c:extLst>
                    <c:numCache>
                      <c:formatCode>0.0</c:formatCode>
                      <c:ptCount val="6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8518-4B63-8A11-1329CF5053D4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1"/>
          <c:tx>
            <c:strRef>
              <c:f>'REFAP dt 1'!$F$32</c:f>
              <c:strCache>
                <c:ptCount val="1"/>
                <c:pt idx="0">
                  <c:v>Mvap(t/h)</c:v>
                </c:pt>
              </c:strCache>
            </c:strRef>
          </c:tx>
          <c:spPr>
            <a:ln w="1270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'REFAP dt 1'!$A$33:$A$135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1'!$F$33:$F$135</c:f>
              <c:numCache>
                <c:formatCode>0.0</c:formatCode>
                <c:ptCount val="10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7.0644100000000001E-2</c:v>
                </c:pt>
                <c:pt idx="27">
                  <c:v>7.8425300000000003E-2</c:v>
                </c:pt>
                <c:pt idx="28">
                  <c:v>7.8762399999999996E-2</c:v>
                </c:pt>
                <c:pt idx="29">
                  <c:v>7.9270400000000005E-2</c:v>
                </c:pt>
                <c:pt idx="30">
                  <c:v>7.9675399999999993E-2</c:v>
                </c:pt>
                <c:pt idx="31">
                  <c:v>7.9802999999999999E-2</c:v>
                </c:pt>
                <c:pt idx="32">
                  <c:v>8.0232300000000006E-2</c:v>
                </c:pt>
                <c:pt idx="33">
                  <c:v>8.0367599999999997E-2</c:v>
                </c:pt>
                <c:pt idx="34">
                  <c:v>8.0514799999999997E-2</c:v>
                </c:pt>
                <c:pt idx="35">
                  <c:v>8.0676999999999999E-2</c:v>
                </c:pt>
                <c:pt idx="36">
                  <c:v>8.0852400000000005E-2</c:v>
                </c:pt>
                <c:pt idx="37">
                  <c:v>0.313892</c:v>
                </c:pt>
                <c:pt idx="38">
                  <c:v>0.235374</c:v>
                </c:pt>
                <c:pt idx="39">
                  <c:v>0.34154800000000002</c:v>
                </c:pt>
                <c:pt idx="40">
                  <c:v>0.39245200000000002</c:v>
                </c:pt>
                <c:pt idx="41">
                  <c:v>0.55667500000000003</c:v>
                </c:pt>
                <c:pt idx="42">
                  <c:v>0.50206799999999996</c:v>
                </c:pt>
                <c:pt idx="43">
                  <c:v>0.75340200000000002</c:v>
                </c:pt>
                <c:pt idx="44">
                  <c:v>0.93240299999999998</c:v>
                </c:pt>
                <c:pt idx="45">
                  <c:v>0.92194699999999996</c:v>
                </c:pt>
                <c:pt idx="46">
                  <c:v>1.09216</c:v>
                </c:pt>
                <c:pt idx="47">
                  <c:v>1.07267</c:v>
                </c:pt>
                <c:pt idx="48">
                  <c:v>1.40683</c:v>
                </c:pt>
                <c:pt idx="49">
                  <c:v>1.2709600000000001</c:v>
                </c:pt>
                <c:pt idx="50">
                  <c:v>1.32474</c:v>
                </c:pt>
                <c:pt idx="51">
                  <c:v>1.2805200000000001</c:v>
                </c:pt>
                <c:pt idx="52">
                  <c:v>0.54669900000000005</c:v>
                </c:pt>
                <c:pt idx="53">
                  <c:v>0.76670799999999995</c:v>
                </c:pt>
                <c:pt idx="54">
                  <c:v>0.87234199999999995</c:v>
                </c:pt>
                <c:pt idx="55">
                  <c:v>9.0705500000000008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8-4B63-8A11-1329CF5053D4}"/>
            </c:ext>
          </c:extLst>
        </c:ser>
        <c:ser>
          <c:idx val="6"/>
          <c:order val="2"/>
          <c:tx>
            <c:strRef>
              <c:f>'REFAP dt 1'!$G$32</c:f>
              <c:strCache>
                <c:ptCount val="1"/>
                <c:pt idx="0">
                  <c:v>Nivel(m)</c:v>
                </c:pt>
              </c:strCache>
            </c:strRef>
          </c:tx>
          <c:spPr>
            <a:ln w="15875" cap="rnd">
              <a:solidFill>
                <a:srgbClr val="7030A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'REFAP dt 1'!$A$33:$A$135</c:f>
              <c:numCache>
                <c:formatCode>0</c:formatCode>
                <c:ptCount val="103"/>
                <c:pt idx="0">
                  <c:v>0</c:v>
                </c:pt>
                <c:pt idx="1">
                  <c:v>5.1333299999999999</c:v>
                </c:pt>
                <c:pt idx="2">
                  <c:v>10.2667</c:v>
                </c:pt>
                <c:pt idx="3">
                  <c:v>15.4</c:v>
                </c:pt>
                <c:pt idx="4">
                  <c:v>20.533300000000001</c:v>
                </c:pt>
                <c:pt idx="5">
                  <c:v>25.666699999999999</c:v>
                </c:pt>
                <c:pt idx="6">
                  <c:v>30.8</c:v>
                </c:pt>
                <c:pt idx="7">
                  <c:v>35.933300000000003</c:v>
                </c:pt>
                <c:pt idx="8">
                  <c:v>41.066699999999997</c:v>
                </c:pt>
                <c:pt idx="9">
                  <c:v>46.2</c:v>
                </c:pt>
                <c:pt idx="10">
                  <c:v>51.333300000000001</c:v>
                </c:pt>
                <c:pt idx="11">
                  <c:v>56.466700000000003</c:v>
                </c:pt>
                <c:pt idx="12">
                  <c:v>61.6</c:v>
                </c:pt>
                <c:pt idx="13">
                  <c:v>66.7333</c:v>
                </c:pt>
                <c:pt idx="14">
                  <c:v>71.866699999999994</c:v>
                </c:pt>
                <c:pt idx="15">
                  <c:v>77</c:v>
                </c:pt>
                <c:pt idx="16">
                  <c:v>82.133300000000006</c:v>
                </c:pt>
                <c:pt idx="17">
                  <c:v>87.2667</c:v>
                </c:pt>
                <c:pt idx="18">
                  <c:v>92.4</c:v>
                </c:pt>
                <c:pt idx="19">
                  <c:v>97.533299999999997</c:v>
                </c:pt>
                <c:pt idx="20">
                  <c:v>102.667</c:v>
                </c:pt>
                <c:pt idx="21">
                  <c:v>107.8</c:v>
                </c:pt>
                <c:pt idx="22">
                  <c:v>112.93300000000001</c:v>
                </c:pt>
                <c:pt idx="23">
                  <c:v>118.06699999999999</c:v>
                </c:pt>
                <c:pt idx="24">
                  <c:v>123.2</c:v>
                </c:pt>
                <c:pt idx="25">
                  <c:v>128.333</c:v>
                </c:pt>
                <c:pt idx="26">
                  <c:v>133.46700000000001</c:v>
                </c:pt>
                <c:pt idx="27">
                  <c:v>138.6</c:v>
                </c:pt>
                <c:pt idx="28">
                  <c:v>143.733</c:v>
                </c:pt>
                <c:pt idx="29">
                  <c:v>148.86699999999999</c:v>
                </c:pt>
                <c:pt idx="30">
                  <c:v>154</c:v>
                </c:pt>
                <c:pt idx="31">
                  <c:v>159.13300000000001</c:v>
                </c:pt>
                <c:pt idx="32">
                  <c:v>164.267</c:v>
                </c:pt>
                <c:pt idx="33">
                  <c:v>169.4</c:v>
                </c:pt>
                <c:pt idx="34">
                  <c:v>174.53299999999999</c:v>
                </c:pt>
                <c:pt idx="35">
                  <c:v>179.667</c:v>
                </c:pt>
                <c:pt idx="36">
                  <c:v>184.8</c:v>
                </c:pt>
                <c:pt idx="37">
                  <c:v>189.93299999999999</c:v>
                </c:pt>
                <c:pt idx="38">
                  <c:v>195.06700000000001</c:v>
                </c:pt>
                <c:pt idx="39">
                  <c:v>200.2</c:v>
                </c:pt>
                <c:pt idx="40">
                  <c:v>205.333</c:v>
                </c:pt>
                <c:pt idx="41">
                  <c:v>210.46700000000001</c:v>
                </c:pt>
                <c:pt idx="42">
                  <c:v>215.6</c:v>
                </c:pt>
                <c:pt idx="43">
                  <c:v>220.733</c:v>
                </c:pt>
                <c:pt idx="44">
                  <c:v>225.86699999999999</c:v>
                </c:pt>
                <c:pt idx="45">
                  <c:v>231</c:v>
                </c:pt>
                <c:pt idx="46">
                  <c:v>236.13300000000001</c:v>
                </c:pt>
                <c:pt idx="47">
                  <c:v>241.267</c:v>
                </c:pt>
                <c:pt idx="48">
                  <c:v>246.4</c:v>
                </c:pt>
                <c:pt idx="49">
                  <c:v>251.53299999999999</c:v>
                </c:pt>
                <c:pt idx="50">
                  <c:v>256.66699999999997</c:v>
                </c:pt>
                <c:pt idx="51">
                  <c:v>261.8</c:v>
                </c:pt>
                <c:pt idx="52">
                  <c:v>266.93299999999999</c:v>
                </c:pt>
                <c:pt idx="53">
                  <c:v>272.06700000000001</c:v>
                </c:pt>
                <c:pt idx="54">
                  <c:v>277.2</c:v>
                </c:pt>
                <c:pt idx="55">
                  <c:v>282.33300000000003</c:v>
                </c:pt>
                <c:pt idx="56">
                  <c:v>287.46699999999998</c:v>
                </c:pt>
                <c:pt idx="57">
                  <c:v>292.60000000000002</c:v>
                </c:pt>
                <c:pt idx="58">
                  <c:v>297.733</c:v>
                </c:pt>
                <c:pt idx="59">
                  <c:v>302.86700000000002</c:v>
                </c:pt>
                <c:pt idx="60">
                  <c:v>308</c:v>
                </c:pt>
                <c:pt idx="61">
                  <c:v>313.13299999999998</c:v>
                </c:pt>
                <c:pt idx="62">
                  <c:v>318.267</c:v>
                </c:pt>
                <c:pt idx="63">
                  <c:v>323.39999999999998</c:v>
                </c:pt>
                <c:pt idx="64">
                  <c:v>328.53300000000002</c:v>
                </c:pt>
                <c:pt idx="65">
                  <c:v>333.66699999999997</c:v>
                </c:pt>
                <c:pt idx="66">
                  <c:v>338.8</c:v>
                </c:pt>
                <c:pt idx="67">
                  <c:v>343.93299999999999</c:v>
                </c:pt>
                <c:pt idx="68">
                  <c:v>349.06700000000001</c:v>
                </c:pt>
                <c:pt idx="69">
                  <c:v>354.2</c:v>
                </c:pt>
                <c:pt idx="70">
                  <c:v>359.33300000000003</c:v>
                </c:pt>
                <c:pt idx="71">
                  <c:v>364.46699999999998</c:v>
                </c:pt>
                <c:pt idx="72">
                  <c:v>369.6</c:v>
                </c:pt>
                <c:pt idx="73">
                  <c:v>374.733</c:v>
                </c:pt>
                <c:pt idx="74">
                  <c:v>379.86700000000002</c:v>
                </c:pt>
                <c:pt idx="75">
                  <c:v>385</c:v>
                </c:pt>
                <c:pt idx="76">
                  <c:v>390.13299999999998</c:v>
                </c:pt>
                <c:pt idx="77">
                  <c:v>395.267</c:v>
                </c:pt>
                <c:pt idx="78">
                  <c:v>400.4</c:v>
                </c:pt>
                <c:pt idx="79">
                  <c:v>405.53300000000002</c:v>
                </c:pt>
                <c:pt idx="80">
                  <c:v>410.66699999999997</c:v>
                </c:pt>
                <c:pt idx="81">
                  <c:v>415.8</c:v>
                </c:pt>
                <c:pt idx="82">
                  <c:v>420.93299999999999</c:v>
                </c:pt>
                <c:pt idx="83">
                  <c:v>426.06700000000001</c:v>
                </c:pt>
                <c:pt idx="84">
                  <c:v>431.2</c:v>
                </c:pt>
                <c:pt idx="85">
                  <c:v>436.33300000000003</c:v>
                </c:pt>
                <c:pt idx="86">
                  <c:v>441.46699999999998</c:v>
                </c:pt>
                <c:pt idx="87">
                  <c:v>446.6</c:v>
                </c:pt>
                <c:pt idx="88">
                  <c:v>451.733</c:v>
                </c:pt>
                <c:pt idx="89">
                  <c:v>456.86700000000002</c:v>
                </c:pt>
                <c:pt idx="90">
                  <c:v>462</c:v>
                </c:pt>
                <c:pt idx="91">
                  <c:v>467.13299999999998</c:v>
                </c:pt>
                <c:pt idx="92">
                  <c:v>472.267</c:v>
                </c:pt>
                <c:pt idx="93">
                  <c:v>477.4</c:v>
                </c:pt>
                <c:pt idx="94">
                  <c:v>482.53300000000002</c:v>
                </c:pt>
                <c:pt idx="95">
                  <c:v>487.66699999999997</c:v>
                </c:pt>
                <c:pt idx="96">
                  <c:v>492.8</c:v>
                </c:pt>
                <c:pt idx="97">
                  <c:v>497.93299999999999</c:v>
                </c:pt>
                <c:pt idx="98">
                  <c:v>503.06700000000001</c:v>
                </c:pt>
                <c:pt idx="99">
                  <c:v>508.2</c:v>
                </c:pt>
                <c:pt idx="100">
                  <c:v>514</c:v>
                </c:pt>
              </c:numCache>
            </c:numRef>
          </c:xVal>
          <c:yVal>
            <c:numRef>
              <c:f>'REFAP dt 1'!$G$33:$G$135</c:f>
              <c:numCache>
                <c:formatCode>0.0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0.70521800000000001</c:v>
                </c:pt>
                <c:pt idx="27">
                  <c:v>1.7701800000000001</c:v>
                </c:pt>
                <c:pt idx="28">
                  <c:v>2.3845100000000001</c:v>
                </c:pt>
                <c:pt idx="29">
                  <c:v>2.84592</c:v>
                </c:pt>
                <c:pt idx="30">
                  <c:v>3.2262900000000001</c:v>
                </c:pt>
                <c:pt idx="31">
                  <c:v>3.5522900000000002</c:v>
                </c:pt>
                <c:pt idx="32">
                  <c:v>3.8428800000000001</c:v>
                </c:pt>
                <c:pt idx="33">
                  <c:v>4.1039199999999996</c:v>
                </c:pt>
                <c:pt idx="34">
                  <c:v>4.3440000000000003</c:v>
                </c:pt>
                <c:pt idx="35">
                  <c:v>4.5664400000000001</c:v>
                </c:pt>
                <c:pt idx="36">
                  <c:v>4.7739399999999996</c:v>
                </c:pt>
                <c:pt idx="37">
                  <c:v>4.9550200000000002</c:v>
                </c:pt>
                <c:pt idx="38">
                  <c:v>5.0666900000000004</c:v>
                </c:pt>
                <c:pt idx="39">
                  <c:v>5.2442500000000001</c:v>
                </c:pt>
                <c:pt idx="40">
                  <c:v>5.3236499999999998</c:v>
                </c:pt>
                <c:pt idx="41">
                  <c:v>5.4991099999999999</c:v>
                </c:pt>
                <c:pt idx="42">
                  <c:v>5.6063099999999997</c:v>
                </c:pt>
                <c:pt idx="43">
                  <c:v>5.77942</c:v>
                </c:pt>
                <c:pt idx="44">
                  <c:v>5.8888699999999998</c:v>
                </c:pt>
                <c:pt idx="45">
                  <c:v>6.0545499999999999</c:v>
                </c:pt>
                <c:pt idx="46">
                  <c:v>6.1706599999999998</c:v>
                </c:pt>
                <c:pt idx="47">
                  <c:v>6.3209200000000001</c:v>
                </c:pt>
                <c:pt idx="48">
                  <c:v>6.4378399999999996</c:v>
                </c:pt>
                <c:pt idx="49">
                  <c:v>6.5790100000000002</c:v>
                </c:pt>
                <c:pt idx="50">
                  <c:v>6.6982799999999996</c:v>
                </c:pt>
                <c:pt idx="51">
                  <c:v>6.8312200000000001</c:v>
                </c:pt>
                <c:pt idx="52">
                  <c:v>6.9743300000000001</c:v>
                </c:pt>
                <c:pt idx="53">
                  <c:v>7.1676000000000002</c:v>
                </c:pt>
                <c:pt idx="54">
                  <c:v>7.3424899999999997</c:v>
                </c:pt>
                <c:pt idx="55">
                  <c:v>7.5514000000000001</c:v>
                </c:pt>
                <c:pt idx="56">
                  <c:v>7.7394999999999996</c:v>
                </c:pt>
                <c:pt idx="57">
                  <c:v>7.9053399999999998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8-4B63-8A11-1329CF505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32832"/>
        <c:axId val="3986309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7"/>
                <c:tx>
                  <c:strRef>
                    <c:extLst>
                      <c:ext uri="{02D57815-91ED-43cb-92C2-25804820EDAC}">
                        <c15:formulaRef>
                          <c15:sqref>'REFAP dt 1'!$AH$32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'REFAP dt 1'!$AF$33:$AF$153</c15:sqref>
                        </c15:formulaRef>
                      </c:ext>
                    </c:extLst>
                    <c:numCache>
                      <c:formatCode>General</c:formatCode>
                      <c:ptCount val="12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'REFAP dt 1'!$AH$33:$AH$153</c15:sqref>
                        </c15:formulaRef>
                      </c:ext>
                    </c:extLst>
                    <c:numCache>
                      <c:formatCode>0.0</c:formatCode>
                      <c:ptCount val="1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8518-4B63-8A11-1329CF5053D4}"/>
                  </c:ext>
                </c:extLst>
              </c15:ser>
            </c15:filteredScatterSeries>
          </c:ext>
        </c:extLst>
      </c:scatterChart>
      <c:valAx>
        <c:axId val="398626816"/>
        <c:scaling>
          <c:orientation val="minMax"/>
          <c:max val="6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Tempo (min)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8736"/>
        <c:crosses val="autoZero"/>
        <c:crossBetween val="midCat"/>
      </c:valAx>
      <c:valAx>
        <c:axId val="398628736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Temperatura (°C)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26816"/>
        <c:crosses val="autoZero"/>
        <c:crossBetween val="midCat"/>
      </c:valAx>
      <c:valAx>
        <c:axId val="398630912"/>
        <c:scaling>
          <c:orientation val="minMax"/>
          <c:max val="50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Nível de água (m) &amp; Vazão</a:t>
                </a:r>
                <a:r>
                  <a:rPr lang="pt-BR" baseline="0"/>
                  <a:t> de Vapor (t/h)</a:t>
                </a:r>
                <a:endParaRPr lang="pt-BR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32832"/>
        <c:crosses val="max"/>
        <c:crossBetween val="midCat"/>
      </c:valAx>
      <c:valAx>
        <c:axId val="3986328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39863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tabSelected="1" zoomScale="9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57149</xdr:rowOff>
    </xdr:from>
    <xdr:to>
      <xdr:col>14</xdr:col>
      <xdr:colOff>485775</xdr:colOff>
      <xdr:row>29</xdr:row>
      <xdr:rowOff>161924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7" sqref="S27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200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H190</f>
        <v>40</v>
      </c>
      <c r="T21" t="s">
        <v>46</v>
      </c>
      <c r="AC21" s="1"/>
    </row>
    <row r="22" spans="1:42" x14ac:dyDescent="0.25">
      <c r="R22" s="11" t="s">
        <v>50</v>
      </c>
      <c r="S22" s="1">
        <f>F191/1000</f>
        <v>405.11099999999999</v>
      </c>
      <c r="T22" t="s">
        <v>54</v>
      </c>
      <c r="AC22" s="1"/>
    </row>
    <row r="23" spans="1:42" x14ac:dyDescent="0.25">
      <c r="R23" s="11" t="s">
        <v>51</v>
      </c>
      <c r="S23" s="1">
        <f>F192/1000</f>
        <v>14.9133</v>
      </c>
      <c r="T23" t="s">
        <v>54</v>
      </c>
      <c r="U23" s="13"/>
    </row>
    <row r="24" spans="1:42" x14ac:dyDescent="0.25">
      <c r="R24" s="11" t="s">
        <v>52</v>
      </c>
      <c r="S24" s="1">
        <f>G193/1000</f>
        <v>520.78800000000001</v>
      </c>
      <c r="T24" t="s">
        <v>54</v>
      </c>
    </row>
    <row r="25" spans="1:42" x14ac:dyDescent="0.25">
      <c r="R25" t="s">
        <v>53</v>
      </c>
      <c r="S25" s="1">
        <f>S22-S23-S24</f>
        <v>-130.59030000000001</v>
      </c>
      <c r="T25" t="s">
        <v>54</v>
      </c>
    </row>
    <row r="26" spans="1:42" x14ac:dyDescent="0.25">
      <c r="R26" s="11" t="s">
        <v>48</v>
      </c>
      <c r="S26" s="9">
        <f>D195</f>
        <v>-32.235700000000001</v>
      </c>
      <c r="T26" t="s">
        <v>49</v>
      </c>
    </row>
    <row r="27" spans="1:42" ht="15" customHeight="1" x14ac:dyDescent="0.25">
      <c r="R27" s="11" t="s">
        <v>44</v>
      </c>
      <c r="S27" s="1">
        <f>B149</f>
        <v>143.179</v>
      </c>
      <c r="T27" t="s">
        <v>38</v>
      </c>
    </row>
    <row r="28" spans="1:42" ht="15" customHeight="1" x14ac:dyDescent="0.25">
      <c r="S28" s="9">
        <f>S27/60</f>
        <v>2.3863166666666666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3.3333300000000001</v>
      </c>
      <c r="B34" s="1">
        <v>391.98399999999998</v>
      </c>
      <c r="C34" s="1">
        <v>433.4</v>
      </c>
      <c r="D34" s="1">
        <v>433.4</v>
      </c>
      <c r="E34" s="1">
        <v>433.4</v>
      </c>
      <c r="F34" s="9">
        <v>3</v>
      </c>
      <c r="G34" s="9">
        <v>0</v>
      </c>
      <c r="H34" s="1">
        <v>379.59500000000003</v>
      </c>
      <c r="I34" s="1">
        <v>413.91800000000001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6.6666699999999999</v>
      </c>
      <c r="B35" s="1">
        <v>391.31599999999997</v>
      </c>
      <c r="C35" s="1">
        <v>433.4</v>
      </c>
      <c r="D35" s="1">
        <v>433.36500000000001</v>
      </c>
      <c r="E35" s="1">
        <v>433.4</v>
      </c>
      <c r="F35" s="9">
        <v>3</v>
      </c>
      <c r="G35" s="9">
        <v>0</v>
      </c>
      <c r="H35" s="1">
        <v>381.00200000000001</v>
      </c>
      <c r="I35" s="1">
        <v>413.46899999999999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10</v>
      </c>
      <c r="B36" s="1">
        <v>391.27300000000002</v>
      </c>
      <c r="C36" s="1">
        <v>431.80500000000001</v>
      </c>
      <c r="D36" s="1">
        <v>432.791</v>
      </c>
      <c r="E36" s="1">
        <v>433.38799999999998</v>
      </c>
      <c r="F36" s="9">
        <v>3</v>
      </c>
      <c r="G36" s="9">
        <v>0</v>
      </c>
      <c r="H36" s="1">
        <v>380.96499999999997</v>
      </c>
      <c r="I36" s="1">
        <v>413.45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13.333299999999999</v>
      </c>
      <c r="B37" s="1">
        <v>391.18299999999999</v>
      </c>
      <c r="C37" s="1">
        <v>431.72899999999998</v>
      </c>
      <c r="D37" s="1">
        <v>432.76499999999999</v>
      </c>
      <c r="E37" s="1">
        <v>433.33800000000002</v>
      </c>
      <c r="F37" s="9">
        <v>3</v>
      </c>
      <c r="G37" s="9">
        <v>0</v>
      </c>
      <c r="H37" s="1">
        <v>379.72899999999998</v>
      </c>
      <c r="I37" s="1">
        <v>412.93599999999998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16.666699999999999</v>
      </c>
      <c r="B38" s="1">
        <v>391.09399999999999</v>
      </c>
      <c r="C38" s="1">
        <v>429.964</v>
      </c>
      <c r="D38" s="1">
        <v>432.25400000000002</v>
      </c>
      <c r="E38" s="1">
        <v>433.32499999999999</v>
      </c>
      <c r="F38" s="9">
        <v>3</v>
      </c>
      <c r="G38" s="9">
        <v>0</v>
      </c>
      <c r="H38" s="1">
        <v>379.70299999999997</v>
      </c>
      <c r="I38" s="1">
        <v>412.911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20</v>
      </c>
      <c r="B39" s="1">
        <v>391.02600000000001</v>
      </c>
      <c r="C39" s="1">
        <v>429.90699999999998</v>
      </c>
      <c r="D39" s="1">
        <v>432.22300000000001</v>
      </c>
      <c r="E39" s="1">
        <v>433.28399999999999</v>
      </c>
      <c r="F39" s="9">
        <v>3</v>
      </c>
      <c r="G39" s="9">
        <v>0</v>
      </c>
      <c r="H39" s="1">
        <v>378.33499999999998</v>
      </c>
      <c r="I39" s="1">
        <v>412.43900000000002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23.333300000000001</v>
      </c>
      <c r="B40" s="1">
        <v>390.947</v>
      </c>
      <c r="C40" s="1">
        <v>427.57900000000001</v>
      </c>
      <c r="D40" s="1">
        <v>431.69299999999998</v>
      </c>
      <c r="E40" s="1">
        <v>433.267</v>
      </c>
      <c r="F40" s="9">
        <v>3</v>
      </c>
      <c r="G40" s="9">
        <v>0</v>
      </c>
      <c r="H40" s="1">
        <v>378.327</v>
      </c>
      <c r="I40" s="1">
        <v>412.416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26.666699999999999</v>
      </c>
      <c r="B41" s="1">
        <v>390.87299999999999</v>
      </c>
      <c r="C41" s="1">
        <v>427.55599999999998</v>
      </c>
      <c r="D41" s="1">
        <v>431.66500000000002</v>
      </c>
      <c r="E41" s="1">
        <v>433.23200000000003</v>
      </c>
      <c r="F41" s="9">
        <v>3</v>
      </c>
      <c r="G41" s="9">
        <v>0</v>
      </c>
      <c r="H41" s="1">
        <v>376.52300000000002</v>
      </c>
      <c r="I41" s="1">
        <v>411.92700000000002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30</v>
      </c>
      <c r="B42" s="1">
        <v>317.00099999999998</v>
      </c>
      <c r="C42" s="1">
        <v>427.55599999999998</v>
      </c>
      <c r="D42" s="1">
        <v>431.16800000000001</v>
      </c>
      <c r="E42" s="1">
        <v>433.21100000000001</v>
      </c>
      <c r="F42" s="9">
        <v>10</v>
      </c>
      <c r="G42" s="9">
        <v>0</v>
      </c>
      <c r="H42" s="1">
        <v>376.55200000000002</v>
      </c>
      <c r="I42" s="1">
        <v>411.9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33.333300000000001</v>
      </c>
      <c r="B43" s="1">
        <v>310.94600000000003</v>
      </c>
      <c r="C43" s="1">
        <v>427.55599999999998</v>
      </c>
      <c r="D43" s="1">
        <v>431.16800000000001</v>
      </c>
      <c r="E43" s="1">
        <v>433.21100000000001</v>
      </c>
      <c r="F43" s="9">
        <v>10</v>
      </c>
      <c r="G43" s="9">
        <v>0</v>
      </c>
      <c r="H43" s="1">
        <v>340.88900000000001</v>
      </c>
      <c r="I43" s="1">
        <v>405.596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36.666699999999999</v>
      </c>
      <c r="B44" s="1">
        <v>310.78100000000001</v>
      </c>
      <c r="C44" s="1">
        <v>427.55599999999998</v>
      </c>
      <c r="D44" s="1">
        <v>430.52699999999999</v>
      </c>
      <c r="E44" s="1">
        <v>433.20699999999999</v>
      </c>
      <c r="F44" s="9">
        <v>10</v>
      </c>
      <c r="G44" s="9">
        <v>0</v>
      </c>
      <c r="H44" s="1">
        <v>342.15</v>
      </c>
      <c r="I44" s="1">
        <v>405.56099999999998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40</v>
      </c>
      <c r="B45" s="1">
        <v>310.69900000000001</v>
      </c>
      <c r="C45" s="1">
        <v>424.86099999999999</v>
      </c>
      <c r="D45" s="1">
        <v>430.47899999999998</v>
      </c>
      <c r="E45" s="1">
        <v>432.8</v>
      </c>
      <c r="F45" s="9">
        <v>10</v>
      </c>
      <c r="G45" s="9">
        <v>0</v>
      </c>
      <c r="H45" s="1">
        <v>342.10500000000002</v>
      </c>
      <c r="I45" s="1">
        <v>405.00200000000001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43.333300000000001</v>
      </c>
      <c r="B46" s="1">
        <v>310.51100000000002</v>
      </c>
      <c r="C46" s="1">
        <v>424.7</v>
      </c>
      <c r="D46" s="1">
        <v>429.84</v>
      </c>
      <c r="E46" s="1">
        <v>432.78399999999999</v>
      </c>
      <c r="F46" s="9">
        <v>10</v>
      </c>
      <c r="G46" s="9">
        <v>0</v>
      </c>
      <c r="H46" s="1">
        <v>340.42399999999998</v>
      </c>
      <c r="I46" s="1">
        <v>404.96699999999998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46.666699999999999</v>
      </c>
      <c r="B47" s="1">
        <v>310.40600000000001</v>
      </c>
      <c r="C47" s="1">
        <v>421.97399999999999</v>
      </c>
      <c r="D47" s="1">
        <v>429.79399999999998</v>
      </c>
      <c r="E47" s="1">
        <v>432.50099999999998</v>
      </c>
      <c r="F47" s="9">
        <v>10</v>
      </c>
      <c r="G47" s="9">
        <v>0</v>
      </c>
      <c r="H47" s="1">
        <v>340.38299999999998</v>
      </c>
      <c r="I47" s="1">
        <v>404.39600000000002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50</v>
      </c>
      <c r="B48" s="1">
        <v>310.26299999999998</v>
      </c>
      <c r="C48" s="1">
        <v>421.82299999999998</v>
      </c>
      <c r="D48" s="1">
        <v>429.18099999999998</v>
      </c>
      <c r="E48" s="1">
        <v>432.46499999999997</v>
      </c>
      <c r="F48" s="9">
        <v>10</v>
      </c>
      <c r="G48" s="9">
        <v>0</v>
      </c>
      <c r="H48" s="1">
        <v>338.68200000000002</v>
      </c>
      <c r="I48" s="1">
        <v>404.358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53.333300000000001</v>
      </c>
      <c r="B49" s="1">
        <v>310.14999999999998</v>
      </c>
      <c r="C49" s="1">
        <v>419.01</v>
      </c>
      <c r="D49" s="1">
        <v>429.13</v>
      </c>
      <c r="E49" s="1">
        <v>432.23200000000003</v>
      </c>
      <c r="F49" s="9">
        <v>10</v>
      </c>
      <c r="G49" s="9">
        <v>0</v>
      </c>
      <c r="H49" s="1">
        <v>338.64699999999999</v>
      </c>
      <c r="I49" s="1">
        <v>403.81599999999997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56.666699999999999</v>
      </c>
      <c r="B50" s="1">
        <v>310.00299999999999</v>
      </c>
      <c r="C50" s="1">
        <v>418.87599999999998</v>
      </c>
      <c r="D50" s="1">
        <v>428.56400000000002</v>
      </c>
      <c r="E50" s="1">
        <v>432.18299999999999</v>
      </c>
      <c r="F50" s="9">
        <v>10</v>
      </c>
      <c r="G50" s="9">
        <v>0</v>
      </c>
      <c r="H50" s="1">
        <v>336.89100000000002</v>
      </c>
      <c r="I50" s="1">
        <v>403.77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60</v>
      </c>
      <c r="B51" s="1">
        <v>309.92</v>
      </c>
      <c r="C51" s="1">
        <v>415.80900000000003</v>
      </c>
      <c r="D51" s="1">
        <v>428.50599999999997</v>
      </c>
      <c r="E51" s="1">
        <v>431.98500000000001</v>
      </c>
      <c r="F51" s="9">
        <v>10</v>
      </c>
      <c r="G51" s="9">
        <v>0</v>
      </c>
      <c r="H51" s="1">
        <v>336.86799999999999</v>
      </c>
      <c r="I51" s="1">
        <v>403.267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63.333300000000001</v>
      </c>
      <c r="B52" s="1">
        <v>309.77199999999999</v>
      </c>
      <c r="C52" s="1">
        <v>415.70499999999998</v>
      </c>
      <c r="D52" s="1">
        <v>427.94</v>
      </c>
      <c r="E52" s="1">
        <v>431.92099999999999</v>
      </c>
      <c r="F52" s="9">
        <v>10</v>
      </c>
      <c r="G52" s="9">
        <v>0</v>
      </c>
      <c r="H52" s="1">
        <v>334.952</v>
      </c>
      <c r="I52" s="1">
        <v>403.22199999999998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66.666700000000006</v>
      </c>
      <c r="B53" s="1">
        <v>309.67899999999997</v>
      </c>
      <c r="C53" s="1">
        <v>415.70499999999998</v>
      </c>
      <c r="D53" s="1">
        <v>427.88299999999998</v>
      </c>
      <c r="E53" s="1">
        <v>431.75099999999998</v>
      </c>
      <c r="F53" s="9">
        <v>10</v>
      </c>
      <c r="G53" s="9">
        <v>0</v>
      </c>
      <c r="H53" s="1">
        <v>334.952</v>
      </c>
      <c r="I53" s="1">
        <v>402.71600000000001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70</v>
      </c>
      <c r="B54" s="1">
        <v>309.56099999999998</v>
      </c>
      <c r="C54" s="1">
        <v>407.53300000000002</v>
      </c>
      <c r="D54" s="1">
        <v>427.32400000000001</v>
      </c>
      <c r="E54" s="1">
        <v>431.67399999999998</v>
      </c>
      <c r="F54" s="9">
        <v>10</v>
      </c>
      <c r="G54" s="9">
        <v>0</v>
      </c>
      <c r="H54" s="1">
        <v>334.952</v>
      </c>
      <c r="I54" s="1">
        <v>402.67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73.333299999999994</v>
      </c>
      <c r="B55" s="1">
        <v>309.447</v>
      </c>
      <c r="C55" s="1">
        <v>407.53199999999998</v>
      </c>
      <c r="D55" s="1">
        <v>427.26499999999999</v>
      </c>
      <c r="E55" s="1">
        <v>431.517</v>
      </c>
      <c r="F55" s="9">
        <v>10</v>
      </c>
      <c r="G55" s="9">
        <v>0</v>
      </c>
      <c r="H55" s="1">
        <v>329.84100000000001</v>
      </c>
      <c r="I55" s="1">
        <v>402.17599999999999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76.666700000000006</v>
      </c>
      <c r="B56" s="1">
        <v>309.322</v>
      </c>
      <c r="C56" s="1">
        <v>407.53199999999998</v>
      </c>
      <c r="D56" s="1">
        <v>426.74599999999998</v>
      </c>
      <c r="E56" s="1">
        <v>431.43400000000003</v>
      </c>
      <c r="F56" s="9">
        <v>10</v>
      </c>
      <c r="G56" s="9">
        <v>0</v>
      </c>
      <c r="H56" s="1">
        <v>330.00900000000001</v>
      </c>
      <c r="I56" s="1">
        <v>402.12200000000001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80</v>
      </c>
      <c r="B57" s="1">
        <v>309.23700000000002</v>
      </c>
      <c r="C57" s="1">
        <v>403.67500000000001</v>
      </c>
      <c r="D57" s="1">
        <v>426.67899999999997</v>
      </c>
      <c r="E57" s="1">
        <v>431.28800000000001</v>
      </c>
      <c r="F57" s="9">
        <v>10</v>
      </c>
      <c r="G57" s="9">
        <v>0</v>
      </c>
      <c r="H57" s="1">
        <v>330.00299999999999</v>
      </c>
      <c r="I57" s="1">
        <v>401.661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83.333299999999994</v>
      </c>
      <c r="B58" s="1">
        <v>309.101</v>
      </c>
      <c r="C58" s="1">
        <v>403.63200000000001</v>
      </c>
      <c r="D58" s="1">
        <v>426.16300000000001</v>
      </c>
      <c r="E58" s="1">
        <v>431.19499999999999</v>
      </c>
      <c r="F58" s="9">
        <v>10</v>
      </c>
      <c r="G58" s="9">
        <v>0</v>
      </c>
      <c r="H58" s="1">
        <v>327.58800000000002</v>
      </c>
      <c r="I58" s="1">
        <v>401.608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86.666700000000006</v>
      </c>
      <c r="B59" s="1">
        <v>309.00299999999999</v>
      </c>
      <c r="C59" s="1">
        <v>403.63200000000001</v>
      </c>
      <c r="D59" s="1">
        <v>426.096</v>
      </c>
      <c r="E59" s="1">
        <v>431.06200000000001</v>
      </c>
      <c r="F59" s="9">
        <v>10</v>
      </c>
      <c r="G59" s="9">
        <v>0</v>
      </c>
      <c r="H59" s="1">
        <v>327.64</v>
      </c>
      <c r="I59" s="1">
        <v>401.14400000000001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90</v>
      </c>
      <c r="B60" s="1">
        <v>308.89699999999999</v>
      </c>
      <c r="C60" s="1">
        <v>399.06700000000001</v>
      </c>
      <c r="D60" s="1">
        <v>425.59</v>
      </c>
      <c r="E60" s="1">
        <v>430.96100000000001</v>
      </c>
      <c r="F60" s="9">
        <v>10</v>
      </c>
      <c r="G60" s="9">
        <v>0</v>
      </c>
      <c r="H60" s="1">
        <v>327.63799999999998</v>
      </c>
      <c r="I60" s="1">
        <v>401.089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93.333299999999994</v>
      </c>
      <c r="B61" s="1">
        <v>308.78699999999998</v>
      </c>
      <c r="C61" s="1">
        <v>399.04599999999999</v>
      </c>
      <c r="D61" s="1">
        <v>425.52</v>
      </c>
      <c r="E61" s="1">
        <v>430.83199999999999</v>
      </c>
      <c r="F61" s="9">
        <v>10</v>
      </c>
      <c r="G61" s="9">
        <v>0</v>
      </c>
      <c r="H61" s="1">
        <v>324.77699999999999</v>
      </c>
      <c r="I61" s="1">
        <v>400.64100000000002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96.666700000000006</v>
      </c>
      <c r="B62" s="1">
        <v>308.66800000000001</v>
      </c>
      <c r="C62" s="1">
        <v>399.04599999999999</v>
      </c>
      <c r="D62" s="1">
        <v>425.04500000000002</v>
      </c>
      <c r="E62" s="1">
        <v>430.73</v>
      </c>
      <c r="F62" s="9">
        <v>10</v>
      </c>
      <c r="G62" s="9">
        <v>0</v>
      </c>
      <c r="H62" s="1">
        <v>324.85500000000002</v>
      </c>
      <c r="I62" s="1">
        <v>400.57900000000001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100</v>
      </c>
      <c r="B63" s="1">
        <v>308.58199999999999</v>
      </c>
      <c r="C63" s="1">
        <v>394.85700000000003</v>
      </c>
      <c r="D63" s="1">
        <v>424.96899999999999</v>
      </c>
      <c r="E63" s="1">
        <v>430.60399999999998</v>
      </c>
      <c r="F63" s="9">
        <v>10</v>
      </c>
      <c r="G63" s="9">
        <v>0</v>
      </c>
      <c r="H63" s="1">
        <v>324.85300000000001</v>
      </c>
      <c r="I63" s="1">
        <v>400.15499999999997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103.333</v>
      </c>
      <c r="B64" s="1">
        <v>308.45600000000002</v>
      </c>
      <c r="C64" s="1">
        <v>394.83100000000002</v>
      </c>
      <c r="D64" s="1">
        <v>424.49299999999999</v>
      </c>
      <c r="E64" s="1">
        <v>430.49599999999998</v>
      </c>
      <c r="F64" s="9">
        <v>10</v>
      </c>
      <c r="G64" s="9">
        <v>0</v>
      </c>
      <c r="H64" s="1">
        <v>322.226</v>
      </c>
      <c r="I64" s="1">
        <v>400.09399999999999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106.667</v>
      </c>
      <c r="B65" s="1">
        <v>308.35399999999998</v>
      </c>
      <c r="C65" s="1">
        <v>394.83100000000002</v>
      </c>
      <c r="D65" s="1">
        <v>424.41800000000001</v>
      </c>
      <c r="E65" s="1">
        <v>430.37700000000001</v>
      </c>
      <c r="F65" s="9">
        <v>10</v>
      </c>
      <c r="G65" s="9">
        <v>0</v>
      </c>
      <c r="H65" s="1">
        <v>322.29199999999997</v>
      </c>
      <c r="I65" s="1">
        <v>399.66699999999997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110</v>
      </c>
      <c r="B66" s="1">
        <v>308.255</v>
      </c>
      <c r="C66" s="1">
        <v>390.62799999999999</v>
      </c>
      <c r="D66" s="1">
        <v>423.95400000000001</v>
      </c>
      <c r="E66" s="1">
        <v>430.26600000000002</v>
      </c>
      <c r="F66" s="9">
        <v>10</v>
      </c>
      <c r="G66" s="9">
        <v>0</v>
      </c>
      <c r="H66" s="1">
        <v>322.29000000000002</v>
      </c>
      <c r="I66" s="1">
        <v>399.60300000000001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113.333</v>
      </c>
      <c r="B67" s="1">
        <v>308.14299999999997</v>
      </c>
      <c r="C67" s="1">
        <v>390.60500000000002</v>
      </c>
      <c r="D67" s="1">
        <v>423.87400000000002</v>
      </c>
      <c r="E67" s="1">
        <v>430.14699999999999</v>
      </c>
      <c r="F67" s="9">
        <v>10</v>
      </c>
      <c r="G67" s="9">
        <v>0</v>
      </c>
      <c r="H67" s="1">
        <v>319.65300000000002</v>
      </c>
      <c r="I67" s="1">
        <v>399.19200000000001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116.667</v>
      </c>
      <c r="B68" s="1">
        <v>308.02999999999997</v>
      </c>
      <c r="C68" s="1">
        <v>390.60500000000002</v>
      </c>
      <c r="D68" s="1">
        <v>423.43900000000002</v>
      </c>
      <c r="E68" s="1">
        <v>430.036</v>
      </c>
      <c r="F68" s="9">
        <v>10</v>
      </c>
      <c r="G68" s="9">
        <v>0</v>
      </c>
      <c r="H68" s="1">
        <v>319.71899999999999</v>
      </c>
      <c r="I68" s="1">
        <v>399.12099999999998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120</v>
      </c>
      <c r="B69" s="1">
        <v>307.94200000000001</v>
      </c>
      <c r="C69" s="1">
        <v>386.505</v>
      </c>
      <c r="D69" s="1">
        <v>423.35199999999998</v>
      </c>
      <c r="E69" s="1">
        <v>429.91899999999998</v>
      </c>
      <c r="F69" s="9">
        <v>10</v>
      </c>
      <c r="G69" s="9">
        <v>0</v>
      </c>
      <c r="H69" s="1">
        <v>319.71699999999998</v>
      </c>
      <c r="I69" s="1">
        <v>398.73200000000003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123.333</v>
      </c>
      <c r="B70" s="1">
        <v>307.822</v>
      </c>
      <c r="C70" s="1">
        <v>386.48200000000003</v>
      </c>
      <c r="D70" s="1">
        <v>422.91800000000001</v>
      </c>
      <c r="E70" s="1">
        <v>429.80399999999997</v>
      </c>
      <c r="F70" s="9">
        <v>10</v>
      </c>
      <c r="G70" s="9">
        <v>0</v>
      </c>
      <c r="H70" s="1">
        <v>317.142</v>
      </c>
      <c r="I70" s="1">
        <v>398.66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126.667</v>
      </c>
      <c r="B71" s="1">
        <v>307.71800000000002</v>
      </c>
      <c r="C71" s="1">
        <v>386.48200000000003</v>
      </c>
      <c r="D71" s="1">
        <v>422.83199999999999</v>
      </c>
      <c r="E71" s="1">
        <v>429.69099999999997</v>
      </c>
      <c r="F71" s="9">
        <v>10</v>
      </c>
      <c r="G71" s="9">
        <v>0</v>
      </c>
      <c r="H71" s="1">
        <v>317.20499999999998</v>
      </c>
      <c r="I71" s="1">
        <v>398.27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130</v>
      </c>
      <c r="B72" s="1">
        <v>307.62400000000002</v>
      </c>
      <c r="C72" s="1">
        <v>382.44600000000003</v>
      </c>
      <c r="D72" s="1">
        <v>422.40800000000002</v>
      </c>
      <c r="E72" s="1">
        <v>429.57499999999999</v>
      </c>
      <c r="F72" s="9">
        <v>10</v>
      </c>
      <c r="G72" s="9">
        <v>0</v>
      </c>
      <c r="H72" s="1">
        <v>317.20299999999997</v>
      </c>
      <c r="I72" s="1">
        <v>398.19600000000003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133.333</v>
      </c>
      <c r="B73" s="1">
        <v>414.91500000000002</v>
      </c>
      <c r="C73" s="1">
        <v>382.42500000000001</v>
      </c>
      <c r="D73" s="1">
        <v>422.31700000000001</v>
      </c>
      <c r="E73" s="1">
        <v>429.46</v>
      </c>
      <c r="F73" s="9">
        <v>0.12887799999999999</v>
      </c>
      <c r="G73" s="9">
        <v>0</v>
      </c>
      <c r="H73" s="1">
        <v>314.66800000000001</v>
      </c>
      <c r="I73" s="1">
        <v>397.82100000000003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136.667</v>
      </c>
      <c r="B74" s="1">
        <v>246.26499999999999</v>
      </c>
      <c r="C74" s="1">
        <v>314.66800000000001</v>
      </c>
      <c r="D74" s="1">
        <v>422.31700000000001</v>
      </c>
      <c r="E74" s="1">
        <v>429.46</v>
      </c>
      <c r="F74" s="9">
        <v>18.5291</v>
      </c>
      <c r="G74" s="9">
        <v>5.1696200000000001</v>
      </c>
      <c r="H74" s="1">
        <v>71.4756</v>
      </c>
      <c r="I74" s="1">
        <v>420.23099999999999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140</v>
      </c>
      <c r="B75" s="1">
        <v>206.13399999999999</v>
      </c>
      <c r="C75" s="1">
        <v>314.66800000000001</v>
      </c>
      <c r="D75" s="1">
        <v>422.31700000000001</v>
      </c>
      <c r="E75" s="1">
        <v>429.46</v>
      </c>
      <c r="F75" s="9">
        <v>30</v>
      </c>
      <c r="G75" s="9">
        <v>5.1419100000000002</v>
      </c>
      <c r="H75" s="1">
        <v>73.891099999999994</v>
      </c>
      <c r="I75" s="1">
        <v>192.95699999999999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143.333</v>
      </c>
      <c r="B76" s="1">
        <v>391.53399999999999</v>
      </c>
      <c r="C76" s="1">
        <v>312.19099999999997</v>
      </c>
      <c r="D76" s="1">
        <v>422.291</v>
      </c>
      <c r="E76" s="1">
        <v>429.46</v>
      </c>
      <c r="F76" s="9">
        <v>0.100538</v>
      </c>
      <c r="G76" s="9">
        <v>5.1419100000000002</v>
      </c>
      <c r="H76" s="1">
        <v>73.153300000000002</v>
      </c>
      <c r="I76" s="1">
        <v>154.39599999999999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146.667</v>
      </c>
      <c r="B77" s="1">
        <v>428.072</v>
      </c>
      <c r="C77" s="1">
        <v>299.61700000000002</v>
      </c>
      <c r="D77" s="1">
        <v>422.26</v>
      </c>
      <c r="E77" s="1">
        <v>429.46</v>
      </c>
      <c r="F77" s="9">
        <v>8.7329400000000001E-2</v>
      </c>
      <c r="G77" s="9">
        <v>5.3672500000000003</v>
      </c>
      <c r="H77" s="1">
        <v>73.151899999999998</v>
      </c>
      <c r="I77" s="1">
        <v>115.179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150</v>
      </c>
      <c r="B78" s="1">
        <v>429.19900000000001</v>
      </c>
      <c r="C78" s="1">
        <v>297.92899999999997</v>
      </c>
      <c r="D78" s="1">
        <v>422.173</v>
      </c>
      <c r="E78" s="1">
        <v>429.46</v>
      </c>
      <c r="F78" s="9">
        <v>0.100512</v>
      </c>
      <c r="G78" s="9">
        <v>5.5874100000000002</v>
      </c>
      <c r="H78" s="1">
        <v>72.043899999999994</v>
      </c>
      <c r="I78" s="1">
        <v>98.524100000000004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153.333</v>
      </c>
      <c r="B79" s="1">
        <v>429.32600000000002</v>
      </c>
      <c r="C79" s="1">
        <v>297.92899999999997</v>
      </c>
      <c r="D79" s="1">
        <v>422.173</v>
      </c>
      <c r="E79" s="1">
        <v>429.46</v>
      </c>
      <c r="F79" s="9">
        <v>6.04185E-2</v>
      </c>
      <c r="G79" s="9">
        <v>5.9170299999999996</v>
      </c>
      <c r="H79" s="1">
        <v>72.212900000000005</v>
      </c>
      <c r="I79" s="1">
        <v>99.126199999999997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156.667</v>
      </c>
      <c r="B80" s="1">
        <v>429.33300000000003</v>
      </c>
      <c r="C80" s="1">
        <v>291.53199999999998</v>
      </c>
      <c r="D80" s="1">
        <v>422.173</v>
      </c>
      <c r="E80" s="1">
        <v>429.46</v>
      </c>
      <c r="F80" s="9">
        <v>5.9087800000000003E-2</v>
      </c>
      <c r="G80" s="9">
        <v>6.1375500000000001</v>
      </c>
      <c r="H80" s="1">
        <v>72.163399999999996</v>
      </c>
      <c r="I80" s="1">
        <v>99.382800000000003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160</v>
      </c>
      <c r="B81" s="1">
        <v>429.33499999999998</v>
      </c>
      <c r="C81" s="1">
        <v>289.00700000000001</v>
      </c>
      <c r="D81" s="1">
        <v>416.48500000000001</v>
      </c>
      <c r="E81" s="1">
        <v>429.46</v>
      </c>
      <c r="F81" s="9">
        <v>5.8315600000000002E-2</v>
      </c>
      <c r="G81" s="9">
        <v>6.3582299999999998</v>
      </c>
      <c r="H81" s="1">
        <v>71.606700000000004</v>
      </c>
      <c r="I81" s="1">
        <v>99.063199999999995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163.333</v>
      </c>
      <c r="B82" s="1">
        <v>429.26299999999998</v>
      </c>
      <c r="C82" s="1">
        <v>283.34199999999998</v>
      </c>
      <c r="D82" s="1">
        <v>412.49599999999998</v>
      </c>
      <c r="E82" s="1">
        <v>429.46</v>
      </c>
      <c r="F82" s="9">
        <v>8.6869299999999997E-2</v>
      </c>
      <c r="G82" s="9">
        <v>6.5792400000000004</v>
      </c>
      <c r="H82" s="1">
        <v>71.540199999999999</v>
      </c>
      <c r="I82" s="1">
        <v>98.392700000000005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166.667</v>
      </c>
      <c r="B83" s="1">
        <v>429.334</v>
      </c>
      <c r="C83" s="1">
        <v>280.77699999999999</v>
      </c>
      <c r="D83" s="1">
        <v>407.67500000000001</v>
      </c>
      <c r="E83" s="1">
        <v>429.46</v>
      </c>
      <c r="F83" s="9">
        <v>5.7926499999999999E-2</v>
      </c>
      <c r="G83" s="9">
        <v>6.9112200000000001</v>
      </c>
      <c r="H83" s="1">
        <v>71.049300000000002</v>
      </c>
      <c r="I83" s="1">
        <v>97.956800000000001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170</v>
      </c>
      <c r="B84" s="1">
        <v>429.33600000000001</v>
      </c>
      <c r="C84" s="1">
        <v>275.83100000000002</v>
      </c>
      <c r="D84" s="1">
        <v>403.59500000000003</v>
      </c>
      <c r="E84" s="1">
        <v>429.46</v>
      </c>
      <c r="F84" s="9">
        <v>5.7872100000000003E-2</v>
      </c>
      <c r="G84" s="9">
        <v>7.1333599999999997</v>
      </c>
      <c r="H84" s="1">
        <v>70.957499999999996</v>
      </c>
      <c r="I84" s="1">
        <v>97.360100000000003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173.333</v>
      </c>
      <c r="B85" s="1">
        <v>429.33600000000001</v>
      </c>
      <c r="C85" s="1">
        <v>273.19</v>
      </c>
      <c r="D85" s="1">
        <v>399.09199999999998</v>
      </c>
      <c r="E85" s="1">
        <v>429.46</v>
      </c>
      <c r="F85" s="9">
        <v>5.7891499999999999E-2</v>
      </c>
      <c r="G85" s="9">
        <v>7.35555</v>
      </c>
      <c r="H85" s="1">
        <v>70.534999999999997</v>
      </c>
      <c r="I85" s="1">
        <v>96.891499999999994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176.667</v>
      </c>
      <c r="B86" s="1">
        <v>425.30599999999998</v>
      </c>
      <c r="C86" s="1">
        <v>268.84500000000003</v>
      </c>
      <c r="D86" s="1">
        <v>394.95600000000002</v>
      </c>
      <c r="E86" s="1">
        <v>429.46</v>
      </c>
      <c r="F86" s="9">
        <v>0.66725900000000005</v>
      </c>
      <c r="G86" s="9">
        <v>7.5780500000000002</v>
      </c>
      <c r="H86" s="1">
        <v>70.414199999999994</v>
      </c>
      <c r="I86" s="1">
        <v>96.352699999999999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180</v>
      </c>
      <c r="B87" s="1">
        <v>423.56400000000002</v>
      </c>
      <c r="C87" s="1">
        <v>266.12599999999998</v>
      </c>
      <c r="D87" s="1">
        <v>390.67</v>
      </c>
      <c r="E87" s="1">
        <v>429.46</v>
      </c>
      <c r="F87" s="9">
        <v>0.72970900000000005</v>
      </c>
      <c r="G87" s="9">
        <v>7.7985899999999999</v>
      </c>
      <c r="H87" s="1">
        <v>70.051299999999998</v>
      </c>
      <c r="I87" s="1">
        <v>95.870400000000004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183.333</v>
      </c>
      <c r="B88" s="1">
        <v>428.89699999999999</v>
      </c>
      <c r="C88" s="1">
        <v>262.23500000000001</v>
      </c>
      <c r="D88" s="1">
        <v>386.56700000000001</v>
      </c>
      <c r="E88" s="1">
        <v>429.46</v>
      </c>
      <c r="F88" s="9">
        <v>8.4437600000000002E-2</v>
      </c>
      <c r="G88" s="9">
        <v>8.1288400000000003</v>
      </c>
      <c r="H88" s="1">
        <v>69.903999999999996</v>
      </c>
      <c r="I88" s="1">
        <v>95.361999999999995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186.667</v>
      </c>
      <c r="B89" s="1">
        <v>425.89800000000002</v>
      </c>
      <c r="C89" s="1">
        <v>259.46100000000001</v>
      </c>
      <c r="D89" s="1">
        <v>382.43200000000002</v>
      </c>
      <c r="E89" s="1">
        <v>429.46</v>
      </c>
      <c r="F89" s="9">
        <v>0.581488</v>
      </c>
      <c r="G89" s="9">
        <v>8.3526399999999992</v>
      </c>
      <c r="H89" s="1">
        <v>69.587299999999999</v>
      </c>
      <c r="I89" s="1">
        <v>94.880399999999995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190</v>
      </c>
      <c r="B90" s="1">
        <v>424.34899999999999</v>
      </c>
      <c r="C90" s="1">
        <v>255.90600000000001</v>
      </c>
      <c r="D90" s="1">
        <v>378.37799999999999</v>
      </c>
      <c r="E90" s="1">
        <v>429.46</v>
      </c>
      <c r="F90" s="9">
        <v>0.62857600000000002</v>
      </c>
      <c r="G90" s="9">
        <v>8.5746699999999993</v>
      </c>
      <c r="H90" s="1">
        <v>69.419700000000006</v>
      </c>
      <c r="I90" s="1">
        <v>94.397400000000005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193.333</v>
      </c>
      <c r="B91" s="1">
        <v>422.09899999999999</v>
      </c>
      <c r="C91" s="1">
        <v>253.11</v>
      </c>
      <c r="D91" s="1">
        <v>374.37099999999998</v>
      </c>
      <c r="E91" s="1">
        <v>429.46</v>
      </c>
      <c r="F91" s="9">
        <v>0.73230099999999998</v>
      </c>
      <c r="G91" s="9">
        <v>8.7968899999999994</v>
      </c>
      <c r="H91" s="1">
        <v>69.136899999999997</v>
      </c>
      <c r="I91" s="1">
        <v>93.9208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196.667</v>
      </c>
      <c r="B92" s="1">
        <v>425.19499999999999</v>
      </c>
      <c r="C92" s="1">
        <v>249.804</v>
      </c>
      <c r="D92" s="1">
        <v>370.42099999999999</v>
      </c>
      <c r="E92" s="1">
        <v>429.46</v>
      </c>
      <c r="F92" s="9">
        <v>0.51752299999999996</v>
      </c>
      <c r="G92" s="9">
        <v>9.1291899999999995</v>
      </c>
      <c r="H92" s="1">
        <v>68.955500000000001</v>
      </c>
      <c r="I92" s="1">
        <v>93.447999999999993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200</v>
      </c>
      <c r="B93" s="1">
        <v>424.37799999999999</v>
      </c>
      <c r="C93" s="1">
        <v>247.01599999999999</v>
      </c>
      <c r="D93" s="1">
        <v>366.50799999999998</v>
      </c>
      <c r="E93" s="1">
        <v>429.46</v>
      </c>
      <c r="F93" s="9">
        <v>0.57808099999999996</v>
      </c>
      <c r="G93" s="9">
        <v>9.3542900000000007</v>
      </c>
      <c r="H93" s="1">
        <v>68.697400000000002</v>
      </c>
      <c r="I93" s="1">
        <v>92.983800000000002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203.333</v>
      </c>
      <c r="B94" s="1">
        <v>422.03199999999998</v>
      </c>
      <c r="C94" s="1">
        <v>243.905</v>
      </c>
      <c r="D94" s="1">
        <v>362.65699999999998</v>
      </c>
      <c r="E94" s="1">
        <v>429.46</v>
      </c>
      <c r="F94" s="9">
        <v>0.68456499999999998</v>
      </c>
      <c r="G94" s="9">
        <v>9.5776800000000009</v>
      </c>
      <c r="H94" s="1">
        <v>68.507599999999996</v>
      </c>
      <c r="I94" s="1">
        <v>92.521900000000002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206.667</v>
      </c>
      <c r="B95" s="1">
        <v>425.38799999999998</v>
      </c>
      <c r="C95" s="1">
        <v>241.149</v>
      </c>
      <c r="D95" s="1">
        <v>358.84300000000002</v>
      </c>
      <c r="E95" s="1">
        <v>429.46</v>
      </c>
      <c r="F95" s="9">
        <v>0.46842800000000001</v>
      </c>
      <c r="G95" s="9">
        <v>9.9117800000000003</v>
      </c>
      <c r="H95" s="1">
        <v>68.267600000000002</v>
      </c>
      <c r="I95" s="1">
        <v>92.067899999999995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210</v>
      </c>
      <c r="B96" s="1">
        <v>424.435</v>
      </c>
      <c r="C96" s="1">
        <v>238.19399999999999</v>
      </c>
      <c r="D96" s="1">
        <v>355.08499999999998</v>
      </c>
      <c r="E96" s="1">
        <v>429.46</v>
      </c>
      <c r="F96" s="9">
        <v>0.53357100000000002</v>
      </c>
      <c r="G96" s="9">
        <v>10.1364</v>
      </c>
      <c r="H96" s="1">
        <v>68.073499999999996</v>
      </c>
      <c r="I96" s="1">
        <v>91.617400000000004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213.333</v>
      </c>
      <c r="B97" s="1">
        <v>422.48500000000001</v>
      </c>
      <c r="C97" s="1">
        <v>235.48599999999999</v>
      </c>
      <c r="D97" s="1">
        <v>351.37</v>
      </c>
      <c r="E97" s="1">
        <v>429.46</v>
      </c>
      <c r="F97" s="9">
        <v>0.60011300000000001</v>
      </c>
      <c r="G97" s="9">
        <v>10.360900000000001</v>
      </c>
      <c r="H97" s="1">
        <v>67.847300000000004</v>
      </c>
      <c r="I97" s="1">
        <v>91.173100000000005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216.667</v>
      </c>
      <c r="B98" s="1">
        <v>406.88</v>
      </c>
      <c r="C98" s="1">
        <v>232.66300000000001</v>
      </c>
      <c r="D98" s="1">
        <v>347.70299999999997</v>
      </c>
      <c r="E98" s="1">
        <v>429.46</v>
      </c>
      <c r="F98" s="9">
        <v>1.0406299999999999</v>
      </c>
      <c r="G98" s="9">
        <v>10.5854</v>
      </c>
      <c r="H98" s="1">
        <v>67.652000000000001</v>
      </c>
      <c r="I98" s="1">
        <v>90.733500000000006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220</v>
      </c>
      <c r="B99" s="1">
        <v>421.73200000000003</v>
      </c>
      <c r="C99" s="1">
        <v>230.01400000000001</v>
      </c>
      <c r="D99" s="1">
        <v>344.08100000000002</v>
      </c>
      <c r="E99" s="1">
        <v>429.46</v>
      </c>
      <c r="F99" s="9">
        <v>0.49228699999999997</v>
      </c>
      <c r="G99" s="9">
        <v>10.9199</v>
      </c>
      <c r="H99" s="1">
        <v>67.436300000000003</v>
      </c>
      <c r="I99" s="1">
        <v>90.299099999999996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223.333</v>
      </c>
      <c r="B100" s="1">
        <v>421.84699999999998</v>
      </c>
      <c r="C100" s="1">
        <v>227.304</v>
      </c>
      <c r="D100" s="1">
        <v>340.50599999999997</v>
      </c>
      <c r="E100" s="1">
        <v>429.46</v>
      </c>
      <c r="F100" s="9">
        <v>0.56261700000000003</v>
      </c>
      <c r="G100" s="9">
        <v>11.1456</v>
      </c>
      <c r="H100" s="1">
        <v>67.241799999999998</v>
      </c>
      <c r="I100" s="1">
        <v>89.869699999999995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226.667</v>
      </c>
      <c r="B101" s="1">
        <v>419.23700000000002</v>
      </c>
      <c r="C101" s="1">
        <v>224.72200000000001</v>
      </c>
      <c r="D101" s="1">
        <v>336.97500000000002</v>
      </c>
      <c r="E101" s="1">
        <v>429.46</v>
      </c>
      <c r="F101" s="9">
        <v>0.63171299999999997</v>
      </c>
      <c r="G101" s="9">
        <v>11.3713</v>
      </c>
      <c r="H101" s="1">
        <v>67.034800000000004</v>
      </c>
      <c r="I101" s="1">
        <v>89.4452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230</v>
      </c>
      <c r="B102" s="1">
        <v>397.97500000000002</v>
      </c>
      <c r="C102" s="1">
        <v>222.114</v>
      </c>
      <c r="D102" s="1">
        <v>333.46600000000001</v>
      </c>
      <c r="E102" s="1">
        <v>429.46</v>
      </c>
      <c r="F102" s="9">
        <v>1.1104799999999999</v>
      </c>
      <c r="G102" s="9">
        <v>11.5969</v>
      </c>
      <c r="H102" s="1">
        <v>66.842299999999994</v>
      </c>
      <c r="I102" s="1">
        <v>89.031099999999995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233.333</v>
      </c>
      <c r="B103" s="1">
        <v>417.77</v>
      </c>
      <c r="C103" s="1">
        <v>219.602</v>
      </c>
      <c r="D103" s="1">
        <v>330.00400000000002</v>
      </c>
      <c r="E103" s="1">
        <v>429.46</v>
      </c>
      <c r="F103" s="9">
        <v>0.53030699999999997</v>
      </c>
      <c r="G103" s="9">
        <v>11.932600000000001</v>
      </c>
      <c r="H103" s="1">
        <v>66.642499999999998</v>
      </c>
      <c r="I103" s="1">
        <v>88.621399999999994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236.667</v>
      </c>
      <c r="B104" s="1">
        <v>417.62299999999999</v>
      </c>
      <c r="C104" s="1">
        <v>217.08699999999999</v>
      </c>
      <c r="D104" s="1">
        <v>326.63</v>
      </c>
      <c r="E104" s="1">
        <v>429.46</v>
      </c>
      <c r="F104" s="9">
        <v>0.60343400000000003</v>
      </c>
      <c r="G104" s="9">
        <v>12.1594</v>
      </c>
      <c r="H104" s="1">
        <v>66.453000000000003</v>
      </c>
      <c r="I104" s="1">
        <v>88.204999999999998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240</v>
      </c>
      <c r="B105" s="1">
        <v>394.60199999999998</v>
      </c>
      <c r="C105" s="1">
        <v>214.64699999999999</v>
      </c>
      <c r="D105" s="1">
        <v>323.26600000000002</v>
      </c>
      <c r="E105" s="1">
        <v>429.46</v>
      </c>
      <c r="F105" s="9">
        <v>1.0604</v>
      </c>
      <c r="G105" s="9">
        <v>12.386100000000001</v>
      </c>
      <c r="H105" s="1">
        <v>66.259399999999999</v>
      </c>
      <c r="I105" s="1">
        <v>87.801299999999998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243.333</v>
      </c>
      <c r="B106" s="1">
        <v>416.08</v>
      </c>
      <c r="C106" s="1">
        <v>212.21799999999999</v>
      </c>
      <c r="D106" s="1">
        <v>319.95499999999998</v>
      </c>
      <c r="E106" s="1">
        <v>429.46</v>
      </c>
      <c r="F106" s="9">
        <v>0.50928099999999998</v>
      </c>
      <c r="G106" s="9">
        <v>12.7235</v>
      </c>
      <c r="H106" s="1">
        <v>66.073300000000003</v>
      </c>
      <c r="I106" s="1">
        <v>87.4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246.667</v>
      </c>
      <c r="B107" s="1">
        <v>415.40199999999999</v>
      </c>
      <c r="C107" s="1">
        <v>209.85</v>
      </c>
      <c r="D107" s="1">
        <v>316.68799999999999</v>
      </c>
      <c r="E107" s="1">
        <v>429.46</v>
      </c>
      <c r="F107" s="9">
        <v>0.585171</v>
      </c>
      <c r="G107" s="9">
        <v>12.9514</v>
      </c>
      <c r="H107" s="1">
        <v>65.885400000000004</v>
      </c>
      <c r="I107" s="1">
        <v>87.002399999999994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250</v>
      </c>
      <c r="B108" s="1">
        <v>389.12700000000001</v>
      </c>
      <c r="C108" s="1">
        <v>207.50200000000001</v>
      </c>
      <c r="D108" s="1">
        <v>313.452</v>
      </c>
      <c r="E108" s="1">
        <v>429.46</v>
      </c>
      <c r="F108" s="9">
        <v>1.03041</v>
      </c>
      <c r="G108" s="9">
        <v>13.1791</v>
      </c>
      <c r="H108" s="1">
        <v>65.703000000000003</v>
      </c>
      <c r="I108" s="1">
        <v>86.611800000000002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253.333</v>
      </c>
      <c r="B109" s="1">
        <v>413.20400000000001</v>
      </c>
      <c r="C109" s="1">
        <v>205.20500000000001</v>
      </c>
      <c r="D109" s="1">
        <v>310.26600000000002</v>
      </c>
      <c r="E109" s="1">
        <v>429.46</v>
      </c>
      <c r="F109" s="9">
        <v>0.49813200000000002</v>
      </c>
      <c r="G109" s="9">
        <v>13.5181</v>
      </c>
      <c r="H109" s="1">
        <v>65.520200000000003</v>
      </c>
      <c r="I109" s="1">
        <v>86.223100000000002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256.66699999999997</v>
      </c>
      <c r="B110" s="1">
        <v>411.76299999999998</v>
      </c>
      <c r="C110" s="1">
        <v>202.934</v>
      </c>
      <c r="D110" s="1">
        <v>307.113</v>
      </c>
      <c r="E110" s="1">
        <v>429.46</v>
      </c>
      <c r="F110" s="9">
        <v>0.57666200000000001</v>
      </c>
      <c r="G110" s="9">
        <v>13.747</v>
      </c>
      <c r="H110" s="1">
        <v>65.341800000000006</v>
      </c>
      <c r="I110" s="1">
        <v>85.840999999999994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260</v>
      </c>
      <c r="B111" s="1">
        <v>380.70699999999999</v>
      </c>
      <c r="C111" s="1">
        <v>200.708</v>
      </c>
      <c r="D111" s="1">
        <v>304.00400000000002</v>
      </c>
      <c r="E111" s="1">
        <v>429.46</v>
      </c>
      <c r="F111" s="9">
        <v>1.0196400000000001</v>
      </c>
      <c r="G111" s="9">
        <v>13.9757</v>
      </c>
      <c r="H111" s="1">
        <v>65.163799999999995</v>
      </c>
      <c r="I111" s="1">
        <v>85.461799999999997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263.33300000000003</v>
      </c>
      <c r="B112" s="1">
        <v>169.46600000000001</v>
      </c>
      <c r="C112" s="1">
        <v>198.50899999999999</v>
      </c>
      <c r="D112" s="1">
        <v>300.93099999999998</v>
      </c>
      <c r="E112" s="1">
        <v>429.46</v>
      </c>
      <c r="F112" s="9">
        <v>30</v>
      </c>
      <c r="G112" s="9">
        <v>14.3162</v>
      </c>
      <c r="H112" s="1">
        <v>64.9893</v>
      </c>
      <c r="I112" s="1">
        <v>85.087699999999998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266.66699999999997</v>
      </c>
      <c r="B113" s="1">
        <v>332.19299999999998</v>
      </c>
      <c r="C113" s="1">
        <v>196.351</v>
      </c>
      <c r="D113" s="1">
        <v>297.899</v>
      </c>
      <c r="E113" s="1">
        <v>429.46</v>
      </c>
      <c r="F113" s="9">
        <v>1.13358</v>
      </c>
      <c r="G113" s="9">
        <v>14.3162</v>
      </c>
      <c r="H113" s="1">
        <v>64.815899999999999</v>
      </c>
      <c r="I113" s="1">
        <v>84.717500000000001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270</v>
      </c>
      <c r="B114" s="1">
        <v>327.06</v>
      </c>
      <c r="C114" s="1">
        <v>195.24600000000001</v>
      </c>
      <c r="D114" s="1">
        <v>297.416</v>
      </c>
      <c r="E114" s="1">
        <v>429.46</v>
      </c>
      <c r="F114" s="9">
        <v>1.54088</v>
      </c>
      <c r="G114" s="9">
        <v>14.7706</v>
      </c>
      <c r="H114" s="1">
        <v>64.2637</v>
      </c>
      <c r="I114" s="1">
        <v>81.486500000000007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273.33300000000003</v>
      </c>
      <c r="B115" s="1">
        <v>389.017</v>
      </c>
      <c r="C115" s="1">
        <v>195.24600000000001</v>
      </c>
      <c r="D115" s="1">
        <v>293.97199999999998</v>
      </c>
      <c r="E115" s="1">
        <v>429.46</v>
      </c>
      <c r="F115" s="9">
        <v>0.56968799999999997</v>
      </c>
      <c r="G115" s="9">
        <v>15.2211</v>
      </c>
      <c r="H115" s="1">
        <v>64.284000000000006</v>
      </c>
      <c r="I115" s="1">
        <v>81.205600000000004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276.66699999999997</v>
      </c>
      <c r="B116" s="1">
        <v>325.05700000000002</v>
      </c>
      <c r="C116" s="1">
        <v>189.89699999999999</v>
      </c>
      <c r="D116" s="1">
        <v>290.24900000000002</v>
      </c>
      <c r="E116" s="1">
        <v>429.46</v>
      </c>
      <c r="F116" s="9">
        <v>1.4326399999999999</v>
      </c>
      <c r="G116" s="9">
        <v>15.3721</v>
      </c>
      <c r="H116" s="1">
        <v>64.279200000000003</v>
      </c>
      <c r="I116" s="1">
        <v>80.9846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280</v>
      </c>
      <c r="B117" s="1">
        <v>380.50400000000002</v>
      </c>
      <c r="C117" s="1">
        <v>188.83600000000001</v>
      </c>
      <c r="D117" s="1">
        <v>287.37900000000002</v>
      </c>
      <c r="E117" s="1">
        <v>429.46</v>
      </c>
      <c r="F117" s="9">
        <v>0.57181599999999999</v>
      </c>
      <c r="G117" s="9">
        <v>15.821999999999999</v>
      </c>
      <c r="H117" s="1">
        <v>63.755000000000003</v>
      </c>
      <c r="I117" s="1">
        <v>80.605500000000006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283.33300000000003</v>
      </c>
      <c r="B118" s="1">
        <v>308.75599999999997</v>
      </c>
      <c r="C118" s="1">
        <v>188.83600000000001</v>
      </c>
      <c r="D118" s="1">
        <v>284.34699999999998</v>
      </c>
      <c r="E118" s="1">
        <v>429.46</v>
      </c>
      <c r="F118" s="9">
        <v>1.4398200000000001</v>
      </c>
      <c r="G118" s="9">
        <v>15.972899999999999</v>
      </c>
      <c r="H118" s="1">
        <v>63.770600000000002</v>
      </c>
      <c r="I118" s="1">
        <v>80.279799999999994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286.66699999999997</v>
      </c>
      <c r="B119" s="1">
        <v>367.28199999999998</v>
      </c>
      <c r="C119" s="1">
        <v>183.52799999999999</v>
      </c>
      <c r="D119" s="1">
        <v>281.50400000000002</v>
      </c>
      <c r="E119" s="1">
        <v>429.46</v>
      </c>
      <c r="F119" s="9">
        <v>0.57635499999999995</v>
      </c>
      <c r="G119" s="9">
        <v>16.423300000000001</v>
      </c>
      <c r="H119" s="1">
        <v>63.767000000000003</v>
      </c>
      <c r="I119" s="1">
        <v>79.921599999999998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290</v>
      </c>
      <c r="B120" s="1">
        <v>288.82100000000003</v>
      </c>
      <c r="C120" s="1">
        <v>182.55099999999999</v>
      </c>
      <c r="D120" s="1">
        <v>278.40800000000002</v>
      </c>
      <c r="E120" s="1">
        <v>429.46</v>
      </c>
      <c r="F120" s="9">
        <v>1.4550700000000001</v>
      </c>
      <c r="G120" s="9">
        <v>16.574400000000001</v>
      </c>
      <c r="H120" s="1">
        <v>63.242100000000001</v>
      </c>
      <c r="I120" s="1">
        <v>79.634699999999995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293.33300000000003</v>
      </c>
      <c r="B121" s="1">
        <v>348.577</v>
      </c>
      <c r="C121" s="1">
        <v>182.55099999999999</v>
      </c>
      <c r="D121" s="1">
        <v>275.72699999999998</v>
      </c>
      <c r="E121" s="1">
        <v>429.46</v>
      </c>
      <c r="F121" s="9">
        <v>0.58420300000000003</v>
      </c>
      <c r="G121" s="9">
        <v>17.025700000000001</v>
      </c>
      <c r="H121" s="1">
        <v>63.263500000000001</v>
      </c>
      <c r="I121" s="1">
        <v>79.261300000000006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296.66699999999997</v>
      </c>
      <c r="B122" s="1">
        <v>264.83499999999998</v>
      </c>
      <c r="C122" s="1">
        <v>177.767</v>
      </c>
      <c r="D122" s="1">
        <v>272.68299999999999</v>
      </c>
      <c r="E122" s="1">
        <v>429.46</v>
      </c>
      <c r="F122" s="9">
        <v>1.47763</v>
      </c>
      <c r="G122" s="9">
        <v>17.177199999999999</v>
      </c>
      <c r="H122" s="1">
        <v>63.258600000000001</v>
      </c>
      <c r="I122" s="1">
        <v>78.986800000000002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300</v>
      </c>
      <c r="B123" s="1">
        <v>321.71800000000002</v>
      </c>
      <c r="C123" s="1">
        <v>176.797</v>
      </c>
      <c r="D123" s="1">
        <v>270.01299999999998</v>
      </c>
      <c r="E123" s="1">
        <v>429.46</v>
      </c>
      <c r="F123" s="9">
        <v>0.59522699999999995</v>
      </c>
      <c r="G123" s="9">
        <v>17.629300000000001</v>
      </c>
      <c r="H123" s="1">
        <v>62.781700000000001</v>
      </c>
      <c r="I123" s="1">
        <v>78.638400000000004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303.33300000000003</v>
      </c>
      <c r="B124" s="1">
        <v>236.49</v>
      </c>
      <c r="C124" s="1">
        <v>176.797</v>
      </c>
      <c r="D124" s="1">
        <v>267.11799999999999</v>
      </c>
      <c r="E124" s="1">
        <v>429.46</v>
      </c>
      <c r="F124" s="9">
        <v>1.5070600000000001</v>
      </c>
      <c r="G124" s="9">
        <v>17.781099999999999</v>
      </c>
      <c r="H124" s="1">
        <v>62.790799999999997</v>
      </c>
      <c r="I124" s="1">
        <v>78.355699999999999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306.66699999999997</v>
      </c>
      <c r="B125" s="1">
        <v>282.53899999999999</v>
      </c>
      <c r="C125" s="1">
        <v>171.58600000000001</v>
      </c>
      <c r="D125" s="1">
        <v>264.45</v>
      </c>
      <c r="E125" s="1">
        <v>429.46</v>
      </c>
      <c r="F125" s="9">
        <v>0.60932900000000001</v>
      </c>
      <c r="G125" s="9">
        <v>18.234000000000002</v>
      </c>
      <c r="H125" s="1">
        <v>62.788699999999999</v>
      </c>
      <c r="I125" s="1">
        <v>78.033100000000005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310</v>
      </c>
      <c r="B126" s="1">
        <v>148.952</v>
      </c>
      <c r="C126" s="1">
        <v>170.76</v>
      </c>
      <c r="D126" s="1">
        <v>261.68099999999998</v>
      </c>
      <c r="E126" s="1">
        <v>429.46</v>
      </c>
      <c r="F126" s="9">
        <v>39.960999999999999</v>
      </c>
      <c r="G126" s="9">
        <v>18.386199999999999</v>
      </c>
      <c r="H126" s="1">
        <v>62.264200000000002</v>
      </c>
      <c r="I126" s="1">
        <v>77.746099999999998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313.33300000000003</v>
      </c>
      <c r="B127" s="1">
        <v>177.227</v>
      </c>
      <c r="C127" s="1">
        <v>170.76</v>
      </c>
      <c r="D127" s="1">
        <v>259.04300000000001</v>
      </c>
      <c r="E127" s="1">
        <v>429.46</v>
      </c>
      <c r="F127" s="9">
        <v>1.9790099999999999</v>
      </c>
      <c r="G127" s="9">
        <v>18.54</v>
      </c>
      <c r="H127" s="1">
        <v>62.295499999999997</v>
      </c>
      <c r="I127" s="1">
        <v>77.440700000000007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316.66699999999997</v>
      </c>
      <c r="B128" s="1">
        <v>145.636</v>
      </c>
      <c r="C128" s="1">
        <v>166.72900000000001</v>
      </c>
      <c r="D128" s="1">
        <v>256.37799999999999</v>
      </c>
      <c r="E128" s="1">
        <v>429.46</v>
      </c>
      <c r="F128" s="9">
        <v>40</v>
      </c>
      <c r="G128" s="9">
        <v>18.986499999999999</v>
      </c>
      <c r="H128" s="1">
        <v>62.288600000000002</v>
      </c>
      <c r="I128" s="1">
        <v>77.153400000000005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320</v>
      </c>
      <c r="B129" s="1">
        <v>166.072</v>
      </c>
      <c r="C129" s="1">
        <v>165.803</v>
      </c>
      <c r="D129" s="1">
        <v>253.78100000000001</v>
      </c>
      <c r="E129" s="1">
        <v>429.46</v>
      </c>
      <c r="F129" s="9">
        <v>1.4917800000000001</v>
      </c>
      <c r="G129" s="9">
        <v>18.986499999999999</v>
      </c>
      <c r="H129" s="1">
        <v>61.880299999999998</v>
      </c>
      <c r="I129" s="1">
        <v>76.861599999999996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323.33300000000003</v>
      </c>
      <c r="B130" s="1">
        <v>144.893</v>
      </c>
      <c r="C130" s="1">
        <v>161.86500000000001</v>
      </c>
      <c r="D130" s="1">
        <v>251.20599999999999</v>
      </c>
      <c r="E130" s="1">
        <v>429.46</v>
      </c>
      <c r="F130" s="9">
        <v>40</v>
      </c>
      <c r="G130" s="9">
        <v>19.286300000000001</v>
      </c>
      <c r="H130" s="1">
        <v>61.874200000000002</v>
      </c>
      <c r="I130" s="1">
        <v>76.576499999999996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326.66699999999997</v>
      </c>
      <c r="B131" s="1">
        <v>159.05199999999999</v>
      </c>
      <c r="C131" s="1">
        <v>160.995</v>
      </c>
      <c r="D131" s="1">
        <v>248.66900000000001</v>
      </c>
      <c r="E131" s="1">
        <v>429.46</v>
      </c>
      <c r="F131" s="9">
        <v>1.09704</v>
      </c>
      <c r="G131" s="9">
        <v>19.286300000000001</v>
      </c>
      <c r="H131" s="1">
        <v>61.472200000000001</v>
      </c>
      <c r="I131" s="1">
        <v>76.293599999999998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330</v>
      </c>
      <c r="B132" s="1">
        <v>143.99199999999999</v>
      </c>
      <c r="C132" s="1">
        <v>156.887</v>
      </c>
      <c r="D132" s="1">
        <v>246.16499999999999</v>
      </c>
      <c r="E132" s="1">
        <v>429.46</v>
      </c>
      <c r="F132" s="9">
        <v>39.960999999999999</v>
      </c>
      <c r="G132" s="9">
        <v>19.5884</v>
      </c>
      <c r="H132" s="1">
        <v>61.468600000000002</v>
      </c>
      <c r="I132" s="1">
        <v>76.014099999999999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333.33300000000003</v>
      </c>
      <c r="B133" s="1">
        <v>143.179</v>
      </c>
      <c r="C133" s="1">
        <v>156.114</v>
      </c>
      <c r="D133" s="1">
        <v>243.69399999999999</v>
      </c>
      <c r="E133" s="1" t="s">
        <v>57</v>
      </c>
      <c r="F133" s="9">
        <v>0</v>
      </c>
      <c r="G133" s="9">
        <v>19.742599999999999</v>
      </c>
      <c r="H133" s="1">
        <v>61.045400000000001</v>
      </c>
      <c r="I133" s="1">
        <v>75.738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336.66699999999997</v>
      </c>
      <c r="B134" s="1">
        <v>143.179</v>
      </c>
      <c r="C134" s="1">
        <v>156.114</v>
      </c>
      <c r="D134" s="1">
        <v>241.25700000000001</v>
      </c>
      <c r="E134" s="1" t="s">
        <v>57</v>
      </c>
      <c r="F134" s="9">
        <v>0</v>
      </c>
      <c r="G134" s="9">
        <v>19.799700000000001</v>
      </c>
      <c r="H134" s="1">
        <v>61.054299999999998</v>
      </c>
      <c r="I134" s="1">
        <v>75.464600000000004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340</v>
      </c>
      <c r="B135" s="1">
        <v>143.179</v>
      </c>
      <c r="C135" s="1">
        <v>151.81899999999999</v>
      </c>
      <c r="D135" s="1">
        <v>238.85</v>
      </c>
      <c r="E135" s="1" t="s">
        <v>57</v>
      </c>
      <c r="F135" s="9">
        <v>6.9623299999999999E-2</v>
      </c>
      <c r="G135" s="9">
        <v>19.8569</v>
      </c>
      <c r="H135" s="1">
        <v>61.052399999999999</v>
      </c>
      <c r="I135" s="1">
        <v>75.194800000000001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>
        <v>343.33300000000003</v>
      </c>
      <c r="B136" s="1">
        <v>143.179</v>
      </c>
      <c r="C136" s="1">
        <v>151.13900000000001</v>
      </c>
      <c r="D136" s="1">
        <v>236.47499999999999</v>
      </c>
      <c r="E136" s="1" t="s">
        <v>57</v>
      </c>
      <c r="F136" s="9">
        <v>6.9623299999999999E-2</v>
      </c>
      <c r="G136" s="9">
        <v>19.914100000000001</v>
      </c>
      <c r="H136" s="1">
        <v>60.605899999999998</v>
      </c>
      <c r="I136" s="1">
        <v>74.928399999999996</v>
      </c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>
        <v>346.66699999999997</v>
      </c>
      <c r="B137" s="1">
        <v>143.179</v>
      </c>
      <c r="C137" s="1">
        <v>151.13900000000001</v>
      </c>
      <c r="D137" s="1">
        <v>234.136</v>
      </c>
      <c r="E137" s="1" t="s">
        <v>57</v>
      </c>
      <c r="F137" s="9">
        <v>6.9623299999999999E-2</v>
      </c>
      <c r="G137" s="9">
        <v>19.971299999999999</v>
      </c>
      <c r="H137" s="1">
        <v>60.627099999999999</v>
      </c>
      <c r="I137" s="1">
        <v>74.663799999999995</v>
      </c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>
        <v>350</v>
      </c>
      <c r="B138" s="1">
        <v>143.179</v>
      </c>
      <c r="C138" s="1">
        <v>147.59899999999999</v>
      </c>
      <c r="D138" s="1">
        <v>231.82400000000001</v>
      </c>
      <c r="E138" s="1" t="s">
        <v>57</v>
      </c>
      <c r="F138" s="9">
        <v>6.9623299999999999E-2</v>
      </c>
      <c r="G138" s="9">
        <v>20.028500000000001</v>
      </c>
      <c r="H138" s="1">
        <v>60.622700000000002</v>
      </c>
      <c r="I138" s="1">
        <v>74.403099999999995</v>
      </c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>
        <v>353.33300000000003</v>
      </c>
      <c r="B139" s="1">
        <v>143.179</v>
      </c>
      <c r="C139" s="1">
        <v>146.87100000000001</v>
      </c>
      <c r="D139" s="1">
        <v>229.541</v>
      </c>
      <c r="E139" s="1" t="s">
        <v>57</v>
      </c>
      <c r="F139" s="9">
        <v>6.9623299999999999E-2</v>
      </c>
      <c r="G139" s="9">
        <v>20.085699999999999</v>
      </c>
      <c r="H139" s="1">
        <v>60.252200000000002</v>
      </c>
      <c r="I139" s="1">
        <v>74.145700000000005</v>
      </c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>
        <v>356.66699999999997</v>
      </c>
      <c r="B140" s="1">
        <v>143.179</v>
      </c>
      <c r="C140" s="1">
        <v>142.63999999999999</v>
      </c>
      <c r="D140" s="1">
        <v>227.29499999999999</v>
      </c>
      <c r="E140" s="1" t="s">
        <v>57</v>
      </c>
      <c r="F140" s="9">
        <v>6.9623299999999999E-2</v>
      </c>
      <c r="G140" s="9">
        <v>20.142900000000001</v>
      </c>
      <c r="H140" s="1">
        <v>60.251199999999997</v>
      </c>
      <c r="I140" s="1">
        <v>73.889899999999997</v>
      </c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>
        <v>360</v>
      </c>
      <c r="B141" s="1">
        <v>143.179</v>
      </c>
      <c r="C141" s="1">
        <v>142.06899999999999</v>
      </c>
      <c r="D141" s="1">
        <v>225.07300000000001</v>
      </c>
      <c r="E141" s="1" t="s">
        <v>57</v>
      </c>
      <c r="F141" s="9">
        <v>6.9623299999999999E-2</v>
      </c>
      <c r="G141" s="9">
        <v>20.200099999999999</v>
      </c>
      <c r="H141" s="1">
        <v>59.804099999999998</v>
      </c>
      <c r="I141" s="1">
        <v>73.638300000000001</v>
      </c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>
        <v>363.33300000000003</v>
      </c>
      <c r="B142" s="1">
        <v>143.179</v>
      </c>
      <c r="C142" s="1">
        <v>142.06899999999999</v>
      </c>
      <c r="D142" s="1">
        <v>222.88499999999999</v>
      </c>
      <c r="E142" s="1" t="s">
        <v>57</v>
      </c>
      <c r="F142" s="9">
        <v>6.9623299999999999E-2</v>
      </c>
      <c r="G142" s="9">
        <v>20.257300000000001</v>
      </c>
      <c r="H142" s="1">
        <v>59.832799999999999</v>
      </c>
      <c r="I142" s="1">
        <v>73.388300000000001</v>
      </c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>
        <v>366.66699999999997</v>
      </c>
      <c r="B143" s="1">
        <v>143.179</v>
      </c>
      <c r="C143" s="1">
        <v>139.054</v>
      </c>
      <c r="D143" s="1">
        <v>220.72200000000001</v>
      </c>
      <c r="E143" s="1" t="s">
        <v>57</v>
      </c>
      <c r="F143" s="9">
        <v>6.9623299999999999E-2</v>
      </c>
      <c r="G143" s="9">
        <v>20.314499999999999</v>
      </c>
      <c r="H143" s="1">
        <v>59.826999999999998</v>
      </c>
      <c r="I143" s="1">
        <v>73.142099999999999</v>
      </c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>
        <v>370</v>
      </c>
      <c r="B144" s="1">
        <v>143.179</v>
      </c>
      <c r="C144" s="1">
        <v>138.36500000000001</v>
      </c>
      <c r="D144" s="1">
        <v>218.58699999999999</v>
      </c>
      <c r="E144" s="1" t="s">
        <v>57</v>
      </c>
      <c r="F144" s="9">
        <v>6.9623299999999999E-2</v>
      </c>
      <c r="G144" s="9">
        <v>20.371700000000001</v>
      </c>
      <c r="H144" s="1">
        <v>59.506700000000002</v>
      </c>
      <c r="I144" s="1">
        <v>72.898799999999994</v>
      </c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>
        <v>373.33300000000003</v>
      </c>
      <c r="B145" s="1">
        <v>143.179</v>
      </c>
      <c r="C145" s="1">
        <v>135.809</v>
      </c>
      <c r="D145" s="1">
        <v>216.48500000000001</v>
      </c>
      <c r="E145" s="1" t="s">
        <v>57</v>
      </c>
      <c r="F145" s="9">
        <v>6.9623299999999999E-2</v>
      </c>
      <c r="G145" s="9">
        <v>20.428899999999999</v>
      </c>
      <c r="H145" s="1">
        <v>59.496299999999998</v>
      </c>
      <c r="I145" s="1">
        <v>72.657200000000003</v>
      </c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A146">
        <v>376.66699999999997</v>
      </c>
      <c r="B146" s="1">
        <v>143.179</v>
      </c>
      <c r="C146" s="1">
        <v>135.08600000000001</v>
      </c>
      <c r="D146" s="1">
        <v>214.40600000000001</v>
      </c>
      <c r="E146" s="1" t="s">
        <v>57</v>
      </c>
      <c r="F146" s="9">
        <v>6.9623299999999999E-2</v>
      </c>
      <c r="G146" s="1">
        <v>20.486000000000001</v>
      </c>
      <c r="H146" s="1">
        <v>59.2239</v>
      </c>
      <c r="I146" s="1">
        <v>72.419300000000007</v>
      </c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A147">
        <v>380</v>
      </c>
      <c r="B147">
        <v>143.179</v>
      </c>
      <c r="C147">
        <v>133.108</v>
      </c>
      <c r="D147">
        <v>212.358</v>
      </c>
      <c r="E147" t="s">
        <v>57</v>
      </c>
      <c r="F147">
        <v>6.9623299999999999E-2</v>
      </c>
      <c r="G147">
        <v>20.543199999999999</v>
      </c>
      <c r="H147">
        <v>59.199199999999998</v>
      </c>
      <c r="I147">
        <v>72.183400000000006</v>
      </c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A148">
        <v>383.33300000000003</v>
      </c>
      <c r="B148">
        <v>143.179</v>
      </c>
      <c r="C148">
        <v>132.29499999999999</v>
      </c>
      <c r="D148">
        <v>210.33500000000001</v>
      </c>
      <c r="E148" t="s">
        <v>57</v>
      </c>
      <c r="F148">
        <v>6.9623299999999999E-2</v>
      </c>
      <c r="G148">
        <v>20.6004</v>
      </c>
      <c r="H148">
        <v>58.990299999999998</v>
      </c>
      <c r="I148">
        <v>71.950500000000005</v>
      </c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A149">
        <v>386.66699999999997</v>
      </c>
      <c r="B149">
        <v>143.179</v>
      </c>
      <c r="C149">
        <v>130.74100000000001</v>
      </c>
      <c r="D149">
        <v>208.339</v>
      </c>
      <c r="E149" t="s">
        <v>57</v>
      </c>
      <c r="F149">
        <v>6.9623299999999999E-2</v>
      </c>
      <c r="G149">
        <v>20.657599999999999</v>
      </c>
      <c r="H149">
        <v>58.942599999999999</v>
      </c>
      <c r="I149">
        <v>71.720200000000006</v>
      </c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A150">
        <v>390</v>
      </c>
      <c r="B150">
        <v>143.179</v>
      </c>
      <c r="C150">
        <v>129.83699999999999</v>
      </c>
      <c r="D150">
        <v>206.37</v>
      </c>
      <c r="E150" t="s">
        <v>57</v>
      </c>
      <c r="F150">
        <v>6.9623299999999999E-2</v>
      </c>
      <c r="G150">
        <v>20.7148</v>
      </c>
      <c r="H150">
        <v>58.783000000000001</v>
      </c>
      <c r="I150">
        <v>71.4923</v>
      </c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A151">
        <v>393.33300000000003</v>
      </c>
      <c r="B151">
        <v>143.179</v>
      </c>
      <c r="C151">
        <v>128.52500000000001</v>
      </c>
      <c r="D151">
        <v>204.42599999999999</v>
      </c>
      <c r="E151" t="s">
        <v>57</v>
      </c>
      <c r="F151">
        <v>0.221054</v>
      </c>
      <c r="G151">
        <v>20.771999999999998</v>
      </c>
      <c r="H151">
        <v>58.715000000000003</v>
      </c>
      <c r="I151">
        <v>71.267200000000003</v>
      </c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A152">
        <v>396.66699999999997</v>
      </c>
      <c r="B152" s="1">
        <v>143.179</v>
      </c>
      <c r="C152">
        <v>128.49799999999999</v>
      </c>
      <c r="D152">
        <v>204.36199999999999</v>
      </c>
      <c r="E152" t="s">
        <v>57</v>
      </c>
      <c r="F152">
        <v>0.221054</v>
      </c>
      <c r="G152">
        <v>20.953600000000002</v>
      </c>
      <c r="H152">
        <v>55.654299999999999</v>
      </c>
      <c r="I152">
        <v>66.739699999999999</v>
      </c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>
        <v>400</v>
      </c>
      <c r="B153">
        <v>143.179</v>
      </c>
      <c r="C153">
        <v>128.49799999999999</v>
      </c>
      <c r="D153">
        <v>204.36199999999999</v>
      </c>
      <c r="E153" t="s">
        <v>57</v>
      </c>
      <c r="F153">
        <v>0.221054</v>
      </c>
      <c r="G153">
        <v>21.135200000000001</v>
      </c>
      <c r="H153">
        <v>55.759300000000003</v>
      </c>
      <c r="I153">
        <v>67.445099999999996</v>
      </c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A154">
        <v>403.33300000000003</v>
      </c>
      <c r="B154">
        <v>143.179</v>
      </c>
      <c r="C154">
        <v>125.761</v>
      </c>
      <c r="D154">
        <v>201.803</v>
      </c>
      <c r="E154" t="s">
        <v>57</v>
      </c>
      <c r="F154">
        <v>0.221054</v>
      </c>
      <c r="G154">
        <v>21.316800000000001</v>
      </c>
      <c r="H154">
        <v>55.755600000000001</v>
      </c>
      <c r="I154">
        <v>67.320999999999998</v>
      </c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>
        <v>406.66699999999997</v>
      </c>
      <c r="B155">
        <v>143.179</v>
      </c>
      <c r="C155">
        <v>125.018</v>
      </c>
      <c r="D155">
        <v>199.91900000000001</v>
      </c>
      <c r="E155" t="s">
        <v>57</v>
      </c>
      <c r="F155">
        <v>0.221054</v>
      </c>
      <c r="G155">
        <v>21.4983</v>
      </c>
      <c r="H155">
        <v>55.555100000000003</v>
      </c>
      <c r="I155">
        <v>67.081999999999994</v>
      </c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A156">
        <v>410</v>
      </c>
      <c r="B156">
        <v>143.179</v>
      </c>
      <c r="C156">
        <v>123.622</v>
      </c>
      <c r="D156">
        <v>197.72499999999999</v>
      </c>
      <c r="E156" t="s">
        <v>57</v>
      </c>
      <c r="F156">
        <v>0.221054</v>
      </c>
      <c r="G156">
        <v>21.6799</v>
      </c>
      <c r="H156">
        <v>55.5075</v>
      </c>
      <c r="I156">
        <v>66.917400000000001</v>
      </c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A157">
        <v>413.33300000000003</v>
      </c>
      <c r="B157">
        <v>143.179</v>
      </c>
      <c r="C157">
        <v>122.608</v>
      </c>
      <c r="D157">
        <v>195.74700000000001</v>
      </c>
      <c r="E157" t="s">
        <v>57</v>
      </c>
      <c r="F157">
        <v>0.221054</v>
      </c>
      <c r="G157">
        <v>21.861499999999999</v>
      </c>
      <c r="H157">
        <v>55.406700000000001</v>
      </c>
      <c r="I157">
        <v>66.719399999999993</v>
      </c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A158">
        <v>416.66699999999997</v>
      </c>
      <c r="B158">
        <v>143.179</v>
      </c>
      <c r="C158">
        <v>121.456</v>
      </c>
      <c r="D158">
        <v>193.71799999999999</v>
      </c>
      <c r="E158" t="s">
        <v>57</v>
      </c>
      <c r="F158">
        <v>0.221054</v>
      </c>
      <c r="G158">
        <v>22.043099999999999</v>
      </c>
      <c r="H158">
        <v>55.335599999999999</v>
      </c>
      <c r="I158">
        <v>66.540099999999995</v>
      </c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A159">
        <v>420</v>
      </c>
      <c r="B159" s="1">
        <v>143.179</v>
      </c>
      <c r="C159">
        <v>120.395</v>
      </c>
      <c r="D159">
        <v>191.74100000000001</v>
      </c>
      <c r="E159" t="s">
        <v>57</v>
      </c>
      <c r="F159">
        <v>0.221054</v>
      </c>
      <c r="G159">
        <v>22.224699999999999</v>
      </c>
      <c r="H159">
        <v>55.2532</v>
      </c>
      <c r="I159">
        <v>66.358599999999996</v>
      </c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A160">
        <v>423.33300000000003</v>
      </c>
      <c r="B160" s="1">
        <v>143.179</v>
      </c>
      <c r="C160">
        <v>119.31699999999999</v>
      </c>
      <c r="D160">
        <v>189.803</v>
      </c>
      <c r="E160" t="s">
        <v>57</v>
      </c>
      <c r="F160">
        <v>0.221054</v>
      </c>
      <c r="G160">
        <v>22.406300000000002</v>
      </c>
      <c r="H160">
        <v>55.177900000000001</v>
      </c>
      <c r="I160">
        <v>66.177300000000002</v>
      </c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1:42" x14ac:dyDescent="0.25">
      <c r="A161">
        <v>426.66699999999997</v>
      </c>
      <c r="B161" s="10">
        <v>143.179</v>
      </c>
      <c r="C161">
        <v>118.271</v>
      </c>
      <c r="D161">
        <v>187.869</v>
      </c>
      <c r="E161" t="s">
        <v>57</v>
      </c>
      <c r="F161">
        <v>0.221054</v>
      </c>
      <c r="G161">
        <v>22.587800000000001</v>
      </c>
      <c r="H161">
        <v>55.100999999999999</v>
      </c>
      <c r="I161">
        <v>66.003100000000003</v>
      </c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1:42" x14ac:dyDescent="0.25">
      <c r="A162">
        <v>430</v>
      </c>
      <c r="B162">
        <v>143.179</v>
      </c>
      <c r="C162">
        <v>117.23399999999999</v>
      </c>
      <c r="D162">
        <v>185.99299999999999</v>
      </c>
      <c r="E162" t="s">
        <v>57</v>
      </c>
      <c r="F162">
        <v>0.221054</v>
      </c>
      <c r="G162">
        <v>22.769400000000001</v>
      </c>
      <c r="H162">
        <v>55.026499999999999</v>
      </c>
      <c r="I162">
        <v>65.8249</v>
      </c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1:42" x14ac:dyDescent="0.25">
      <c r="A163">
        <v>433.33300000000003</v>
      </c>
      <c r="B163">
        <v>143.179</v>
      </c>
      <c r="C163">
        <v>116.217</v>
      </c>
      <c r="D163">
        <v>184.11500000000001</v>
      </c>
      <c r="E163" t="s">
        <v>57</v>
      </c>
      <c r="F163">
        <v>0.221054</v>
      </c>
      <c r="G163">
        <v>22.951000000000001</v>
      </c>
      <c r="H163">
        <v>54.952500000000001</v>
      </c>
      <c r="I163">
        <v>65.654899999999998</v>
      </c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1:42" x14ac:dyDescent="0.25">
      <c r="A164">
        <v>436.66699999999997</v>
      </c>
      <c r="B164">
        <v>143.179</v>
      </c>
      <c r="C164">
        <v>115.21299999999999</v>
      </c>
      <c r="D164">
        <v>182.292</v>
      </c>
      <c r="E164" t="s">
        <v>57</v>
      </c>
      <c r="F164">
        <v>0.221054</v>
      </c>
      <c r="G164">
        <v>23.1326</v>
      </c>
      <c r="H164">
        <v>54.879800000000003</v>
      </c>
      <c r="I164">
        <v>65.481399999999994</v>
      </c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1:42" x14ac:dyDescent="0.25">
      <c r="A165">
        <v>440</v>
      </c>
      <c r="B165">
        <v>143.179</v>
      </c>
      <c r="C165">
        <v>114.226</v>
      </c>
      <c r="D165">
        <v>180.47300000000001</v>
      </c>
      <c r="E165" t="s">
        <v>57</v>
      </c>
      <c r="F165">
        <v>0.221054</v>
      </c>
      <c r="G165">
        <v>23.3142</v>
      </c>
      <c r="H165">
        <v>54.808100000000003</v>
      </c>
      <c r="I165">
        <v>65.314599999999999</v>
      </c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1:42" x14ac:dyDescent="0.25">
      <c r="A166">
        <v>443.33300000000003</v>
      </c>
      <c r="B166">
        <v>143.179</v>
      </c>
      <c r="C166">
        <v>113.254</v>
      </c>
      <c r="D166">
        <v>178.7</v>
      </c>
      <c r="E166" t="s">
        <v>57</v>
      </c>
      <c r="F166">
        <v>0.221054</v>
      </c>
      <c r="G166">
        <v>23.495799999999999</v>
      </c>
      <c r="H166">
        <v>54.737499999999997</v>
      </c>
      <c r="I166">
        <v>65.146000000000001</v>
      </c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1:42" x14ac:dyDescent="0.25">
      <c r="A167">
        <v>446.66699999999997</v>
      </c>
      <c r="B167">
        <v>143.179</v>
      </c>
      <c r="C167">
        <v>112.297</v>
      </c>
      <c r="D167">
        <v>176.93799999999999</v>
      </c>
      <c r="E167" t="s">
        <v>57</v>
      </c>
      <c r="F167">
        <v>0.221054</v>
      </c>
      <c r="G167">
        <v>23.677399999999999</v>
      </c>
      <c r="H167">
        <v>54.6678</v>
      </c>
      <c r="I167">
        <v>64.982200000000006</v>
      </c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1:42" x14ac:dyDescent="0.25">
      <c r="A168">
        <v>450</v>
      </c>
      <c r="B168">
        <v>143.179</v>
      </c>
      <c r="C168">
        <v>111.354</v>
      </c>
      <c r="D168">
        <v>175.21299999999999</v>
      </c>
      <c r="E168" t="s">
        <v>57</v>
      </c>
      <c r="F168">
        <v>0.221054</v>
      </c>
      <c r="G168">
        <v>23.858899999999998</v>
      </c>
      <c r="H168">
        <v>54.599200000000003</v>
      </c>
      <c r="I168">
        <v>64.818200000000004</v>
      </c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1:42" x14ac:dyDescent="0.25">
      <c r="A169">
        <v>453.33300000000003</v>
      </c>
      <c r="B169">
        <v>143.179</v>
      </c>
      <c r="C169">
        <v>110.426</v>
      </c>
      <c r="D169">
        <v>173.506</v>
      </c>
      <c r="E169" t="s">
        <v>57</v>
      </c>
      <c r="F169">
        <v>0.221054</v>
      </c>
      <c r="G169">
        <v>24.040500000000002</v>
      </c>
      <c r="H169">
        <v>54.531599999999997</v>
      </c>
      <c r="I169">
        <v>64.657700000000006</v>
      </c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1:42" x14ac:dyDescent="0.25">
      <c r="A170">
        <v>456.66699999999997</v>
      </c>
      <c r="B170">
        <v>143.179</v>
      </c>
      <c r="C170">
        <v>109.51300000000001</v>
      </c>
      <c r="D170">
        <v>171.82900000000001</v>
      </c>
      <c r="E170" t="s">
        <v>57</v>
      </c>
      <c r="F170">
        <v>0.221054</v>
      </c>
      <c r="G170">
        <v>24.222100000000001</v>
      </c>
      <c r="H170">
        <v>54.465000000000003</v>
      </c>
      <c r="I170">
        <v>64.497900000000001</v>
      </c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1:42" x14ac:dyDescent="0.25">
      <c r="A171">
        <v>460</v>
      </c>
      <c r="B171">
        <v>143.179</v>
      </c>
      <c r="C171">
        <v>108.613</v>
      </c>
      <c r="D171">
        <v>170.173</v>
      </c>
      <c r="E171" t="s">
        <v>57</v>
      </c>
      <c r="F171">
        <v>0.221054</v>
      </c>
      <c r="G171">
        <v>24.403700000000001</v>
      </c>
      <c r="H171">
        <v>54.399299999999997</v>
      </c>
      <c r="I171">
        <v>64.340800000000002</v>
      </c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1:42" x14ac:dyDescent="0.25">
      <c r="A172">
        <v>463.33300000000003</v>
      </c>
      <c r="B172">
        <v>143.179</v>
      </c>
      <c r="C172">
        <v>107.727</v>
      </c>
      <c r="D172">
        <v>168.54400000000001</v>
      </c>
      <c r="E172" t="s">
        <v>57</v>
      </c>
      <c r="F172">
        <v>0.221054</v>
      </c>
      <c r="G172">
        <v>24.5853</v>
      </c>
      <c r="H172">
        <v>54.334600000000002</v>
      </c>
      <c r="I172">
        <v>64.185000000000002</v>
      </c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1:42" x14ac:dyDescent="0.25">
      <c r="A173">
        <v>466.66699999999997</v>
      </c>
      <c r="B173">
        <v>143.179</v>
      </c>
      <c r="C173">
        <v>106.855</v>
      </c>
      <c r="D173">
        <v>166.93700000000001</v>
      </c>
      <c r="E173" t="s">
        <v>57</v>
      </c>
      <c r="F173">
        <v>0.221054</v>
      </c>
      <c r="G173">
        <v>24.7669</v>
      </c>
      <c r="H173">
        <v>54.270800000000001</v>
      </c>
      <c r="I173">
        <v>64.031300000000002</v>
      </c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1:42" x14ac:dyDescent="0.25">
      <c r="A174">
        <v>470</v>
      </c>
      <c r="B174">
        <v>143.179</v>
      </c>
      <c r="C174">
        <v>105.996</v>
      </c>
      <c r="D174">
        <v>165.35499999999999</v>
      </c>
      <c r="E174" t="s">
        <v>57</v>
      </c>
      <c r="F174">
        <v>0.221054</v>
      </c>
      <c r="G174">
        <v>24.948399999999999</v>
      </c>
      <c r="H174">
        <v>54.207999999999998</v>
      </c>
      <c r="I174">
        <v>63.879199999999997</v>
      </c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1:42" x14ac:dyDescent="0.25">
      <c r="A175">
        <v>473.33300000000003</v>
      </c>
      <c r="B175">
        <v>143.179</v>
      </c>
      <c r="C175">
        <v>105.15</v>
      </c>
      <c r="D175">
        <v>163.79499999999999</v>
      </c>
      <c r="E175" t="s">
        <v>57</v>
      </c>
      <c r="F175">
        <v>0.221054</v>
      </c>
      <c r="G175">
        <v>25.13</v>
      </c>
      <c r="H175">
        <v>54.146099999999997</v>
      </c>
      <c r="I175">
        <v>63.728900000000003</v>
      </c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1:42" x14ac:dyDescent="0.25">
      <c r="A176">
        <v>476.66699999999997</v>
      </c>
      <c r="B176">
        <v>143.179</v>
      </c>
      <c r="C176">
        <v>104.318</v>
      </c>
      <c r="D176">
        <v>162.25800000000001</v>
      </c>
      <c r="E176" t="s">
        <v>57</v>
      </c>
      <c r="F176">
        <v>0.221054</v>
      </c>
      <c r="G176">
        <v>25.311599999999999</v>
      </c>
      <c r="H176">
        <v>54.085099999999997</v>
      </c>
      <c r="I176">
        <v>63.580399999999997</v>
      </c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:42" x14ac:dyDescent="0.25">
      <c r="A177">
        <v>480</v>
      </c>
      <c r="B177">
        <v>143.179</v>
      </c>
      <c r="C177">
        <v>103.498</v>
      </c>
      <c r="D177">
        <v>160.744</v>
      </c>
      <c r="E177" t="s">
        <v>57</v>
      </c>
      <c r="F177">
        <v>0.221054</v>
      </c>
      <c r="G177">
        <v>25.493200000000002</v>
      </c>
      <c r="H177">
        <v>54.024999999999999</v>
      </c>
      <c r="I177">
        <v>63.433599999999998</v>
      </c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:42" x14ac:dyDescent="0.25">
      <c r="A178">
        <v>483.33300000000003</v>
      </c>
      <c r="B178">
        <v>143.179</v>
      </c>
      <c r="C178">
        <v>102.69</v>
      </c>
      <c r="D178">
        <v>159.251</v>
      </c>
      <c r="E178" t="s">
        <v>57</v>
      </c>
      <c r="F178">
        <v>0.221054</v>
      </c>
      <c r="G178">
        <v>25.674800000000001</v>
      </c>
      <c r="H178">
        <v>53.965699999999998</v>
      </c>
      <c r="I178">
        <v>63.288600000000002</v>
      </c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:42" x14ac:dyDescent="0.25">
      <c r="A179">
        <v>486.66699999999997</v>
      </c>
      <c r="B179">
        <v>143.179</v>
      </c>
      <c r="C179">
        <v>101.895</v>
      </c>
      <c r="D179">
        <v>157.78100000000001</v>
      </c>
      <c r="E179" t="s">
        <v>57</v>
      </c>
      <c r="F179">
        <v>0.221054</v>
      </c>
      <c r="G179">
        <v>25.856400000000001</v>
      </c>
      <c r="H179">
        <v>53.907299999999999</v>
      </c>
      <c r="I179">
        <v>63.145099999999999</v>
      </c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:42" x14ac:dyDescent="0.25">
      <c r="A180">
        <v>490</v>
      </c>
      <c r="B180">
        <v>143.179</v>
      </c>
      <c r="C180">
        <v>101.113</v>
      </c>
      <c r="D180">
        <v>156.33099999999999</v>
      </c>
      <c r="E180" t="s">
        <v>57</v>
      </c>
      <c r="F180">
        <v>0.221054</v>
      </c>
      <c r="G180">
        <v>26.0379</v>
      </c>
      <c r="H180">
        <v>53.849800000000002</v>
      </c>
      <c r="I180">
        <v>63.003399999999999</v>
      </c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:42" x14ac:dyDescent="0.25">
      <c r="A181">
        <v>493.33300000000003</v>
      </c>
      <c r="B181">
        <v>143.179</v>
      </c>
      <c r="C181">
        <v>100.342</v>
      </c>
      <c r="D181">
        <v>154.90299999999999</v>
      </c>
      <c r="E181" t="s">
        <v>57</v>
      </c>
      <c r="F181">
        <v>0.221054</v>
      </c>
      <c r="G181">
        <v>26.2195</v>
      </c>
      <c r="H181">
        <v>53.793100000000003</v>
      </c>
      <c r="I181">
        <v>62.863199999999999</v>
      </c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:42" x14ac:dyDescent="0.25">
      <c r="A182">
        <v>496.66699999999997</v>
      </c>
      <c r="B182">
        <v>143.179</v>
      </c>
      <c r="C182">
        <v>99.582800000000006</v>
      </c>
      <c r="D182">
        <v>153.495</v>
      </c>
      <c r="E182" t="s">
        <v>57</v>
      </c>
      <c r="F182">
        <v>0.221054</v>
      </c>
      <c r="G182">
        <v>26.4011</v>
      </c>
      <c r="H182">
        <v>53.737200000000001</v>
      </c>
      <c r="I182">
        <v>62.724800000000002</v>
      </c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:42" x14ac:dyDescent="0.25">
      <c r="A183">
        <v>500</v>
      </c>
      <c r="B183">
        <v>143.179</v>
      </c>
      <c r="C183">
        <v>98.835300000000004</v>
      </c>
      <c r="D183">
        <v>152.10900000000001</v>
      </c>
      <c r="E183" t="s">
        <v>57</v>
      </c>
      <c r="F183">
        <v>0.221054</v>
      </c>
      <c r="G183">
        <v>26.582699999999999</v>
      </c>
      <c r="H183">
        <v>53.682200000000002</v>
      </c>
      <c r="I183">
        <v>62.587699999999998</v>
      </c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:42" x14ac:dyDescent="0.25">
      <c r="A184">
        <v>503.33300000000003</v>
      </c>
      <c r="B184">
        <v>143.179</v>
      </c>
      <c r="C184">
        <v>98.099299999999999</v>
      </c>
      <c r="D184">
        <v>150.74100000000001</v>
      </c>
      <c r="E184" t="s">
        <v>57</v>
      </c>
      <c r="F184">
        <v>0.221054</v>
      </c>
      <c r="G184">
        <v>26.764299999999999</v>
      </c>
      <c r="H184">
        <v>53.628</v>
      </c>
      <c r="I184">
        <v>62.452500000000001</v>
      </c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:42" x14ac:dyDescent="0.25">
      <c r="A185">
        <v>506.66699999999997</v>
      </c>
      <c r="B185">
        <v>143.179</v>
      </c>
      <c r="C185">
        <v>97.374499999999998</v>
      </c>
      <c r="D185">
        <v>149.39400000000001</v>
      </c>
      <c r="E185" t="s">
        <v>57</v>
      </c>
      <c r="F185">
        <v>0.221054</v>
      </c>
      <c r="G185">
        <v>26.945900000000002</v>
      </c>
      <c r="H185">
        <v>53.5745</v>
      </c>
      <c r="I185">
        <v>62.318600000000004</v>
      </c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:42" x14ac:dyDescent="0.25">
      <c r="A186">
        <v>510</v>
      </c>
      <c r="B186">
        <v>143.179</v>
      </c>
      <c r="C186">
        <v>96.660799999999995</v>
      </c>
      <c r="D186">
        <v>148.066</v>
      </c>
      <c r="E186" t="s">
        <v>57</v>
      </c>
      <c r="F186">
        <v>0.221054</v>
      </c>
      <c r="G186">
        <v>27.127400000000002</v>
      </c>
      <c r="H186">
        <v>53.521799999999999</v>
      </c>
      <c r="I186">
        <v>62.186500000000002</v>
      </c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:42" x14ac:dyDescent="0.25">
      <c r="A187">
        <v>514</v>
      </c>
      <c r="B187">
        <v>143.179</v>
      </c>
      <c r="C187">
        <v>95.957899999999995</v>
      </c>
      <c r="D187">
        <v>146.75700000000001</v>
      </c>
      <c r="E187" t="s">
        <v>57</v>
      </c>
      <c r="F187">
        <v>0.221054</v>
      </c>
      <c r="G187">
        <v>27.309000000000001</v>
      </c>
      <c r="H187">
        <v>53.47</v>
      </c>
      <c r="I187">
        <v>62.055700000000002</v>
      </c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:42" x14ac:dyDescent="0.25">
      <c r="A190" t="s">
        <v>21</v>
      </c>
      <c r="B190" t="s">
        <v>12</v>
      </c>
      <c r="C190" t="s">
        <v>22</v>
      </c>
      <c r="D190" t="s">
        <v>12</v>
      </c>
      <c r="E190" t="s">
        <v>23</v>
      </c>
      <c r="F190" t="s">
        <v>24</v>
      </c>
      <c r="G190" t="s">
        <v>5</v>
      </c>
      <c r="H190">
        <v>40</v>
      </c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:42" x14ac:dyDescent="0.25">
      <c r="A191" t="s">
        <v>25</v>
      </c>
      <c r="B191" t="s">
        <v>26</v>
      </c>
      <c r="C191" t="s">
        <v>27</v>
      </c>
      <c r="D191" t="s">
        <v>28</v>
      </c>
      <c r="E191" t="s">
        <v>5</v>
      </c>
      <c r="F191">
        <v>405111</v>
      </c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:42" x14ac:dyDescent="0.25">
      <c r="A192" t="s">
        <v>29</v>
      </c>
      <c r="B192" t="s">
        <v>26</v>
      </c>
      <c r="C192" t="s">
        <v>30</v>
      </c>
      <c r="D192" t="s">
        <v>28</v>
      </c>
      <c r="E192" t="s">
        <v>5</v>
      </c>
      <c r="F192">
        <v>14913.3</v>
      </c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:42" x14ac:dyDescent="0.25">
      <c r="A193" t="s">
        <v>25</v>
      </c>
      <c r="B193" t="s">
        <v>31</v>
      </c>
      <c r="C193" t="s">
        <v>32</v>
      </c>
      <c r="D193" t="s">
        <v>33</v>
      </c>
      <c r="E193" t="s">
        <v>28</v>
      </c>
      <c r="F193" t="s">
        <v>5</v>
      </c>
      <c r="G193">
        <v>520788</v>
      </c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:42" x14ac:dyDescent="0.25">
      <c r="A194" t="s">
        <v>34</v>
      </c>
      <c r="B194" t="s">
        <v>28</v>
      </c>
      <c r="C194" t="s">
        <v>5</v>
      </c>
      <c r="D194">
        <v>-130590</v>
      </c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:42" x14ac:dyDescent="0.25">
      <c r="A195" t="s">
        <v>35</v>
      </c>
      <c r="B195" t="s">
        <v>36</v>
      </c>
      <c r="C195" t="s">
        <v>5</v>
      </c>
      <c r="D195">
        <v>-32.235700000000001</v>
      </c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:42" x14ac:dyDescent="0.25">
      <c r="A197" t="s">
        <v>37</v>
      </c>
      <c r="B197">
        <v>23</v>
      </c>
      <c r="C197" t="s">
        <v>38</v>
      </c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100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405.11099999999999</v>
      </c>
      <c r="T22" t="s">
        <v>54</v>
      </c>
      <c r="AC22" s="1"/>
    </row>
    <row r="23" spans="1:42" x14ac:dyDescent="0.25">
      <c r="R23" s="11" t="s">
        <v>51</v>
      </c>
      <c r="S23" s="1">
        <f>F140/1000</f>
        <v>9.2741199999999999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492.428</v>
      </c>
      <c r="T24" t="s">
        <v>54</v>
      </c>
    </row>
    <row r="25" spans="1:42" x14ac:dyDescent="0.25">
      <c r="R25" t="s">
        <v>53</v>
      </c>
      <c r="S25" s="1">
        <f>S22-S23-S24</f>
        <v>-96.591119999999989</v>
      </c>
      <c r="T25" t="s">
        <v>54</v>
      </c>
    </row>
    <row r="26" spans="1:42" x14ac:dyDescent="0.25">
      <c r="R26" s="11" t="s">
        <v>48</v>
      </c>
      <c r="S26" s="9">
        <f>D143</f>
        <v>-23.8431</v>
      </c>
      <c r="T26" t="s">
        <v>49</v>
      </c>
    </row>
    <row r="27" spans="1:42" ht="15" customHeight="1" x14ac:dyDescent="0.25">
      <c r="R27" s="11" t="s">
        <v>44</v>
      </c>
      <c r="S27" s="1">
        <f>B145</f>
        <v>56</v>
      </c>
      <c r="T27" t="s">
        <v>38</v>
      </c>
    </row>
    <row r="28" spans="1:42" ht="15" customHeight="1" x14ac:dyDescent="0.25">
      <c r="S28" s="9">
        <f>S27/60</f>
        <v>0.93333333333333335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393.34500000000003</v>
      </c>
      <c r="C34" s="1">
        <v>432.49700000000001</v>
      </c>
      <c r="D34" s="1">
        <v>433.096</v>
      </c>
      <c r="E34" s="1">
        <v>433.39100000000002</v>
      </c>
      <c r="F34" s="9">
        <v>3</v>
      </c>
      <c r="G34" s="9">
        <v>0</v>
      </c>
      <c r="H34" s="1">
        <v>393.92399999999998</v>
      </c>
      <c r="I34" s="1">
        <v>418.99599999999998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393.21300000000002</v>
      </c>
      <c r="C35" s="1">
        <v>431.38499999999999</v>
      </c>
      <c r="D35" s="1">
        <v>432.80599999999998</v>
      </c>
      <c r="E35" s="1">
        <v>433.34399999999999</v>
      </c>
      <c r="F35" s="9">
        <v>3</v>
      </c>
      <c r="G35" s="9">
        <v>0</v>
      </c>
      <c r="H35" s="1">
        <v>392.28199999999998</v>
      </c>
      <c r="I35" s="1">
        <v>418.47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393.09800000000001</v>
      </c>
      <c r="C36" s="1">
        <v>429.04500000000002</v>
      </c>
      <c r="D36" s="1">
        <v>432.28</v>
      </c>
      <c r="E36" s="1">
        <v>433.30799999999999</v>
      </c>
      <c r="F36" s="9">
        <v>3</v>
      </c>
      <c r="G36" s="9">
        <v>0</v>
      </c>
      <c r="H36" s="1">
        <v>390.34100000000001</v>
      </c>
      <c r="I36" s="1">
        <v>418.19200000000001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392.99099999999999</v>
      </c>
      <c r="C37" s="1">
        <v>427.36599999999999</v>
      </c>
      <c r="D37" s="1">
        <v>432.02</v>
      </c>
      <c r="E37" s="1">
        <v>433.26400000000001</v>
      </c>
      <c r="F37" s="9">
        <v>3</v>
      </c>
      <c r="G37" s="9">
        <v>0</v>
      </c>
      <c r="H37" s="1">
        <v>388.988</v>
      </c>
      <c r="I37" s="1">
        <v>417.73599999999999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392.88600000000002</v>
      </c>
      <c r="C38" s="1">
        <v>425.601</v>
      </c>
      <c r="D38" s="1">
        <v>431.57</v>
      </c>
      <c r="E38" s="1">
        <v>433.22699999999998</v>
      </c>
      <c r="F38" s="9">
        <v>3</v>
      </c>
      <c r="G38" s="9">
        <v>0</v>
      </c>
      <c r="H38" s="1">
        <v>387.54700000000003</v>
      </c>
      <c r="I38" s="1">
        <v>417.48599999999999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318.608</v>
      </c>
      <c r="C39" s="1">
        <v>423.86700000000002</v>
      </c>
      <c r="D39" s="1">
        <v>431.32799999999997</v>
      </c>
      <c r="E39" s="1">
        <v>433.185</v>
      </c>
      <c r="F39" s="9">
        <v>10</v>
      </c>
      <c r="G39" s="9">
        <v>0</v>
      </c>
      <c r="H39" s="1">
        <v>386.13600000000002</v>
      </c>
      <c r="I39" s="1">
        <v>417.089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314.00599999999997</v>
      </c>
      <c r="C40" s="1">
        <v>422.37700000000001</v>
      </c>
      <c r="D40" s="1">
        <v>431.01400000000001</v>
      </c>
      <c r="E40" s="1">
        <v>432.96100000000001</v>
      </c>
      <c r="F40" s="9">
        <v>10</v>
      </c>
      <c r="G40" s="9">
        <v>0</v>
      </c>
      <c r="H40" s="1">
        <v>357.79899999999998</v>
      </c>
      <c r="I40" s="1">
        <v>412.38299999999998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313.76400000000001</v>
      </c>
      <c r="C41" s="1">
        <v>420.61399999999998</v>
      </c>
      <c r="D41" s="1">
        <v>430.44099999999997</v>
      </c>
      <c r="E41" s="1">
        <v>432.78100000000001</v>
      </c>
      <c r="F41" s="9">
        <v>10</v>
      </c>
      <c r="G41" s="9">
        <v>0</v>
      </c>
      <c r="H41" s="1">
        <v>355.57900000000001</v>
      </c>
      <c r="I41" s="1">
        <v>412.06799999999998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313.57900000000001</v>
      </c>
      <c r="C42" s="1">
        <v>418.34199999999998</v>
      </c>
      <c r="D42" s="1">
        <v>430.11900000000003</v>
      </c>
      <c r="E42" s="1">
        <v>432.51400000000001</v>
      </c>
      <c r="F42" s="9">
        <v>10</v>
      </c>
      <c r="G42" s="9">
        <v>0</v>
      </c>
      <c r="H42" s="1">
        <v>354.02</v>
      </c>
      <c r="I42" s="1">
        <v>411.56599999999997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313.37900000000002</v>
      </c>
      <c r="C43" s="1">
        <v>415.51600000000002</v>
      </c>
      <c r="D43" s="1">
        <v>429.59699999999998</v>
      </c>
      <c r="E43" s="1">
        <v>432.35700000000003</v>
      </c>
      <c r="F43" s="9">
        <v>10</v>
      </c>
      <c r="G43" s="9">
        <v>0</v>
      </c>
      <c r="H43" s="1">
        <v>352.084</v>
      </c>
      <c r="I43" s="1">
        <v>411.26799999999997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313.20800000000003</v>
      </c>
      <c r="C44" s="1">
        <v>412.916</v>
      </c>
      <c r="D44" s="1">
        <v>429.28300000000002</v>
      </c>
      <c r="E44" s="1">
        <v>432.14800000000002</v>
      </c>
      <c r="F44" s="9">
        <v>10</v>
      </c>
      <c r="G44" s="9">
        <v>0</v>
      </c>
      <c r="H44" s="1">
        <v>350.30099999999999</v>
      </c>
      <c r="I44" s="1">
        <v>410.80399999999997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313.02300000000002</v>
      </c>
      <c r="C45" s="1">
        <v>410.29399999999998</v>
      </c>
      <c r="D45" s="1">
        <v>428.79399999999998</v>
      </c>
      <c r="E45" s="1">
        <v>431.988</v>
      </c>
      <c r="F45" s="9">
        <v>10</v>
      </c>
      <c r="G45" s="9">
        <v>0</v>
      </c>
      <c r="H45" s="1">
        <v>348.50200000000001</v>
      </c>
      <c r="I45" s="1">
        <v>410.51299999999998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312.85500000000002</v>
      </c>
      <c r="C46" s="1">
        <v>407.71199999999999</v>
      </c>
      <c r="D46" s="1">
        <v>428.48599999999999</v>
      </c>
      <c r="E46" s="1">
        <v>431.8</v>
      </c>
      <c r="F46" s="9">
        <v>10</v>
      </c>
      <c r="G46" s="9">
        <v>0</v>
      </c>
      <c r="H46" s="1">
        <v>346.73</v>
      </c>
      <c r="I46" s="1">
        <v>410.077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312.67700000000002</v>
      </c>
      <c r="C47" s="1">
        <v>405.15300000000002</v>
      </c>
      <c r="D47" s="1">
        <v>428.02499999999998</v>
      </c>
      <c r="E47" s="1">
        <v>431.63400000000001</v>
      </c>
      <c r="F47" s="9">
        <v>10</v>
      </c>
      <c r="G47" s="9">
        <v>0</v>
      </c>
      <c r="H47" s="1">
        <v>344.97199999999998</v>
      </c>
      <c r="I47" s="1">
        <v>409.791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312.51100000000002</v>
      </c>
      <c r="C48" s="1">
        <v>402.62200000000001</v>
      </c>
      <c r="D48" s="1">
        <v>427.72</v>
      </c>
      <c r="E48" s="1">
        <v>431.45400000000001</v>
      </c>
      <c r="F48" s="9">
        <v>10</v>
      </c>
      <c r="G48" s="9">
        <v>0</v>
      </c>
      <c r="H48" s="1">
        <v>343.23200000000003</v>
      </c>
      <c r="I48" s="1">
        <v>409.37799999999999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312.33800000000002</v>
      </c>
      <c r="C49" s="1">
        <v>400.11700000000002</v>
      </c>
      <c r="D49" s="1">
        <v>427.28300000000002</v>
      </c>
      <c r="E49" s="1">
        <v>431.28399999999999</v>
      </c>
      <c r="F49" s="9">
        <v>10</v>
      </c>
      <c r="G49" s="9">
        <v>0</v>
      </c>
      <c r="H49" s="1">
        <v>341.50900000000001</v>
      </c>
      <c r="I49" s="1">
        <v>409.09500000000003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312.17200000000003</v>
      </c>
      <c r="C50" s="1">
        <v>397.63799999999998</v>
      </c>
      <c r="D50" s="1">
        <v>426.98</v>
      </c>
      <c r="E50" s="1">
        <v>431.108</v>
      </c>
      <c r="F50" s="9">
        <v>10</v>
      </c>
      <c r="G50" s="9">
        <v>0</v>
      </c>
      <c r="H50" s="1">
        <v>339.80200000000002</v>
      </c>
      <c r="I50" s="1">
        <v>408.702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312.00200000000001</v>
      </c>
      <c r="C51" s="1">
        <v>395.18400000000003</v>
      </c>
      <c r="D51" s="1">
        <v>426.56299999999999</v>
      </c>
      <c r="E51" s="1">
        <v>430.93599999999998</v>
      </c>
      <c r="F51" s="9">
        <v>10</v>
      </c>
      <c r="G51" s="9">
        <v>0</v>
      </c>
      <c r="H51" s="1">
        <v>338.113</v>
      </c>
      <c r="I51" s="1">
        <v>408.42099999999999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311.83699999999999</v>
      </c>
      <c r="C52" s="1">
        <v>392.75700000000001</v>
      </c>
      <c r="D52" s="1">
        <v>426.26100000000002</v>
      </c>
      <c r="E52" s="1">
        <v>430.762</v>
      </c>
      <c r="F52" s="9">
        <v>10</v>
      </c>
      <c r="G52" s="9">
        <v>0</v>
      </c>
      <c r="H52" s="1">
        <v>336.44</v>
      </c>
      <c r="I52" s="1">
        <v>408.04500000000002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311.67</v>
      </c>
      <c r="C53" s="1">
        <v>390.35399999999998</v>
      </c>
      <c r="D53" s="1">
        <v>425.86</v>
      </c>
      <c r="E53" s="1">
        <v>430.58800000000002</v>
      </c>
      <c r="F53" s="9">
        <v>10</v>
      </c>
      <c r="G53" s="9">
        <v>0</v>
      </c>
      <c r="H53" s="1">
        <v>334.78300000000002</v>
      </c>
      <c r="I53" s="1">
        <v>407.76400000000001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311.505</v>
      </c>
      <c r="C54" s="1">
        <v>387.97699999999998</v>
      </c>
      <c r="D54" s="1">
        <v>425.55799999999999</v>
      </c>
      <c r="E54" s="1">
        <v>430.41500000000002</v>
      </c>
      <c r="F54" s="9">
        <v>10</v>
      </c>
      <c r="G54" s="9">
        <v>0</v>
      </c>
      <c r="H54" s="1">
        <v>333.142</v>
      </c>
      <c r="I54" s="1">
        <v>407.40199999999999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311.339</v>
      </c>
      <c r="C55" s="1">
        <v>385.613</v>
      </c>
      <c r="D55" s="1">
        <v>425.17099999999999</v>
      </c>
      <c r="E55" s="1">
        <v>430.24099999999999</v>
      </c>
      <c r="F55" s="9">
        <v>10</v>
      </c>
      <c r="G55" s="9">
        <v>0</v>
      </c>
      <c r="H55" s="1">
        <v>331.51</v>
      </c>
      <c r="I55" s="1">
        <v>407.12099999999998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311.17500000000001</v>
      </c>
      <c r="C56" s="1">
        <v>383.28899999999999</v>
      </c>
      <c r="D56" s="1">
        <v>424.86799999999999</v>
      </c>
      <c r="E56" s="1">
        <v>430.06799999999998</v>
      </c>
      <c r="F56" s="9">
        <v>10</v>
      </c>
      <c r="G56" s="9">
        <v>0</v>
      </c>
      <c r="H56" s="1">
        <v>329.904</v>
      </c>
      <c r="I56" s="1">
        <v>406.77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311.01</v>
      </c>
      <c r="C57" s="1">
        <v>380.98500000000001</v>
      </c>
      <c r="D57" s="1">
        <v>424.49200000000002</v>
      </c>
      <c r="E57" s="1">
        <v>429.89400000000001</v>
      </c>
      <c r="F57" s="9">
        <v>10</v>
      </c>
      <c r="G57" s="9">
        <v>0</v>
      </c>
      <c r="H57" s="1">
        <v>328.31099999999998</v>
      </c>
      <c r="I57" s="1">
        <v>406.488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310.84699999999998</v>
      </c>
      <c r="C58" s="1">
        <v>378.70600000000002</v>
      </c>
      <c r="D58" s="1">
        <v>424.18799999999999</v>
      </c>
      <c r="E58" s="1">
        <v>429.721</v>
      </c>
      <c r="F58" s="9">
        <v>10</v>
      </c>
      <c r="G58" s="9">
        <v>0</v>
      </c>
      <c r="H58" s="1">
        <v>326.73500000000001</v>
      </c>
      <c r="I58" s="1">
        <v>406.14699999999999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310.68299999999999</v>
      </c>
      <c r="C59" s="1">
        <v>376.452</v>
      </c>
      <c r="D59" s="1">
        <v>423.822</v>
      </c>
      <c r="E59" s="1">
        <v>429.54700000000003</v>
      </c>
      <c r="F59" s="9">
        <v>10</v>
      </c>
      <c r="G59" s="9">
        <v>0</v>
      </c>
      <c r="H59" s="1">
        <v>325.17500000000001</v>
      </c>
      <c r="I59" s="1">
        <v>405.86399999999998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391.22699999999998</v>
      </c>
      <c r="C60" s="1">
        <v>342.06200000000001</v>
      </c>
      <c r="D60" s="1">
        <v>423.60199999999998</v>
      </c>
      <c r="E60" s="1">
        <v>429.43200000000002</v>
      </c>
      <c r="F60" s="9">
        <v>2.68336</v>
      </c>
      <c r="G60" s="9">
        <v>2.5992099999999998</v>
      </c>
      <c r="H60" s="1">
        <v>73.103499999999997</v>
      </c>
      <c r="I60" s="1">
        <v>422.315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429.233</v>
      </c>
      <c r="C61" s="1">
        <v>341.94099999999997</v>
      </c>
      <c r="D61" s="1">
        <v>423.60199999999998</v>
      </c>
      <c r="E61" s="1">
        <v>429.43200000000002</v>
      </c>
      <c r="F61" s="9">
        <v>8.9258799999999999E-2</v>
      </c>
      <c r="G61" s="9">
        <v>3.3541799999999999</v>
      </c>
      <c r="H61" s="1">
        <v>82.867900000000006</v>
      </c>
      <c r="I61" s="1">
        <v>422.89299999999997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429.30099999999999</v>
      </c>
      <c r="C62" s="1">
        <v>333.47899999999998</v>
      </c>
      <c r="D62" s="1">
        <v>423.60199999999998</v>
      </c>
      <c r="E62" s="1">
        <v>429.43200000000002</v>
      </c>
      <c r="F62" s="9">
        <v>6.2455799999999999E-2</v>
      </c>
      <c r="G62" s="9">
        <v>3.9222800000000002</v>
      </c>
      <c r="H62" s="1">
        <v>81.880499999999998</v>
      </c>
      <c r="I62" s="1">
        <v>423.27800000000002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429.26</v>
      </c>
      <c r="C63" s="1">
        <v>323.66500000000002</v>
      </c>
      <c r="D63" s="1">
        <v>423.60199999999998</v>
      </c>
      <c r="E63" s="1">
        <v>429.43200000000002</v>
      </c>
      <c r="F63" s="9">
        <v>7.8587699999999996E-2</v>
      </c>
      <c r="G63" s="9">
        <v>4.3128299999999999</v>
      </c>
      <c r="H63" s="1">
        <v>81.257999999999996</v>
      </c>
      <c r="I63" s="1">
        <v>419.40800000000002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429.21300000000002</v>
      </c>
      <c r="C64" s="1">
        <v>315.86200000000002</v>
      </c>
      <c r="D64" s="1">
        <v>423.60199999999998</v>
      </c>
      <c r="E64" s="1">
        <v>429.43200000000002</v>
      </c>
      <c r="F64" s="9">
        <v>9.8788699999999993E-2</v>
      </c>
      <c r="G64" s="9">
        <v>4.59389</v>
      </c>
      <c r="H64" s="1">
        <v>80.393199999999993</v>
      </c>
      <c r="I64" s="1">
        <v>407.608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429.25900000000001</v>
      </c>
      <c r="C65" s="1">
        <v>307.274</v>
      </c>
      <c r="D65" s="1">
        <v>423.60199999999998</v>
      </c>
      <c r="E65" s="1">
        <v>429.43200000000002</v>
      </c>
      <c r="F65" s="9">
        <v>7.8797500000000006E-2</v>
      </c>
      <c r="G65" s="9">
        <v>4.9119599999999997</v>
      </c>
      <c r="H65" s="1">
        <v>79.783100000000005</v>
      </c>
      <c r="I65" s="1">
        <v>125.374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429.26</v>
      </c>
      <c r="C66" s="1">
        <v>299.95999999999998</v>
      </c>
      <c r="D66" s="1">
        <v>423.6</v>
      </c>
      <c r="E66" s="1">
        <v>429.43200000000002</v>
      </c>
      <c r="F66" s="9">
        <v>7.8885499999999997E-2</v>
      </c>
      <c r="G66" s="9">
        <v>5.1433799999999996</v>
      </c>
      <c r="H66" s="1">
        <v>79.025800000000004</v>
      </c>
      <c r="I66" s="1">
        <v>113.93300000000001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429.21199999999999</v>
      </c>
      <c r="C67" s="1">
        <v>292.27699999999999</v>
      </c>
      <c r="D67" s="1">
        <v>415.34100000000001</v>
      </c>
      <c r="E67" s="1">
        <v>429.43200000000002</v>
      </c>
      <c r="F67" s="9">
        <v>9.9383299999999994E-2</v>
      </c>
      <c r="G67" s="9">
        <v>5.3658099999999997</v>
      </c>
      <c r="H67" s="1">
        <v>78.421300000000002</v>
      </c>
      <c r="I67" s="1">
        <v>111.88500000000001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429.21199999999999</v>
      </c>
      <c r="C68" s="1">
        <v>285.36</v>
      </c>
      <c r="D68" s="1">
        <v>406.68</v>
      </c>
      <c r="E68" s="1">
        <v>429.43200000000002</v>
      </c>
      <c r="F68" s="9">
        <v>9.9533999999999997E-2</v>
      </c>
      <c r="G68" s="9">
        <v>5.5866400000000001</v>
      </c>
      <c r="H68" s="1">
        <v>77.739699999999999</v>
      </c>
      <c r="I68" s="1">
        <v>110.68600000000001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429.25799999999998</v>
      </c>
      <c r="C69" s="1">
        <v>278.33499999999998</v>
      </c>
      <c r="D69" s="1">
        <v>398.49299999999999</v>
      </c>
      <c r="E69" s="1">
        <v>429.43200000000002</v>
      </c>
      <c r="F69" s="9">
        <v>7.9208799999999996E-2</v>
      </c>
      <c r="G69" s="9">
        <v>5.8631599999999997</v>
      </c>
      <c r="H69" s="1">
        <v>77.145300000000006</v>
      </c>
      <c r="I69" s="1">
        <v>109.45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429.25799999999998</v>
      </c>
      <c r="C70" s="1">
        <v>271.79300000000001</v>
      </c>
      <c r="D70" s="1">
        <v>390.50200000000001</v>
      </c>
      <c r="E70" s="1">
        <v>429.43200000000002</v>
      </c>
      <c r="F70" s="9">
        <v>7.9288499999999998E-2</v>
      </c>
      <c r="G70" s="9">
        <v>6.0848899999999997</v>
      </c>
      <c r="H70" s="1">
        <v>76.516599999999997</v>
      </c>
      <c r="I70" s="1">
        <v>108.241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429.25799999999998</v>
      </c>
      <c r="C71" s="1">
        <v>265.29000000000002</v>
      </c>
      <c r="D71" s="1">
        <v>382.678</v>
      </c>
      <c r="E71" s="1">
        <v>429.43200000000002</v>
      </c>
      <c r="F71" s="9">
        <v>7.9366000000000006E-2</v>
      </c>
      <c r="G71" s="9">
        <v>6.3069600000000001</v>
      </c>
      <c r="H71" s="1">
        <v>75.938599999999994</v>
      </c>
      <c r="I71" s="1">
        <v>107.06399999999999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429.25799999999998</v>
      </c>
      <c r="C72" s="1">
        <v>259.11900000000003</v>
      </c>
      <c r="D72" s="1">
        <v>375.04700000000003</v>
      </c>
      <c r="E72" s="1">
        <v>429.43200000000002</v>
      </c>
      <c r="F72" s="9">
        <v>7.9453599999999999E-2</v>
      </c>
      <c r="G72" s="9">
        <v>6.5294999999999996</v>
      </c>
      <c r="H72" s="1">
        <v>75.349800000000002</v>
      </c>
      <c r="I72" s="1">
        <v>105.911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429.209</v>
      </c>
      <c r="C73" s="1">
        <v>253.059</v>
      </c>
      <c r="D73" s="1">
        <v>367.59399999999999</v>
      </c>
      <c r="E73" s="1">
        <v>429.43200000000002</v>
      </c>
      <c r="F73" s="9">
        <v>0.100518</v>
      </c>
      <c r="G73" s="9">
        <v>6.7523799999999996</v>
      </c>
      <c r="H73" s="1">
        <v>74.792500000000004</v>
      </c>
      <c r="I73" s="1">
        <v>104.78400000000001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429.209</v>
      </c>
      <c r="C74" s="1">
        <v>247.25200000000001</v>
      </c>
      <c r="D74" s="1">
        <v>360.315</v>
      </c>
      <c r="E74" s="1">
        <v>429.43200000000002</v>
      </c>
      <c r="F74" s="9">
        <v>0.100661</v>
      </c>
      <c r="G74" s="9">
        <v>6.9757400000000001</v>
      </c>
      <c r="H74" s="1">
        <v>74.2363</v>
      </c>
      <c r="I74" s="1">
        <v>103.681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429.20800000000003</v>
      </c>
      <c r="C75" s="1">
        <v>241.58600000000001</v>
      </c>
      <c r="D75" s="1">
        <v>353.21</v>
      </c>
      <c r="E75" s="1">
        <v>429.43200000000002</v>
      </c>
      <c r="F75" s="9">
        <v>0.10080600000000001</v>
      </c>
      <c r="G75" s="9">
        <v>7.1994300000000004</v>
      </c>
      <c r="H75" s="1">
        <v>73.701800000000006</v>
      </c>
      <c r="I75" s="1">
        <v>102.602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429.25599999999997</v>
      </c>
      <c r="C76" s="1">
        <v>236.12700000000001</v>
      </c>
      <c r="D76" s="1">
        <v>346.26799999999997</v>
      </c>
      <c r="E76" s="1">
        <v>429.43200000000002</v>
      </c>
      <c r="F76" s="9">
        <v>7.9839199999999999E-2</v>
      </c>
      <c r="G76" s="9">
        <v>7.4794799999999997</v>
      </c>
      <c r="H76" s="1">
        <v>73.173900000000003</v>
      </c>
      <c r="I76" s="1">
        <v>101.548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429.25599999999997</v>
      </c>
      <c r="C77" s="1">
        <v>230.82</v>
      </c>
      <c r="D77" s="1">
        <v>339.49299999999999</v>
      </c>
      <c r="E77" s="1">
        <v>429.43200000000002</v>
      </c>
      <c r="F77" s="9">
        <v>7.9897700000000002E-2</v>
      </c>
      <c r="G77" s="9">
        <v>7.7039900000000001</v>
      </c>
      <c r="H77" s="1">
        <v>72.662599999999998</v>
      </c>
      <c r="I77" s="1">
        <v>100.51600000000001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429.25700000000001</v>
      </c>
      <c r="C78" s="1">
        <v>225.691</v>
      </c>
      <c r="D78" s="1">
        <v>332.875</v>
      </c>
      <c r="E78" s="1">
        <v>429.43200000000002</v>
      </c>
      <c r="F78" s="9">
        <v>7.9962199999999997E-2</v>
      </c>
      <c r="G78" s="9">
        <v>7.9288600000000002</v>
      </c>
      <c r="H78" s="1">
        <v>72.160499999999999</v>
      </c>
      <c r="I78" s="1">
        <v>99.506799999999998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429.20699999999999</v>
      </c>
      <c r="C79" s="1">
        <v>220.715</v>
      </c>
      <c r="D79" s="1">
        <v>326.41800000000001</v>
      </c>
      <c r="E79" s="1">
        <v>429.43200000000002</v>
      </c>
      <c r="F79" s="9">
        <v>0.101495</v>
      </c>
      <c r="G79" s="9">
        <v>8.1539800000000007</v>
      </c>
      <c r="H79" s="1">
        <v>71.671899999999994</v>
      </c>
      <c r="I79" s="1">
        <v>98.518199999999993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429.20699999999999</v>
      </c>
      <c r="C80" s="1">
        <v>215.89699999999999</v>
      </c>
      <c r="D80" s="1">
        <v>320.11399999999998</v>
      </c>
      <c r="E80" s="1">
        <v>429.43200000000002</v>
      </c>
      <c r="F80" s="9">
        <v>0.1016</v>
      </c>
      <c r="G80" s="9">
        <v>8.3794799999999992</v>
      </c>
      <c r="H80" s="1">
        <v>71.193799999999996</v>
      </c>
      <c r="I80" s="1">
        <v>97.551000000000002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429.255</v>
      </c>
      <c r="C81" s="1">
        <v>211.22499999999999</v>
      </c>
      <c r="D81" s="1">
        <v>313.95800000000003</v>
      </c>
      <c r="E81" s="1">
        <v>429.43200000000002</v>
      </c>
      <c r="F81" s="9">
        <v>8.0213300000000001E-2</v>
      </c>
      <c r="G81" s="9">
        <v>8.6616700000000009</v>
      </c>
      <c r="H81" s="1">
        <v>70.727500000000006</v>
      </c>
      <c r="I81" s="1">
        <v>96.605000000000004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429.255</v>
      </c>
      <c r="C82" s="1">
        <v>206.7</v>
      </c>
      <c r="D82" s="1">
        <v>307.94600000000003</v>
      </c>
      <c r="E82" s="1">
        <v>429.43200000000002</v>
      </c>
      <c r="F82" s="9">
        <v>8.0268300000000001E-2</v>
      </c>
      <c r="G82" s="9">
        <v>8.8878199999999996</v>
      </c>
      <c r="H82" s="1">
        <v>70.271699999999996</v>
      </c>
      <c r="I82" s="1">
        <v>95.679299999999998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429.25599999999997</v>
      </c>
      <c r="C83" s="1">
        <v>202.31200000000001</v>
      </c>
      <c r="D83" s="1">
        <v>302.07600000000002</v>
      </c>
      <c r="E83" s="1">
        <v>429.43200000000002</v>
      </c>
      <c r="F83" s="9">
        <v>8.0327399999999993E-2</v>
      </c>
      <c r="G83" s="9">
        <v>9.1143199999999993</v>
      </c>
      <c r="H83" s="1">
        <v>69.826700000000002</v>
      </c>
      <c r="I83" s="1">
        <v>94.773899999999998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429.25599999999997</v>
      </c>
      <c r="C84" s="1">
        <v>198.06</v>
      </c>
      <c r="D84" s="1">
        <v>296.346</v>
      </c>
      <c r="E84" s="1">
        <v>429.43200000000002</v>
      </c>
      <c r="F84" s="9">
        <v>8.0377000000000004E-2</v>
      </c>
      <c r="G84" s="9">
        <v>9.3410600000000006</v>
      </c>
      <c r="H84" s="1">
        <v>69.391999999999996</v>
      </c>
      <c r="I84" s="1">
        <v>93.887200000000007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429.20400000000001</v>
      </c>
      <c r="C85" s="1">
        <v>193.93700000000001</v>
      </c>
      <c r="D85" s="1">
        <v>290.74799999999999</v>
      </c>
      <c r="E85" s="1">
        <v>429.43200000000002</v>
      </c>
      <c r="F85" s="9">
        <v>0.10231700000000001</v>
      </c>
      <c r="G85" s="9">
        <v>9.5680300000000003</v>
      </c>
      <c r="H85" s="1">
        <v>68.967500000000001</v>
      </c>
      <c r="I85" s="1">
        <v>93.020600000000002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427.601</v>
      </c>
      <c r="C86" s="1">
        <v>189.941</v>
      </c>
      <c r="D86" s="1">
        <v>285.28199999999998</v>
      </c>
      <c r="E86" s="1">
        <v>429.43200000000002</v>
      </c>
      <c r="F86" s="9">
        <v>0.38764999999999999</v>
      </c>
      <c r="G86" s="9">
        <v>9.7953499999999991</v>
      </c>
      <c r="H86" s="1">
        <v>68.552800000000005</v>
      </c>
      <c r="I86" s="1">
        <v>92.172600000000003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429.15800000000002</v>
      </c>
      <c r="C87" s="1">
        <v>188.108</v>
      </c>
      <c r="D87" s="1">
        <v>281.44799999999998</v>
      </c>
      <c r="E87" s="1">
        <v>429.43200000000002</v>
      </c>
      <c r="F87" s="9">
        <v>0.11996</v>
      </c>
      <c r="G87" s="9">
        <v>10.134399999999999</v>
      </c>
      <c r="H87" s="1">
        <v>67.957300000000004</v>
      </c>
      <c r="I87" s="1">
        <v>88.028199999999998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429.18799999999999</v>
      </c>
      <c r="C88" s="1">
        <v>182.012</v>
      </c>
      <c r="D88" s="1">
        <v>275.21300000000002</v>
      </c>
      <c r="E88" s="1">
        <v>429.43200000000002</v>
      </c>
      <c r="F88" s="9">
        <v>0.106808</v>
      </c>
      <c r="G88" s="9">
        <v>10.510199999999999</v>
      </c>
      <c r="H88" s="1">
        <v>67.593500000000006</v>
      </c>
      <c r="I88" s="1">
        <v>87.365399999999994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429.226</v>
      </c>
      <c r="C89" s="1">
        <v>176.41900000000001</v>
      </c>
      <c r="D89" s="1">
        <v>269.97699999999998</v>
      </c>
      <c r="E89" s="1">
        <v>429.43200000000002</v>
      </c>
      <c r="F89" s="9">
        <v>9.1479099999999994E-2</v>
      </c>
      <c r="G89" s="9">
        <v>10.8866</v>
      </c>
      <c r="H89" s="1">
        <v>66.642899999999997</v>
      </c>
      <c r="I89" s="1">
        <v>86.545500000000004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429.10700000000003</v>
      </c>
      <c r="C90" s="1">
        <v>173.566</v>
      </c>
      <c r="D90" s="1">
        <v>264.56099999999998</v>
      </c>
      <c r="E90" s="1">
        <v>429.43200000000002</v>
      </c>
      <c r="F90" s="9">
        <v>0.13595299999999999</v>
      </c>
      <c r="G90" s="9">
        <v>11.1882</v>
      </c>
      <c r="H90" s="1">
        <v>66.437100000000001</v>
      </c>
      <c r="I90" s="1">
        <v>85.84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429.1</v>
      </c>
      <c r="C91" s="1">
        <v>169.17</v>
      </c>
      <c r="D91" s="1">
        <v>259.52100000000002</v>
      </c>
      <c r="E91" s="1">
        <v>429.43200000000002</v>
      </c>
      <c r="F91" s="9">
        <v>0.136216</v>
      </c>
      <c r="G91" s="9">
        <v>11.565899999999999</v>
      </c>
      <c r="H91" s="1">
        <v>66.119100000000003</v>
      </c>
      <c r="I91" s="1">
        <v>85.089100000000002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429.137</v>
      </c>
      <c r="C92" s="1">
        <v>166.04300000000001</v>
      </c>
      <c r="D92" s="1">
        <v>254.49299999999999</v>
      </c>
      <c r="E92" s="1">
        <v>429.43200000000002</v>
      </c>
      <c r="F92" s="9">
        <v>0.120963</v>
      </c>
      <c r="G92" s="9">
        <v>11.944100000000001</v>
      </c>
      <c r="H92" s="1">
        <v>65.656700000000001</v>
      </c>
      <c r="I92" s="1">
        <v>84.390799999999999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429.17099999999999</v>
      </c>
      <c r="C93" s="1">
        <v>162.578</v>
      </c>
      <c r="D93" s="1">
        <v>249.642</v>
      </c>
      <c r="E93" s="1">
        <v>429.43200000000002</v>
      </c>
      <c r="F93" s="9">
        <v>0.107389</v>
      </c>
      <c r="G93" s="9">
        <v>12.3231</v>
      </c>
      <c r="H93" s="1">
        <v>65.346699999999998</v>
      </c>
      <c r="I93" s="1">
        <v>83.694299999999998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429.15800000000002</v>
      </c>
      <c r="C94" s="1">
        <v>159.61500000000001</v>
      </c>
      <c r="D94" s="1">
        <v>244.87700000000001</v>
      </c>
      <c r="E94" s="1">
        <v>429.43200000000002</v>
      </c>
      <c r="F94" s="9">
        <v>0.102002</v>
      </c>
      <c r="G94" s="9">
        <v>12.7019</v>
      </c>
      <c r="H94" s="1">
        <v>64.9756</v>
      </c>
      <c r="I94" s="1">
        <v>83.023099999999999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429.15199999999999</v>
      </c>
      <c r="C95" s="1">
        <v>156.56399999999999</v>
      </c>
      <c r="D95" s="1">
        <v>240.24299999999999</v>
      </c>
      <c r="E95" s="1">
        <v>429.43200000000002</v>
      </c>
      <c r="F95" s="9">
        <v>0.101507</v>
      </c>
      <c r="G95" s="9">
        <v>13.0816</v>
      </c>
      <c r="H95" s="1">
        <v>64.660399999999996</v>
      </c>
      <c r="I95" s="1">
        <v>82.363600000000005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420.29500000000002</v>
      </c>
      <c r="C96" s="1">
        <v>153.71899999999999</v>
      </c>
      <c r="D96" s="1">
        <v>235.727</v>
      </c>
      <c r="E96" s="1">
        <v>429.43200000000002</v>
      </c>
      <c r="F96" s="9">
        <v>0.48705599999999999</v>
      </c>
      <c r="G96" s="9">
        <v>13.385899999999999</v>
      </c>
      <c r="H96" s="1">
        <v>64.328199999999995</v>
      </c>
      <c r="I96" s="1">
        <v>81.7179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421.30799999999999</v>
      </c>
      <c r="C97" s="1">
        <v>150.9</v>
      </c>
      <c r="D97" s="1">
        <v>231.31200000000001</v>
      </c>
      <c r="E97" s="1">
        <v>429.43200000000002</v>
      </c>
      <c r="F97" s="9">
        <v>0.43271999999999999</v>
      </c>
      <c r="G97" s="9">
        <v>13.766299999999999</v>
      </c>
      <c r="H97" s="1">
        <v>64.018100000000004</v>
      </c>
      <c r="I97" s="1">
        <v>81.089600000000004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419.43200000000002</v>
      </c>
      <c r="C98" s="1">
        <v>148.19800000000001</v>
      </c>
      <c r="D98" s="1">
        <v>227.02</v>
      </c>
      <c r="E98" s="1">
        <v>429.43200000000002</v>
      </c>
      <c r="F98" s="9">
        <v>0.41254299999999999</v>
      </c>
      <c r="G98" s="9">
        <v>14.1471</v>
      </c>
      <c r="H98" s="1">
        <v>63.707299999999996</v>
      </c>
      <c r="I98" s="1">
        <v>80.471999999999994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420.58100000000002</v>
      </c>
      <c r="C99" s="1">
        <v>145.55600000000001</v>
      </c>
      <c r="D99" s="1">
        <v>222.84899999999999</v>
      </c>
      <c r="E99" s="1">
        <v>429.43200000000002</v>
      </c>
      <c r="F99" s="9">
        <v>0.36199300000000001</v>
      </c>
      <c r="G99" s="9">
        <v>14.5288</v>
      </c>
      <c r="H99" s="1">
        <v>63.408000000000001</v>
      </c>
      <c r="I99" s="1">
        <v>79.863699999999994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428.11799999999999</v>
      </c>
      <c r="C100" s="1">
        <v>143.00200000000001</v>
      </c>
      <c r="D100" s="1">
        <v>218.76900000000001</v>
      </c>
      <c r="E100" s="1">
        <v>429.43200000000002</v>
      </c>
      <c r="F100" s="9">
        <v>0.108221</v>
      </c>
      <c r="G100" s="9">
        <v>14.9114</v>
      </c>
      <c r="H100" s="1">
        <v>63.113100000000003</v>
      </c>
      <c r="I100" s="1">
        <v>79.272199999999998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427.78199999999998</v>
      </c>
      <c r="C101" s="1">
        <v>140.517</v>
      </c>
      <c r="D101" s="1">
        <v>214.78700000000001</v>
      </c>
      <c r="E101" s="1">
        <v>429.43200000000002</v>
      </c>
      <c r="F101" s="9">
        <v>0.107222</v>
      </c>
      <c r="G101" s="9">
        <v>15.2943</v>
      </c>
      <c r="H101" s="1">
        <v>62.826300000000003</v>
      </c>
      <c r="I101" s="1">
        <v>78.694999999999993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160.46</v>
      </c>
      <c r="C102" s="1">
        <v>138.108</v>
      </c>
      <c r="D102" s="1">
        <v>210.91800000000001</v>
      </c>
      <c r="E102" s="1">
        <v>429.43200000000002</v>
      </c>
      <c r="F102" s="9">
        <v>40</v>
      </c>
      <c r="G102" s="9">
        <v>15.678100000000001</v>
      </c>
      <c r="H102" s="1">
        <v>62.545200000000001</v>
      </c>
      <c r="I102" s="1">
        <v>78.126199999999997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366.03</v>
      </c>
      <c r="C103" s="1">
        <v>135.76599999999999</v>
      </c>
      <c r="D103" s="1">
        <v>207.142</v>
      </c>
      <c r="E103" s="1">
        <v>429.43200000000002</v>
      </c>
      <c r="F103" s="9">
        <v>0.49496400000000002</v>
      </c>
      <c r="G103" s="9">
        <v>15.985900000000001</v>
      </c>
      <c r="H103" s="1">
        <v>62.271000000000001</v>
      </c>
      <c r="I103" s="1">
        <v>77.570499999999996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424.98599999999999</v>
      </c>
      <c r="C104" s="1">
        <v>133.49299999999999</v>
      </c>
      <c r="D104" s="1">
        <v>203.45400000000001</v>
      </c>
      <c r="E104" s="1">
        <v>429.43200000000002</v>
      </c>
      <c r="F104" s="9">
        <v>0.108346</v>
      </c>
      <c r="G104" s="9">
        <v>16.2927</v>
      </c>
      <c r="H104" s="1">
        <v>62.002699999999997</v>
      </c>
      <c r="I104" s="1">
        <v>77.028700000000001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386.36700000000002</v>
      </c>
      <c r="C105" s="1">
        <v>131.285</v>
      </c>
      <c r="D105" s="1">
        <v>199.86099999999999</v>
      </c>
      <c r="E105" s="1">
        <v>429.43200000000002</v>
      </c>
      <c r="F105" s="9">
        <v>0.53542500000000004</v>
      </c>
      <c r="G105" s="9">
        <v>16.599900000000002</v>
      </c>
      <c r="H105" s="1">
        <v>61.740699999999997</v>
      </c>
      <c r="I105" s="1">
        <v>76.497699999999995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421.97800000000001</v>
      </c>
      <c r="C106" s="1">
        <v>129.14099999999999</v>
      </c>
      <c r="D106" s="1">
        <v>196.35599999999999</v>
      </c>
      <c r="E106" s="1">
        <v>429.43200000000002</v>
      </c>
      <c r="F106" s="9">
        <v>0.108401</v>
      </c>
      <c r="G106" s="9">
        <v>16.906600000000001</v>
      </c>
      <c r="H106" s="1">
        <v>61.484499999999997</v>
      </c>
      <c r="I106" s="1">
        <v>75.978200000000001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359.50400000000002</v>
      </c>
      <c r="C107" s="1">
        <v>127.059</v>
      </c>
      <c r="D107" s="1">
        <v>192.93899999999999</v>
      </c>
      <c r="E107" s="1">
        <v>429.43200000000002</v>
      </c>
      <c r="F107" s="9">
        <v>0.346049</v>
      </c>
      <c r="G107" s="9">
        <v>17.213899999999999</v>
      </c>
      <c r="H107" s="1">
        <v>61.234000000000002</v>
      </c>
      <c r="I107" s="1">
        <v>75.469399999999993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152.16499999999999</v>
      </c>
      <c r="C108" s="1">
        <v>125.036</v>
      </c>
      <c r="D108" s="1">
        <v>189.61199999999999</v>
      </c>
      <c r="E108" s="1">
        <v>429.43200000000002</v>
      </c>
      <c r="F108" s="9">
        <v>40</v>
      </c>
      <c r="G108" s="9">
        <v>17.520900000000001</v>
      </c>
      <c r="H108" s="1">
        <v>60.9893</v>
      </c>
      <c r="I108" s="1">
        <v>74.970100000000002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339.34899999999999</v>
      </c>
      <c r="C109" s="1">
        <v>123.07</v>
      </c>
      <c r="D109" s="1">
        <v>186.35900000000001</v>
      </c>
      <c r="E109" s="1">
        <v>429.43200000000002</v>
      </c>
      <c r="F109" s="9">
        <v>0.39643800000000001</v>
      </c>
      <c r="G109" s="9">
        <v>17.751300000000001</v>
      </c>
      <c r="H109" s="1">
        <v>60.750100000000003</v>
      </c>
      <c r="I109" s="1">
        <v>74.483699999999999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150.24299999999999</v>
      </c>
      <c r="C110" s="1">
        <v>121.161</v>
      </c>
      <c r="D110" s="1">
        <v>183.2</v>
      </c>
      <c r="E110" s="1">
        <v>429.43200000000002</v>
      </c>
      <c r="F110" s="9">
        <v>39.960999999999999</v>
      </c>
      <c r="G110" s="9">
        <v>18.134899999999998</v>
      </c>
      <c r="H110" s="1">
        <v>60.516300000000001</v>
      </c>
      <c r="I110" s="1">
        <v>74.003399999999999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330.32600000000002</v>
      </c>
      <c r="C111" s="1">
        <v>119.306</v>
      </c>
      <c r="D111" s="1">
        <v>180.11600000000001</v>
      </c>
      <c r="E111" s="1">
        <v>429.43200000000002</v>
      </c>
      <c r="F111" s="9">
        <v>0.41881099999999999</v>
      </c>
      <c r="G111" s="9">
        <v>18.365500000000001</v>
      </c>
      <c r="H111" s="1">
        <v>60.287700000000001</v>
      </c>
      <c r="I111" s="1">
        <v>73.534599999999998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133.50700000000001</v>
      </c>
      <c r="C112" s="1">
        <v>118.098</v>
      </c>
      <c r="D112" s="1">
        <v>178.09800000000001</v>
      </c>
      <c r="E112" s="1">
        <v>429.43099999999998</v>
      </c>
      <c r="F112" s="9">
        <v>0.64424700000000001</v>
      </c>
      <c r="G112" s="9">
        <v>19.313199999999998</v>
      </c>
      <c r="H112" s="1">
        <v>56.831600000000002</v>
      </c>
      <c r="I112" s="1">
        <v>68.647000000000006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143.179</v>
      </c>
      <c r="C113" s="1">
        <v>116.297</v>
      </c>
      <c r="D113" s="1">
        <v>175.86099999999999</v>
      </c>
      <c r="E113" s="1">
        <v>429.036</v>
      </c>
      <c r="F113" s="9">
        <v>0.221054</v>
      </c>
      <c r="G113" s="9">
        <v>20.209900000000001</v>
      </c>
      <c r="H113" s="1">
        <v>56.820599999999999</v>
      </c>
      <c r="I113" s="1">
        <v>69.132599999999996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143.179</v>
      </c>
      <c r="C114" s="1">
        <v>114.27500000000001</v>
      </c>
      <c r="D114" s="1">
        <v>172.62100000000001</v>
      </c>
      <c r="E114" s="1">
        <v>419.24</v>
      </c>
      <c r="F114" s="9">
        <v>0.221054</v>
      </c>
      <c r="G114" s="9">
        <v>20.482299999999999</v>
      </c>
      <c r="H114" s="1">
        <v>56.650500000000001</v>
      </c>
      <c r="I114" s="1">
        <v>68.732100000000003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143.179</v>
      </c>
      <c r="C115" s="1">
        <v>112.459</v>
      </c>
      <c r="D115" s="1">
        <v>169.43199999999999</v>
      </c>
      <c r="E115" s="1">
        <v>411.48</v>
      </c>
      <c r="F115" s="9">
        <v>0.221054</v>
      </c>
      <c r="G115" s="9">
        <v>20.7547</v>
      </c>
      <c r="H115" s="1">
        <v>56.464799999999997</v>
      </c>
      <c r="I115" s="1">
        <v>68.350700000000003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143.179</v>
      </c>
      <c r="C116" s="1">
        <v>110.678</v>
      </c>
      <c r="D116" s="1">
        <v>166.363</v>
      </c>
      <c r="E116" s="1">
        <v>403.69499999999999</v>
      </c>
      <c r="F116" s="9">
        <v>0.221054</v>
      </c>
      <c r="G116" s="9">
        <v>21.027100000000001</v>
      </c>
      <c r="H116" s="1">
        <v>56.2881</v>
      </c>
      <c r="I116" s="1">
        <v>67.970600000000005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143.179</v>
      </c>
      <c r="C117" s="1">
        <v>108.952</v>
      </c>
      <c r="D117" s="1">
        <v>163.36500000000001</v>
      </c>
      <c r="E117" s="1">
        <v>396.16199999999998</v>
      </c>
      <c r="F117" s="9">
        <v>0.221054</v>
      </c>
      <c r="G117" s="9">
        <v>21.299499999999998</v>
      </c>
      <c r="H117" s="1">
        <v>56.115600000000001</v>
      </c>
      <c r="I117" s="1">
        <v>67.602800000000002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143.179</v>
      </c>
      <c r="C118" s="1">
        <v>107.276</v>
      </c>
      <c r="D118" s="1">
        <v>160.45699999999999</v>
      </c>
      <c r="E118" s="1">
        <v>388.77499999999998</v>
      </c>
      <c r="F118" s="9">
        <v>0.221054</v>
      </c>
      <c r="G118" s="9">
        <v>21.5718</v>
      </c>
      <c r="H118" s="1">
        <v>55.947899999999997</v>
      </c>
      <c r="I118" s="1">
        <v>67.241699999999994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143.179</v>
      </c>
      <c r="C119" s="1">
        <v>105.649</v>
      </c>
      <c r="D119" s="1">
        <v>157.62899999999999</v>
      </c>
      <c r="E119" s="1">
        <v>381.55200000000002</v>
      </c>
      <c r="F119" s="9">
        <v>0.221054</v>
      </c>
      <c r="G119" s="9">
        <v>21.844200000000001</v>
      </c>
      <c r="H119" s="1">
        <v>55.784799999999997</v>
      </c>
      <c r="I119" s="1">
        <v>66.8887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104.069</v>
      </c>
      <c r="D120" s="1">
        <v>154.87899999999999</v>
      </c>
      <c r="E120" s="1">
        <v>374.48700000000002</v>
      </c>
      <c r="F120" s="9">
        <v>0.221054</v>
      </c>
      <c r="G120" s="9">
        <v>22.116599999999998</v>
      </c>
      <c r="H120" s="1">
        <v>55.625999999999998</v>
      </c>
      <c r="I120" s="1">
        <v>66.543999999999997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102.535</v>
      </c>
      <c r="D121" s="1">
        <v>152.208</v>
      </c>
      <c r="E121" s="1">
        <v>367.57799999999997</v>
      </c>
      <c r="F121" s="9">
        <v>0.221054</v>
      </c>
      <c r="G121" s="9">
        <v>22.388999999999999</v>
      </c>
      <c r="H121" s="1">
        <v>55.471600000000002</v>
      </c>
      <c r="I121" s="1">
        <v>66.206299999999999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101.045</v>
      </c>
      <c r="D122" s="1">
        <v>149.608</v>
      </c>
      <c r="E122" s="1">
        <v>360.82</v>
      </c>
      <c r="F122" s="9">
        <v>0.221054</v>
      </c>
      <c r="G122" s="9">
        <v>22.661300000000001</v>
      </c>
      <c r="H122" s="1">
        <v>55.321399999999997</v>
      </c>
      <c r="I122" s="1">
        <v>65.876599999999996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99.598200000000006</v>
      </c>
      <c r="D123" s="1">
        <v>147.083</v>
      </c>
      <c r="E123" s="1">
        <v>354.21100000000001</v>
      </c>
      <c r="F123" s="9">
        <v>0.221054</v>
      </c>
      <c r="G123" s="9">
        <v>22.933700000000002</v>
      </c>
      <c r="H123" s="1">
        <v>55.1753</v>
      </c>
      <c r="I123" s="1">
        <v>65.553600000000003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98.193299999999994</v>
      </c>
      <c r="D124" s="1">
        <v>144.626</v>
      </c>
      <c r="E124" s="1">
        <v>347.74700000000001</v>
      </c>
      <c r="F124" s="9">
        <v>0.221054</v>
      </c>
      <c r="G124" s="9">
        <v>23.206099999999999</v>
      </c>
      <c r="H124" s="1">
        <v>55.033200000000001</v>
      </c>
      <c r="I124" s="1">
        <v>65.238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96.828999999999994</v>
      </c>
      <c r="D125" s="1">
        <v>142.238</v>
      </c>
      <c r="E125" s="1">
        <v>341.42500000000001</v>
      </c>
      <c r="F125" s="9">
        <v>0.221054</v>
      </c>
      <c r="G125" s="9">
        <v>23.4785</v>
      </c>
      <c r="H125" s="1">
        <v>54.8949</v>
      </c>
      <c r="I125" s="1">
        <v>64.929199999999994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95.504099999999994</v>
      </c>
      <c r="D126" s="1">
        <v>139.91399999999999</v>
      </c>
      <c r="E126" s="1">
        <v>335.24200000000002</v>
      </c>
      <c r="F126" s="9">
        <v>0.221054</v>
      </c>
      <c r="G126" s="9">
        <v>23.750800000000002</v>
      </c>
      <c r="H126" s="1">
        <v>54.760399999999997</v>
      </c>
      <c r="I126" s="1">
        <v>64.627200000000002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94.217399999999998</v>
      </c>
      <c r="D127" s="1">
        <v>137.655</v>
      </c>
      <c r="E127" s="1">
        <v>329.19499999999999</v>
      </c>
      <c r="F127" s="9">
        <v>0.221054</v>
      </c>
      <c r="G127" s="9">
        <v>24.023199999999999</v>
      </c>
      <c r="H127" s="1">
        <v>54.6295</v>
      </c>
      <c r="I127" s="1">
        <v>64.331800000000001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92.967699999999994</v>
      </c>
      <c r="D128" s="1">
        <v>135.458</v>
      </c>
      <c r="E128" s="1">
        <v>323.28100000000001</v>
      </c>
      <c r="F128" s="9">
        <v>0.221054</v>
      </c>
      <c r="G128" s="9">
        <v>24.2956</v>
      </c>
      <c r="H128" s="1">
        <v>54.502299999999998</v>
      </c>
      <c r="I128" s="1">
        <v>64.042900000000003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91.753900000000002</v>
      </c>
      <c r="D129" s="1">
        <v>133.32</v>
      </c>
      <c r="E129" s="1">
        <v>317.49700000000001</v>
      </c>
      <c r="F129" s="9">
        <v>0.221054</v>
      </c>
      <c r="G129" s="9">
        <v>24.568000000000001</v>
      </c>
      <c r="H129" s="1">
        <v>54.378500000000003</v>
      </c>
      <c r="I129" s="1">
        <v>63.760199999999998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90.575000000000003</v>
      </c>
      <c r="D130" s="1">
        <v>131.24100000000001</v>
      </c>
      <c r="E130" s="1">
        <v>311.83999999999997</v>
      </c>
      <c r="F130" s="9">
        <v>0.221054</v>
      </c>
      <c r="G130" s="9">
        <v>24.840299999999999</v>
      </c>
      <c r="H130" s="1">
        <v>54.258099999999999</v>
      </c>
      <c r="I130" s="1">
        <v>63.483699999999999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89.43</v>
      </c>
      <c r="D131" s="1">
        <v>129.21899999999999</v>
      </c>
      <c r="E131" s="1">
        <v>306.30799999999999</v>
      </c>
      <c r="F131" s="9">
        <v>0.221054</v>
      </c>
      <c r="G131" s="9">
        <v>25.1127</v>
      </c>
      <c r="H131" s="1">
        <v>54.140900000000002</v>
      </c>
      <c r="I131" s="1">
        <v>63.213200000000001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88.317800000000005</v>
      </c>
      <c r="D132" s="1">
        <v>127.251</v>
      </c>
      <c r="E132" s="1">
        <v>300.89699999999999</v>
      </c>
      <c r="F132" s="9">
        <v>0.221054</v>
      </c>
      <c r="G132" s="9">
        <v>25.385100000000001</v>
      </c>
      <c r="H132" s="1">
        <v>54.027000000000001</v>
      </c>
      <c r="I132" s="1">
        <v>62.948599999999999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87.237399999999994</v>
      </c>
      <c r="D133" s="1">
        <v>125.336</v>
      </c>
      <c r="E133" s="1">
        <v>295.60500000000002</v>
      </c>
      <c r="F133" s="9">
        <v>0.221054</v>
      </c>
      <c r="G133" s="9">
        <v>25.657499999999999</v>
      </c>
      <c r="H133" s="1">
        <v>53.916200000000003</v>
      </c>
      <c r="I133" s="1">
        <v>62.689700000000002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86.188100000000006</v>
      </c>
      <c r="D134" s="1">
        <v>123.474</v>
      </c>
      <c r="E134" s="1">
        <v>290.43</v>
      </c>
      <c r="F134" s="9">
        <v>0.221054</v>
      </c>
      <c r="G134" s="9">
        <v>25.9298</v>
      </c>
      <c r="H134" s="1">
        <v>53.808399999999999</v>
      </c>
      <c r="I134" s="1">
        <v>62.436199999999999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84.505300000000005</v>
      </c>
      <c r="D135" s="1">
        <v>120.48</v>
      </c>
      <c r="E135" s="1">
        <v>282.05500000000001</v>
      </c>
      <c r="F135" s="9">
        <v>0.221054</v>
      </c>
      <c r="G135" s="9">
        <v>26.383800000000001</v>
      </c>
      <c r="H135" s="1">
        <v>53.635199999999998</v>
      </c>
      <c r="I135" s="1">
        <v>62.026200000000003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405111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9274.1200000000008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492428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-96591.1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-23.8431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56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50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406.875</v>
      </c>
      <c r="T22" t="s">
        <v>54</v>
      </c>
      <c r="AC22" s="1"/>
    </row>
    <row r="23" spans="1:42" x14ac:dyDescent="0.25">
      <c r="R23" s="11" t="s">
        <v>51</v>
      </c>
      <c r="S23" s="1">
        <f>F140/1000</f>
        <v>3.0619099999999997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475.90699999999998</v>
      </c>
      <c r="T24" t="s">
        <v>54</v>
      </c>
    </row>
    <row r="25" spans="1:42" x14ac:dyDescent="0.25">
      <c r="R25" t="s">
        <v>53</v>
      </c>
      <c r="S25" s="1">
        <f>S22-S23-S24</f>
        <v>-72.093909999999994</v>
      </c>
      <c r="T25" t="s">
        <v>54</v>
      </c>
    </row>
    <row r="26" spans="1:42" x14ac:dyDescent="0.25">
      <c r="R26" s="11" t="s">
        <v>48</v>
      </c>
      <c r="S26" s="9">
        <f>D143</f>
        <v>-17.718800000000002</v>
      </c>
      <c r="T26" t="s">
        <v>49</v>
      </c>
    </row>
    <row r="27" spans="1:42" ht="15" customHeight="1" x14ac:dyDescent="0.25">
      <c r="R27" s="11" t="s">
        <v>44</v>
      </c>
      <c r="S27" s="1">
        <f>B145</f>
        <v>138</v>
      </c>
      <c r="T27" t="s">
        <v>38</v>
      </c>
    </row>
    <row r="28" spans="1:42" ht="15" customHeight="1" x14ac:dyDescent="0.25">
      <c r="S28" s="9">
        <f>S27/60</f>
        <v>2.2999999999999998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394.72199999999998</v>
      </c>
      <c r="C34" s="1">
        <v>432.24099999999999</v>
      </c>
      <c r="D34" s="1">
        <v>433.09699999999998</v>
      </c>
      <c r="E34" s="1">
        <v>433.37299999999999</v>
      </c>
      <c r="F34" s="9">
        <v>3</v>
      </c>
      <c r="G34" s="9">
        <v>0</v>
      </c>
      <c r="H34" s="1">
        <v>403.11900000000003</v>
      </c>
      <c r="I34" s="1">
        <v>422.762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394.608</v>
      </c>
      <c r="C35" s="1">
        <v>430.113</v>
      </c>
      <c r="D35" s="1">
        <v>432.68299999999999</v>
      </c>
      <c r="E35" s="1">
        <v>433.334</v>
      </c>
      <c r="F35" s="9">
        <v>3</v>
      </c>
      <c r="G35" s="9">
        <v>0</v>
      </c>
      <c r="H35" s="1">
        <v>401.279</v>
      </c>
      <c r="I35" s="1">
        <v>422.36700000000002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394.5</v>
      </c>
      <c r="C36" s="1">
        <v>428.13299999999998</v>
      </c>
      <c r="D36" s="1">
        <v>432.31400000000002</v>
      </c>
      <c r="E36" s="1">
        <v>433.29399999999998</v>
      </c>
      <c r="F36" s="9">
        <v>3</v>
      </c>
      <c r="G36" s="9">
        <v>0</v>
      </c>
      <c r="H36" s="1">
        <v>399.57299999999998</v>
      </c>
      <c r="I36" s="1">
        <v>422.01499999999999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394.39699999999999</v>
      </c>
      <c r="C37" s="1">
        <v>426.17099999999999</v>
      </c>
      <c r="D37" s="1">
        <v>431.97800000000001</v>
      </c>
      <c r="E37" s="1">
        <v>433.255</v>
      </c>
      <c r="F37" s="9">
        <v>3</v>
      </c>
      <c r="G37" s="9">
        <v>0</v>
      </c>
      <c r="H37" s="1">
        <v>397.88400000000001</v>
      </c>
      <c r="I37" s="1">
        <v>421.69400000000002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394.29599999999999</v>
      </c>
      <c r="C38" s="1">
        <v>424.22500000000002</v>
      </c>
      <c r="D38" s="1">
        <v>431.666</v>
      </c>
      <c r="E38" s="1">
        <v>433.21499999999997</v>
      </c>
      <c r="F38" s="9">
        <v>3</v>
      </c>
      <c r="G38" s="9">
        <v>0</v>
      </c>
      <c r="H38" s="1">
        <v>396.20800000000003</v>
      </c>
      <c r="I38" s="1">
        <v>421.39499999999998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319.77800000000002</v>
      </c>
      <c r="C39" s="1">
        <v>422.29399999999998</v>
      </c>
      <c r="D39" s="1">
        <v>431.37099999999998</v>
      </c>
      <c r="E39" s="1">
        <v>433.17599999999999</v>
      </c>
      <c r="F39" s="9">
        <v>10</v>
      </c>
      <c r="G39" s="9">
        <v>0</v>
      </c>
      <c r="H39" s="1">
        <v>394.54399999999998</v>
      </c>
      <c r="I39" s="1">
        <v>421.11200000000002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316.31</v>
      </c>
      <c r="C40" s="1">
        <v>420.44</v>
      </c>
      <c r="D40" s="1">
        <v>430.93099999999998</v>
      </c>
      <c r="E40" s="1">
        <v>432.95800000000003</v>
      </c>
      <c r="F40" s="9">
        <v>10</v>
      </c>
      <c r="G40" s="9">
        <v>0</v>
      </c>
      <c r="H40" s="1">
        <v>370.52</v>
      </c>
      <c r="I40" s="1">
        <v>417.53800000000001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316.10000000000002</v>
      </c>
      <c r="C41" s="1">
        <v>417.02600000000001</v>
      </c>
      <c r="D41" s="1">
        <v>430.505</v>
      </c>
      <c r="E41" s="1">
        <v>432.72899999999998</v>
      </c>
      <c r="F41" s="9">
        <v>10</v>
      </c>
      <c r="G41" s="9">
        <v>0</v>
      </c>
      <c r="H41" s="1">
        <v>367.92200000000003</v>
      </c>
      <c r="I41" s="1">
        <v>417.125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315.90499999999997</v>
      </c>
      <c r="C42" s="1">
        <v>413.98700000000002</v>
      </c>
      <c r="D42" s="1">
        <v>430.096</v>
      </c>
      <c r="E42" s="1">
        <v>432.53500000000003</v>
      </c>
      <c r="F42" s="9">
        <v>10</v>
      </c>
      <c r="G42" s="9">
        <v>0</v>
      </c>
      <c r="H42" s="1">
        <v>365.625</v>
      </c>
      <c r="I42" s="1">
        <v>416.73099999999999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315.71600000000001</v>
      </c>
      <c r="C43" s="1">
        <v>410.99700000000001</v>
      </c>
      <c r="D43" s="1">
        <v>429.702</v>
      </c>
      <c r="E43" s="1">
        <v>432.35300000000001</v>
      </c>
      <c r="F43" s="9">
        <v>10</v>
      </c>
      <c r="G43" s="9">
        <v>0</v>
      </c>
      <c r="H43" s="1">
        <v>363.36399999999998</v>
      </c>
      <c r="I43" s="1">
        <v>416.35199999999998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315.52999999999997</v>
      </c>
      <c r="C44" s="1">
        <v>408.04300000000001</v>
      </c>
      <c r="D44" s="1">
        <v>429.32100000000003</v>
      </c>
      <c r="E44" s="1">
        <v>432.17500000000001</v>
      </c>
      <c r="F44" s="9">
        <v>10</v>
      </c>
      <c r="G44" s="9">
        <v>0</v>
      </c>
      <c r="H44" s="1">
        <v>361.13</v>
      </c>
      <c r="I44" s="1">
        <v>415.98599999999999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315.34899999999999</v>
      </c>
      <c r="C45" s="1">
        <v>405.125</v>
      </c>
      <c r="D45" s="1">
        <v>428.94799999999998</v>
      </c>
      <c r="E45" s="1">
        <v>431.99900000000002</v>
      </c>
      <c r="F45" s="9">
        <v>10</v>
      </c>
      <c r="G45" s="9">
        <v>0</v>
      </c>
      <c r="H45" s="1">
        <v>358.92099999999999</v>
      </c>
      <c r="I45" s="1">
        <v>415.62900000000002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315.16899999999998</v>
      </c>
      <c r="C46" s="1">
        <v>402.24200000000002</v>
      </c>
      <c r="D46" s="1">
        <v>428.584</v>
      </c>
      <c r="E46" s="1">
        <v>431.82400000000001</v>
      </c>
      <c r="F46" s="9">
        <v>10</v>
      </c>
      <c r="G46" s="9">
        <v>0</v>
      </c>
      <c r="H46" s="1">
        <v>356.73700000000002</v>
      </c>
      <c r="I46" s="1">
        <v>415.28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314.99</v>
      </c>
      <c r="C47" s="1">
        <v>399.39299999999997</v>
      </c>
      <c r="D47" s="1">
        <v>428.22500000000002</v>
      </c>
      <c r="E47" s="1">
        <v>431.65</v>
      </c>
      <c r="F47" s="9">
        <v>10</v>
      </c>
      <c r="G47" s="9">
        <v>0</v>
      </c>
      <c r="H47" s="1">
        <v>354.57799999999997</v>
      </c>
      <c r="I47" s="1">
        <v>414.93700000000001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314.81200000000001</v>
      </c>
      <c r="C48" s="1">
        <v>396.565</v>
      </c>
      <c r="D48" s="1">
        <v>427.87400000000002</v>
      </c>
      <c r="E48" s="1">
        <v>431.47500000000002</v>
      </c>
      <c r="F48" s="9">
        <v>10</v>
      </c>
      <c r="G48" s="9">
        <v>0</v>
      </c>
      <c r="H48" s="1">
        <v>352.43200000000002</v>
      </c>
      <c r="I48" s="1">
        <v>414.59699999999998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314.63499999999999</v>
      </c>
      <c r="C49" s="1">
        <v>393.78699999999998</v>
      </c>
      <c r="D49" s="1">
        <v>427.52699999999999</v>
      </c>
      <c r="E49" s="1">
        <v>431.30099999999999</v>
      </c>
      <c r="F49" s="9">
        <v>10</v>
      </c>
      <c r="G49" s="9">
        <v>0</v>
      </c>
      <c r="H49" s="1">
        <v>350.32499999999999</v>
      </c>
      <c r="I49" s="1">
        <v>414.26600000000002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314.459</v>
      </c>
      <c r="C50" s="1">
        <v>391.041</v>
      </c>
      <c r="D50" s="1">
        <v>427.18200000000002</v>
      </c>
      <c r="E50" s="1">
        <v>431.12599999999998</v>
      </c>
      <c r="F50" s="9">
        <v>10</v>
      </c>
      <c r="G50" s="9">
        <v>0</v>
      </c>
      <c r="H50" s="1">
        <v>348.24</v>
      </c>
      <c r="I50" s="1">
        <v>413.93799999999999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314.28300000000002</v>
      </c>
      <c r="C51" s="1">
        <v>388.32799999999997</v>
      </c>
      <c r="D51" s="1">
        <v>426.84</v>
      </c>
      <c r="E51" s="1">
        <v>430.952</v>
      </c>
      <c r="F51" s="9">
        <v>10</v>
      </c>
      <c r="G51" s="9">
        <v>0</v>
      </c>
      <c r="H51" s="1">
        <v>346.18</v>
      </c>
      <c r="I51" s="1">
        <v>413.61200000000002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314.108</v>
      </c>
      <c r="C52" s="1">
        <v>385.64800000000002</v>
      </c>
      <c r="D52" s="1">
        <v>426.49900000000002</v>
      </c>
      <c r="E52" s="1">
        <v>430.77800000000002</v>
      </c>
      <c r="F52" s="9">
        <v>10</v>
      </c>
      <c r="G52" s="9">
        <v>0</v>
      </c>
      <c r="H52" s="1">
        <v>344.14299999999997</v>
      </c>
      <c r="I52" s="1">
        <v>413.28800000000001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313.93400000000003</v>
      </c>
      <c r="C53" s="1">
        <v>383</v>
      </c>
      <c r="D53" s="1">
        <v>426.16</v>
      </c>
      <c r="E53" s="1">
        <v>430.60300000000001</v>
      </c>
      <c r="F53" s="9">
        <v>10</v>
      </c>
      <c r="G53" s="9">
        <v>0</v>
      </c>
      <c r="H53" s="1">
        <v>342.12900000000002</v>
      </c>
      <c r="I53" s="1">
        <v>412.96600000000001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313.76</v>
      </c>
      <c r="C54" s="1">
        <v>380.38499999999999</v>
      </c>
      <c r="D54" s="1">
        <v>425.822</v>
      </c>
      <c r="E54" s="1">
        <v>430.42899999999997</v>
      </c>
      <c r="F54" s="9">
        <v>10</v>
      </c>
      <c r="G54" s="9">
        <v>0</v>
      </c>
      <c r="H54" s="1">
        <v>340.13900000000001</v>
      </c>
      <c r="I54" s="1">
        <v>412.64499999999998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313.58600000000001</v>
      </c>
      <c r="C55" s="1">
        <v>377.80099999999999</v>
      </c>
      <c r="D55" s="1">
        <v>425.48500000000001</v>
      </c>
      <c r="E55" s="1">
        <v>430.255</v>
      </c>
      <c r="F55" s="9">
        <v>10</v>
      </c>
      <c r="G55" s="9">
        <v>0</v>
      </c>
      <c r="H55" s="1">
        <v>338.17200000000003</v>
      </c>
      <c r="I55" s="1">
        <v>412.32499999999999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313.41300000000001</v>
      </c>
      <c r="C56" s="1">
        <v>375.24900000000002</v>
      </c>
      <c r="D56" s="1">
        <v>425.149</v>
      </c>
      <c r="E56" s="1">
        <v>430.08</v>
      </c>
      <c r="F56" s="9">
        <v>10</v>
      </c>
      <c r="G56" s="9">
        <v>0</v>
      </c>
      <c r="H56" s="1">
        <v>336.22800000000001</v>
      </c>
      <c r="I56" s="1">
        <v>412.00599999999997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313.24</v>
      </c>
      <c r="C57" s="1">
        <v>372.72800000000001</v>
      </c>
      <c r="D57" s="1">
        <v>424.81299999999999</v>
      </c>
      <c r="E57" s="1">
        <v>429.90600000000001</v>
      </c>
      <c r="F57" s="9">
        <v>10</v>
      </c>
      <c r="G57" s="9">
        <v>0</v>
      </c>
      <c r="H57" s="1">
        <v>334.30700000000002</v>
      </c>
      <c r="I57" s="1">
        <v>411.68799999999999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313.06799999999998</v>
      </c>
      <c r="C58" s="1">
        <v>370.238</v>
      </c>
      <c r="D58" s="1">
        <v>424.47899999999998</v>
      </c>
      <c r="E58" s="1">
        <v>429.73200000000003</v>
      </c>
      <c r="F58" s="9">
        <v>10</v>
      </c>
      <c r="G58" s="9">
        <v>0</v>
      </c>
      <c r="H58" s="1">
        <v>332.40800000000002</v>
      </c>
      <c r="I58" s="1">
        <v>411.37099999999998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312.89600000000002</v>
      </c>
      <c r="C59" s="1">
        <v>367.77800000000002</v>
      </c>
      <c r="D59" s="1">
        <v>424.14499999999998</v>
      </c>
      <c r="E59" s="1">
        <v>429.55700000000002</v>
      </c>
      <c r="F59" s="9">
        <v>10</v>
      </c>
      <c r="G59" s="9">
        <v>0</v>
      </c>
      <c r="H59" s="1">
        <v>330.53100000000001</v>
      </c>
      <c r="I59" s="1">
        <v>411.05500000000001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429.28500000000003</v>
      </c>
      <c r="C60" s="1">
        <v>366.53199999999998</v>
      </c>
      <c r="D60" s="1">
        <v>423.98200000000003</v>
      </c>
      <c r="E60" s="1">
        <v>429.47</v>
      </c>
      <c r="F60" s="9">
        <v>8.7571800000000005E-2</v>
      </c>
      <c r="G60" s="9">
        <v>1.96435</v>
      </c>
      <c r="H60" s="1">
        <v>91.816299999999998</v>
      </c>
      <c r="I60" s="1">
        <v>423.78199999999998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429.32400000000001</v>
      </c>
      <c r="C61" s="1">
        <v>358.81299999999999</v>
      </c>
      <c r="D61" s="1">
        <v>423.98200000000003</v>
      </c>
      <c r="E61" s="1">
        <v>429.47</v>
      </c>
      <c r="F61" s="9">
        <v>7.0972900000000005E-2</v>
      </c>
      <c r="G61" s="9">
        <v>2.8763800000000002</v>
      </c>
      <c r="H61" s="1">
        <v>93.776200000000003</v>
      </c>
      <c r="I61" s="1">
        <v>423.74599999999998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429.30700000000002</v>
      </c>
      <c r="C62" s="1">
        <v>345.97300000000001</v>
      </c>
      <c r="D62" s="1">
        <v>423.98200000000003</v>
      </c>
      <c r="E62" s="1">
        <v>429.47</v>
      </c>
      <c r="F62" s="9">
        <v>7.8445600000000004E-2</v>
      </c>
      <c r="G62" s="9">
        <v>3.34429</v>
      </c>
      <c r="H62" s="1">
        <v>92.429400000000001</v>
      </c>
      <c r="I62" s="1">
        <v>423.64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429.30599999999998</v>
      </c>
      <c r="C63" s="1">
        <v>333.01600000000002</v>
      </c>
      <c r="D63" s="1">
        <v>423.98099999999999</v>
      </c>
      <c r="E63" s="1">
        <v>429.47</v>
      </c>
      <c r="F63" s="9">
        <v>7.8566800000000006E-2</v>
      </c>
      <c r="G63" s="9">
        <v>3.7389100000000002</v>
      </c>
      <c r="H63" s="1">
        <v>91.089600000000004</v>
      </c>
      <c r="I63" s="1">
        <v>423.28699999999998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429.30500000000001</v>
      </c>
      <c r="C64" s="1">
        <v>322.09199999999998</v>
      </c>
      <c r="D64" s="1">
        <v>423.97399999999999</v>
      </c>
      <c r="E64" s="1">
        <v>429.47</v>
      </c>
      <c r="F64" s="9">
        <v>7.8700300000000001E-2</v>
      </c>
      <c r="G64" s="9">
        <v>4.07944</v>
      </c>
      <c r="H64" s="1">
        <v>89.517300000000006</v>
      </c>
      <c r="I64" s="1">
        <v>422.2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429.30599999999998</v>
      </c>
      <c r="C65" s="1">
        <v>312.52499999999998</v>
      </c>
      <c r="D65" s="1">
        <v>423.959</v>
      </c>
      <c r="E65" s="1">
        <v>429.47</v>
      </c>
      <c r="F65" s="9">
        <v>7.8782099999999994E-2</v>
      </c>
      <c r="G65" s="9">
        <v>4.3453999999999997</v>
      </c>
      <c r="H65" s="1">
        <v>88.450500000000005</v>
      </c>
      <c r="I65" s="1">
        <v>419.43799999999999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429.25900000000001</v>
      </c>
      <c r="C66" s="1">
        <v>302.495</v>
      </c>
      <c r="D66" s="1">
        <v>423.83300000000003</v>
      </c>
      <c r="E66" s="1">
        <v>429.47</v>
      </c>
      <c r="F66" s="9">
        <v>9.9185200000000001E-2</v>
      </c>
      <c r="G66" s="9">
        <v>4.5887500000000001</v>
      </c>
      <c r="H66" s="1">
        <v>87.279700000000005</v>
      </c>
      <c r="I66" s="1">
        <v>412.24200000000002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429.30399999999997</v>
      </c>
      <c r="C67" s="1">
        <v>291.94200000000001</v>
      </c>
      <c r="D67" s="1">
        <v>423.83300000000003</v>
      </c>
      <c r="E67" s="1">
        <v>429.47</v>
      </c>
      <c r="F67" s="9">
        <v>7.9054200000000005E-2</v>
      </c>
      <c r="G67" s="9">
        <v>4.8442699999999999</v>
      </c>
      <c r="H67" s="1">
        <v>86.578100000000006</v>
      </c>
      <c r="I67" s="1">
        <v>134.94200000000001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429.30399999999997</v>
      </c>
      <c r="C68" s="1">
        <v>283.69600000000003</v>
      </c>
      <c r="D68" s="1">
        <v>416.49599999999998</v>
      </c>
      <c r="E68" s="1">
        <v>429.47</v>
      </c>
      <c r="F68" s="9">
        <v>7.9152899999999998E-2</v>
      </c>
      <c r="G68" s="9">
        <v>5.05227</v>
      </c>
      <c r="H68" s="1">
        <v>85.613100000000003</v>
      </c>
      <c r="I68" s="1">
        <v>125.63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429.30399999999997</v>
      </c>
      <c r="C69" s="1">
        <v>275.60199999999998</v>
      </c>
      <c r="D69" s="1">
        <v>406.51100000000002</v>
      </c>
      <c r="E69" s="1">
        <v>429.47</v>
      </c>
      <c r="F69" s="9">
        <v>7.9256999999999994E-2</v>
      </c>
      <c r="G69" s="9">
        <v>5.2491500000000002</v>
      </c>
      <c r="H69" s="1">
        <v>84.641999999999996</v>
      </c>
      <c r="I69" s="1">
        <v>126.753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429.30399999999997</v>
      </c>
      <c r="C70" s="1">
        <v>267.10599999999999</v>
      </c>
      <c r="D70" s="1">
        <v>396.15899999999999</v>
      </c>
      <c r="E70" s="1">
        <v>429.47</v>
      </c>
      <c r="F70" s="9">
        <v>7.9363600000000006E-2</v>
      </c>
      <c r="G70" s="9">
        <v>5.4433299999999996</v>
      </c>
      <c r="H70" s="1">
        <v>83.345799999999997</v>
      </c>
      <c r="I70" s="1">
        <v>124.848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429.303</v>
      </c>
      <c r="C71" s="1">
        <v>259.67200000000003</v>
      </c>
      <c r="D71" s="1">
        <v>386.291</v>
      </c>
      <c r="E71" s="1">
        <v>429.47</v>
      </c>
      <c r="F71" s="9">
        <v>7.9468999999999998E-2</v>
      </c>
      <c r="G71" s="9">
        <v>5.6379099999999998</v>
      </c>
      <c r="H71" s="1">
        <v>82.483199999999997</v>
      </c>
      <c r="I71" s="1">
        <v>122.955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429.303</v>
      </c>
      <c r="C72" s="1">
        <v>252.09899999999999</v>
      </c>
      <c r="D72" s="1">
        <v>376.71800000000002</v>
      </c>
      <c r="E72" s="1">
        <v>429.47</v>
      </c>
      <c r="F72" s="9">
        <v>7.9574000000000006E-2</v>
      </c>
      <c r="G72" s="9">
        <v>5.8329000000000004</v>
      </c>
      <c r="H72" s="1">
        <v>81.608800000000002</v>
      </c>
      <c r="I72" s="1">
        <v>121.11199999999999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429.303</v>
      </c>
      <c r="C73" s="1">
        <v>242.86</v>
      </c>
      <c r="D73" s="1">
        <v>367.43099999999998</v>
      </c>
      <c r="E73" s="1">
        <v>429.47</v>
      </c>
      <c r="F73" s="9">
        <v>7.9677799999999993E-2</v>
      </c>
      <c r="G73" s="9">
        <v>6.0282799999999996</v>
      </c>
      <c r="H73" s="1">
        <v>80.746200000000002</v>
      </c>
      <c r="I73" s="1">
        <v>119.31699999999999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429.25599999999997</v>
      </c>
      <c r="C74" s="1">
        <v>235.44900000000001</v>
      </c>
      <c r="D74" s="1">
        <v>358.39800000000002</v>
      </c>
      <c r="E74" s="1">
        <v>429.47</v>
      </c>
      <c r="F74" s="9">
        <v>0.10072200000000001</v>
      </c>
      <c r="G74" s="9">
        <v>6.19611</v>
      </c>
      <c r="H74" s="1">
        <v>79.583500000000001</v>
      </c>
      <c r="I74" s="1">
        <v>117.577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429.255</v>
      </c>
      <c r="C75" s="1">
        <v>229.18299999999999</v>
      </c>
      <c r="D75" s="1">
        <v>349.63299999999998</v>
      </c>
      <c r="E75" s="1">
        <v>429.47</v>
      </c>
      <c r="F75" s="9">
        <v>0.10091899999999999</v>
      </c>
      <c r="G75" s="9">
        <v>6.3921299999999999</v>
      </c>
      <c r="H75" s="1">
        <v>78.8125</v>
      </c>
      <c r="I75" s="1">
        <v>115.883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429.255</v>
      </c>
      <c r="C76" s="1">
        <v>223.13</v>
      </c>
      <c r="D76" s="1">
        <v>341.12400000000002</v>
      </c>
      <c r="E76" s="1">
        <v>429.47</v>
      </c>
      <c r="F76" s="9">
        <v>0.1011</v>
      </c>
      <c r="G76" s="9">
        <v>6.5884999999999998</v>
      </c>
      <c r="H76" s="1">
        <v>78.060599999999994</v>
      </c>
      <c r="I76" s="1">
        <v>114.236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429.255</v>
      </c>
      <c r="C77" s="1">
        <v>217.28</v>
      </c>
      <c r="D77" s="1">
        <v>332.86900000000003</v>
      </c>
      <c r="E77" s="1">
        <v>429.47</v>
      </c>
      <c r="F77" s="9">
        <v>0.101253</v>
      </c>
      <c r="G77" s="9">
        <v>6.7851800000000004</v>
      </c>
      <c r="H77" s="1">
        <v>77.326899999999995</v>
      </c>
      <c r="I77" s="1">
        <v>112.631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429.25400000000002</v>
      </c>
      <c r="C78" s="1">
        <v>211.613</v>
      </c>
      <c r="D78" s="1">
        <v>324.851</v>
      </c>
      <c r="E78" s="1">
        <v>429.47</v>
      </c>
      <c r="F78" s="9">
        <v>0.10140399999999999</v>
      </c>
      <c r="G78" s="9">
        <v>6.9821600000000004</v>
      </c>
      <c r="H78" s="1">
        <v>76.609700000000004</v>
      </c>
      <c r="I78" s="1">
        <v>111.072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429.25400000000002</v>
      </c>
      <c r="C79" s="1">
        <v>206.09299999999999</v>
      </c>
      <c r="D79" s="1">
        <v>317.06900000000002</v>
      </c>
      <c r="E79" s="1">
        <v>429.47</v>
      </c>
      <c r="F79" s="9">
        <v>0.101553</v>
      </c>
      <c r="G79" s="9">
        <v>7.1794399999999996</v>
      </c>
      <c r="H79" s="1">
        <v>75.904899999999998</v>
      </c>
      <c r="I79" s="1">
        <v>109.554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429.25400000000002</v>
      </c>
      <c r="C80" s="1">
        <v>200.62700000000001</v>
      </c>
      <c r="D80" s="1">
        <v>309.50700000000001</v>
      </c>
      <c r="E80" s="1">
        <v>429.47</v>
      </c>
      <c r="F80" s="9">
        <v>0.101701</v>
      </c>
      <c r="G80" s="9">
        <v>7.3769999999999998</v>
      </c>
      <c r="H80" s="1">
        <v>75.202399999999997</v>
      </c>
      <c r="I80" s="1">
        <v>108.081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429.25299999999999</v>
      </c>
      <c r="C81" s="1">
        <v>193.76400000000001</v>
      </c>
      <c r="D81" s="1">
        <v>302.17399999999998</v>
      </c>
      <c r="E81" s="1">
        <v>429.47</v>
      </c>
      <c r="F81" s="9">
        <v>0.10184600000000001</v>
      </c>
      <c r="G81" s="9">
        <v>7.5748600000000001</v>
      </c>
      <c r="H81" s="1">
        <v>74.506799999999998</v>
      </c>
      <c r="I81" s="1">
        <v>106.64400000000001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429.25299999999999</v>
      </c>
      <c r="C82" s="1">
        <v>188.423</v>
      </c>
      <c r="D82" s="1">
        <v>295.05399999999997</v>
      </c>
      <c r="E82" s="1">
        <v>429.47</v>
      </c>
      <c r="F82" s="9">
        <v>0.10199</v>
      </c>
      <c r="G82" s="9">
        <v>7.7729999999999997</v>
      </c>
      <c r="H82" s="1">
        <v>73.581999999999994</v>
      </c>
      <c r="I82" s="1">
        <v>105.247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429.30200000000002</v>
      </c>
      <c r="C83" s="1">
        <v>183.392</v>
      </c>
      <c r="D83" s="1">
        <v>288.14299999999997</v>
      </c>
      <c r="E83" s="1">
        <v>429.47</v>
      </c>
      <c r="F83" s="9">
        <v>8.0334100000000006E-2</v>
      </c>
      <c r="G83" s="9">
        <v>7.9714099999999997</v>
      </c>
      <c r="H83" s="1">
        <v>72.927899999999994</v>
      </c>
      <c r="I83" s="1">
        <v>103.887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429.30200000000002</v>
      </c>
      <c r="C84" s="1">
        <v>177.375</v>
      </c>
      <c r="D84" s="1">
        <v>281.43700000000001</v>
      </c>
      <c r="E84" s="1">
        <v>429.47</v>
      </c>
      <c r="F84" s="9">
        <v>8.0403500000000003E-2</v>
      </c>
      <c r="G84" s="9">
        <v>8.1700199999999992</v>
      </c>
      <c r="H84" s="1">
        <v>72.360500000000002</v>
      </c>
      <c r="I84" s="1">
        <v>102.563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429.30200000000002</v>
      </c>
      <c r="C85" s="1">
        <v>173.07</v>
      </c>
      <c r="D85" s="1">
        <v>274.92599999999999</v>
      </c>
      <c r="E85" s="1">
        <v>429.47</v>
      </c>
      <c r="F85" s="9">
        <v>8.0473000000000003E-2</v>
      </c>
      <c r="G85" s="9">
        <v>8.3689</v>
      </c>
      <c r="H85" s="1">
        <v>71.774900000000002</v>
      </c>
      <c r="I85" s="1">
        <v>101.27500000000001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429.30200000000002</v>
      </c>
      <c r="C86" s="1">
        <v>168.852</v>
      </c>
      <c r="D86" s="1">
        <v>268.60300000000001</v>
      </c>
      <c r="E86" s="1">
        <v>429.47</v>
      </c>
      <c r="F86" s="9">
        <v>8.0541399999999999E-2</v>
      </c>
      <c r="G86" s="9">
        <v>8.5680499999999995</v>
      </c>
      <c r="H86" s="1">
        <v>71.202799999999996</v>
      </c>
      <c r="I86" s="1">
        <v>100.02200000000001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429.23899999999998</v>
      </c>
      <c r="C87" s="1">
        <v>166.39500000000001</v>
      </c>
      <c r="D87" s="1">
        <v>262.01900000000001</v>
      </c>
      <c r="E87" s="1">
        <v>429.47</v>
      </c>
      <c r="F87" s="9">
        <v>0.106794</v>
      </c>
      <c r="G87" s="9">
        <v>8.8597900000000003</v>
      </c>
      <c r="H87" s="1">
        <v>70.289100000000005</v>
      </c>
      <c r="I87" s="1">
        <v>95.081000000000003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429.24</v>
      </c>
      <c r="C88" s="1">
        <v>162.374</v>
      </c>
      <c r="D88" s="1">
        <v>255.626</v>
      </c>
      <c r="E88" s="1">
        <v>429.47</v>
      </c>
      <c r="F88" s="9">
        <v>0.10685799999999999</v>
      </c>
      <c r="G88" s="9">
        <v>9.1231299999999997</v>
      </c>
      <c r="H88" s="1">
        <v>69.725700000000003</v>
      </c>
      <c r="I88" s="1">
        <v>93.874499999999998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429.173</v>
      </c>
      <c r="C89" s="1">
        <v>156.97499999999999</v>
      </c>
      <c r="D89" s="1">
        <v>249.518</v>
      </c>
      <c r="E89" s="1">
        <v>429.47</v>
      </c>
      <c r="F89" s="9">
        <v>0.13577600000000001</v>
      </c>
      <c r="G89" s="9">
        <v>9.3867700000000003</v>
      </c>
      <c r="H89" s="1">
        <v>69.142200000000003</v>
      </c>
      <c r="I89" s="1">
        <v>92.763000000000005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429.23899999999998</v>
      </c>
      <c r="C90" s="1">
        <v>153.012</v>
      </c>
      <c r="D90" s="1">
        <v>243.596</v>
      </c>
      <c r="E90" s="1">
        <v>429.47</v>
      </c>
      <c r="F90" s="9">
        <v>0.10710799999999999</v>
      </c>
      <c r="G90" s="9">
        <v>9.6885999999999992</v>
      </c>
      <c r="H90" s="1">
        <v>68.381299999999996</v>
      </c>
      <c r="I90" s="1">
        <v>91.689499999999995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429.23899999999998</v>
      </c>
      <c r="C91" s="1">
        <v>149.50700000000001</v>
      </c>
      <c r="D91" s="1">
        <v>237.84800000000001</v>
      </c>
      <c r="E91" s="1">
        <v>429.47</v>
      </c>
      <c r="F91" s="9">
        <v>0.107158</v>
      </c>
      <c r="G91" s="9">
        <v>9.9532000000000007</v>
      </c>
      <c r="H91" s="1">
        <v>67.8767</v>
      </c>
      <c r="I91" s="1">
        <v>90.650400000000005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429.23599999999999</v>
      </c>
      <c r="C92" s="1">
        <v>146.12100000000001</v>
      </c>
      <c r="D92" s="1">
        <v>232.28800000000001</v>
      </c>
      <c r="E92" s="1">
        <v>429.47</v>
      </c>
      <c r="F92" s="9">
        <v>0.10734399999999999</v>
      </c>
      <c r="G92" s="9">
        <v>10.2559</v>
      </c>
      <c r="H92" s="1">
        <v>67.385300000000001</v>
      </c>
      <c r="I92" s="1">
        <v>89.637600000000006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429.23700000000002</v>
      </c>
      <c r="C93" s="1">
        <v>142.85</v>
      </c>
      <c r="D93" s="1">
        <v>226.899</v>
      </c>
      <c r="E93" s="1">
        <v>429.47</v>
      </c>
      <c r="F93" s="9">
        <v>0.10739700000000001</v>
      </c>
      <c r="G93" s="9">
        <v>10.5214</v>
      </c>
      <c r="H93" s="1">
        <v>66.906599999999997</v>
      </c>
      <c r="I93" s="1">
        <v>88.654499999999999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429.15699999999998</v>
      </c>
      <c r="C94" s="1">
        <v>139.685</v>
      </c>
      <c r="D94" s="1">
        <v>221.684</v>
      </c>
      <c r="E94" s="1">
        <v>429.47</v>
      </c>
      <c r="F94" s="9">
        <v>0.13683300000000001</v>
      </c>
      <c r="G94" s="9">
        <v>10.787100000000001</v>
      </c>
      <c r="H94" s="1">
        <v>66.44</v>
      </c>
      <c r="I94" s="1">
        <v>87.696600000000004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429.23399999999998</v>
      </c>
      <c r="C95" s="1">
        <v>136.61500000000001</v>
      </c>
      <c r="D95" s="1">
        <v>216.62700000000001</v>
      </c>
      <c r="E95" s="1">
        <v>429.47</v>
      </c>
      <c r="F95" s="9">
        <v>0.10763200000000001</v>
      </c>
      <c r="G95" s="9">
        <v>11.0913</v>
      </c>
      <c r="H95" s="1">
        <v>65.983999999999995</v>
      </c>
      <c r="I95" s="1">
        <v>86.766599999999997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429.233</v>
      </c>
      <c r="C96" s="1">
        <v>133.608</v>
      </c>
      <c r="D96" s="1">
        <v>211.733</v>
      </c>
      <c r="E96" s="1">
        <v>429.47</v>
      </c>
      <c r="F96" s="9">
        <v>0.107673</v>
      </c>
      <c r="G96" s="9">
        <v>11.357900000000001</v>
      </c>
      <c r="H96" s="1">
        <v>65.5351</v>
      </c>
      <c r="I96" s="1">
        <v>85.860900000000001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429.22699999999998</v>
      </c>
      <c r="C97" s="1">
        <v>130.43100000000001</v>
      </c>
      <c r="D97" s="1">
        <v>207.005</v>
      </c>
      <c r="E97" s="1">
        <v>429.47</v>
      </c>
      <c r="F97" s="9">
        <v>0.107859</v>
      </c>
      <c r="G97" s="9">
        <v>11.6629</v>
      </c>
      <c r="H97" s="1">
        <v>65.063000000000002</v>
      </c>
      <c r="I97" s="1">
        <v>84.975300000000004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429.22699999999998</v>
      </c>
      <c r="C98" s="1">
        <v>127.044</v>
      </c>
      <c r="D98" s="1">
        <v>202.41</v>
      </c>
      <c r="E98" s="1">
        <v>429.47</v>
      </c>
      <c r="F98" s="9">
        <v>0.10789899999999999</v>
      </c>
      <c r="G98" s="9">
        <v>11.930400000000001</v>
      </c>
      <c r="H98" s="1">
        <v>64.537800000000004</v>
      </c>
      <c r="I98" s="1">
        <v>84.118600000000001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427.029</v>
      </c>
      <c r="C99" s="1">
        <v>124.039</v>
      </c>
      <c r="D99" s="1">
        <v>197.97499999999999</v>
      </c>
      <c r="E99" s="1">
        <v>429.47</v>
      </c>
      <c r="F99" s="9">
        <v>0.33680100000000002</v>
      </c>
      <c r="G99" s="9">
        <v>12.1981</v>
      </c>
      <c r="H99" s="1">
        <v>64.075100000000006</v>
      </c>
      <c r="I99" s="1">
        <v>83.279499999999999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429.21100000000001</v>
      </c>
      <c r="C100" s="1">
        <v>120.916</v>
      </c>
      <c r="D100" s="1">
        <v>193.667</v>
      </c>
      <c r="E100" s="1">
        <v>429.47</v>
      </c>
      <c r="F100" s="9">
        <v>0.10811999999999999</v>
      </c>
      <c r="G100" s="9">
        <v>12.504099999999999</v>
      </c>
      <c r="H100" s="1">
        <v>63.581400000000002</v>
      </c>
      <c r="I100" s="1">
        <v>82.466800000000006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427.81599999999997</v>
      </c>
      <c r="C101" s="1">
        <v>118.205</v>
      </c>
      <c r="D101" s="1">
        <v>189.50399999999999</v>
      </c>
      <c r="E101" s="1">
        <v>429.47</v>
      </c>
      <c r="F101" s="9">
        <v>0.26657900000000001</v>
      </c>
      <c r="G101" s="9">
        <v>12.772500000000001</v>
      </c>
      <c r="H101" s="1">
        <v>63.155200000000001</v>
      </c>
      <c r="I101" s="1">
        <v>81.672200000000004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429.19900000000001</v>
      </c>
      <c r="C102" s="1">
        <v>115.2</v>
      </c>
      <c r="D102" s="1">
        <v>185.46199999999999</v>
      </c>
      <c r="E102" s="1">
        <v>429.47</v>
      </c>
      <c r="F102" s="9">
        <v>0.108331</v>
      </c>
      <c r="G102" s="9">
        <v>13.079499999999999</v>
      </c>
      <c r="H102" s="1">
        <v>62.664299999999997</v>
      </c>
      <c r="I102" s="1">
        <v>80.901799999999994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429.19400000000002</v>
      </c>
      <c r="C103" s="1">
        <v>112.91</v>
      </c>
      <c r="D103" s="1">
        <v>181.547</v>
      </c>
      <c r="E103" s="1">
        <v>429.47</v>
      </c>
      <c r="F103" s="9">
        <v>0.10835699999999999</v>
      </c>
      <c r="G103" s="9">
        <v>13.348599999999999</v>
      </c>
      <c r="H103" s="1">
        <v>62.298099999999998</v>
      </c>
      <c r="I103" s="1">
        <v>80.151200000000003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173.614</v>
      </c>
      <c r="C104" s="1">
        <v>109.83</v>
      </c>
      <c r="D104" s="1">
        <v>177.755</v>
      </c>
      <c r="E104" s="1">
        <v>429.47</v>
      </c>
      <c r="F104" s="9">
        <v>30.310400000000001</v>
      </c>
      <c r="G104" s="9">
        <v>13.6563</v>
      </c>
      <c r="H104" s="1">
        <v>61.9255</v>
      </c>
      <c r="I104" s="1">
        <v>79.420299999999997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402.08499999999998</v>
      </c>
      <c r="C105" s="1">
        <v>107.682</v>
      </c>
      <c r="D105" s="1">
        <v>174.08199999999999</v>
      </c>
      <c r="E105" s="1">
        <v>429.47</v>
      </c>
      <c r="F105" s="9">
        <v>0.10845100000000001</v>
      </c>
      <c r="G105" s="9">
        <v>13.896800000000001</v>
      </c>
      <c r="H105" s="1">
        <v>61.5578</v>
      </c>
      <c r="I105" s="1">
        <v>78.708200000000005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426.97500000000002</v>
      </c>
      <c r="C106" s="1">
        <v>105.499</v>
      </c>
      <c r="D106" s="1">
        <v>170.51900000000001</v>
      </c>
      <c r="E106" s="1">
        <v>429.47</v>
      </c>
      <c r="F106" s="9">
        <v>0.25094899999999998</v>
      </c>
      <c r="G106" s="9">
        <v>14.1663</v>
      </c>
      <c r="H106" s="1">
        <v>61.063499999999998</v>
      </c>
      <c r="I106" s="1">
        <v>78.015799999999999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397.25</v>
      </c>
      <c r="C107" s="1">
        <v>103.44</v>
      </c>
      <c r="D107" s="1">
        <v>167.07400000000001</v>
      </c>
      <c r="E107" s="1">
        <v>429.47</v>
      </c>
      <c r="F107" s="9">
        <v>0.31170100000000001</v>
      </c>
      <c r="G107" s="9">
        <v>14.4358</v>
      </c>
      <c r="H107" s="1">
        <v>60.712299999999999</v>
      </c>
      <c r="I107" s="1">
        <v>77.338899999999995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429.06200000000001</v>
      </c>
      <c r="C108" s="1">
        <v>101.812</v>
      </c>
      <c r="D108" s="1">
        <v>163.73099999999999</v>
      </c>
      <c r="E108" s="1">
        <v>429.47</v>
      </c>
      <c r="F108" s="9">
        <v>0.108433</v>
      </c>
      <c r="G108" s="9">
        <v>14.704800000000001</v>
      </c>
      <c r="H108" s="1">
        <v>60.461199999999998</v>
      </c>
      <c r="I108" s="1">
        <v>76.681299999999993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429.03</v>
      </c>
      <c r="C109" s="1">
        <v>99.995000000000005</v>
      </c>
      <c r="D109" s="1">
        <v>160.49100000000001</v>
      </c>
      <c r="E109" s="1">
        <v>429.47</v>
      </c>
      <c r="F109" s="9">
        <v>0.108464</v>
      </c>
      <c r="G109" s="9">
        <v>14.944599999999999</v>
      </c>
      <c r="H109" s="1">
        <v>60.152000000000001</v>
      </c>
      <c r="I109" s="1">
        <v>76.040999999999997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166.1</v>
      </c>
      <c r="C110" s="1">
        <v>97.543400000000005</v>
      </c>
      <c r="D110" s="1">
        <v>157.35</v>
      </c>
      <c r="E110" s="1">
        <v>429.47</v>
      </c>
      <c r="F110" s="9">
        <v>28.486799999999999</v>
      </c>
      <c r="G110" s="9">
        <v>15.2525</v>
      </c>
      <c r="H110" s="1">
        <v>59.829000000000001</v>
      </c>
      <c r="I110" s="1">
        <v>75.417199999999994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401.22</v>
      </c>
      <c r="C111" s="1">
        <v>95.921000000000006</v>
      </c>
      <c r="D111" s="1">
        <v>154.30799999999999</v>
      </c>
      <c r="E111" s="1">
        <v>429.47</v>
      </c>
      <c r="F111" s="9">
        <v>0.10846500000000001</v>
      </c>
      <c r="G111" s="9">
        <v>15.4948</v>
      </c>
      <c r="H111" s="1">
        <v>59.4514</v>
      </c>
      <c r="I111" s="1">
        <v>74.808999999999997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415.55099999999999</v>
      </c>
      <c r="C112" s="1">
        <v>94.518000000000001</v>
      </c>
      <c r="D112" s="1">
        <v>152.387</v>
      </c>
      <c r="E112" s="1">
        <v>429.47</v>
      </c>
      <c r="F112" s="9">
        <v>0.337001</v>
      </c>
      <c r="G112" s="9">
        <v>16.354800000000001</v>
      </c>
      <c r="H112" s="1">
        <v>56.4482</v>
      </c>
      <c r="I112" s="1">
        <v>70.690100000000001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415.52499999999998</v>
      </c>
      <c r="C113" s="1">
        <v>92.988399999999999</v>
      </c>
      <c r="D113" s="1">
        <v>149.02600000000001</v>
      </c>
      <c r="E113" s="1">
        <v>429.47</v>
      </c>
      <c r="F113" s="9">
        <v>0.38574700000000001</v>
      </c>
      <c r="G113" s="9">
        <v>17.999500000000001</v>
      </c>
      <c r="H113" s="1">
        <v>56.193399999999997</v>
      </c>
      <c r="I113" s="1">
        <v>70.163799999999995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143.179</v>
      </c>
      <c r="C114" s="1">
        <v>91.478300000000004</v>
      </c>
      <c r="D114" s="1">
        <v>145.851</v>
      </c>
      <c r="E114" s="1">
        <v>429.47</v>
      </c>
      <c r="F114" s="9">
        <v>0</v>
      </c>
      <c r="G114" s="9">
        <v>19.7714</v>
      </c>
      <c r="H114" s="1">
        <v>55.982100000000003</v>
      </c>
      <c r="I114" s="1">
        <v>69.653099999999995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143.179</v>
      </c>
      <c r="C115" s="1">
        <v>90.019900000000007</v>
      </c>
      <c r="D115" s="1">
        <v>142.80199999999999</v>
      </c>
      <c r="E115" s="1">
        <v>424.767</v>
      </c>
      <c r="F115" s="9">
        <v>0.221054</v>
      </c>
      <c r="G115" s="9">
        <v>20.043800000000001</v>
      </c>
      <c r="H115" s="1">
        <v>55.778799999999997</v>
      </c>
      <c r="I115" s="1">
        <v>69.153800000000004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143.179</v>
      </c>
      <c r="C116" s="1">
        <v>88.613900000000001</v>
      </c>
      <c r="D116" s="1">
        <v>139.863</v>
      </c>
      <c r="E116" s="1">
        <v>415.09699999999998</v>
      </c>
      <c r="F116" s="9">
        <v>0.221054</v>
      </c>
      <c r="G116" s="9">
        <v>20.316199999999998</v>
      </c>
      <c r="H116" s="1">
        <v>55.5824</v>
      </c>
      <c r="I116" s="1">
        <v>68.667000000000002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143.179</v>
      </c>
      <c r="C117" s="1">
        <v>87.258499999999998</v>
      </c>
      <c r="D117" s="1">
        <v>137.029</v>
      </c>
      <c r="E117" s="1">
        <v>405.72800000000001</v>
      </c>
      <c r="F117" s="9">
        <v>0.221054</v>
      </c>
      <c r="G117" s="9">
        <v>20.5886</v>
      </c>
      <c r="H117" s="1">
        <v>55.392600000000002</v>
      </c>
      <c r="I117" s="1">
        <v>68.193399999999997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143.179</v>
      </c>
      <c r="C118" s="1">
        <v>85.951599999999999</v>
      </c>
      <c r="D118" s="1">
        <v>134.29400000000001</v>
      </c>
      <c r="E118" s="1">
        <v>396.59800000000001</v>
      </c>
      <c r="F118" s="9">
        <v>0.221054</v>
      </c>
      <c r="G118" s="9">
        <v>20.860900000000001</v>
      </c>
      <c r="H118" s="1">
        <v>55.209200000000003</v>
      </c>
      <c r="I118" s="1">
        <v>67.732900000000001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143.179</v>
      </c>
      <c r="C119" s="1">
        <v>84.691599999999994</v>
      </c>
      <c r="D119" s="1">
        <v>131.65299999999999</v>
      </c>
      <c r="E119" s="1">
        <v>387.70100000000002</v>
      </c>
      <c r="F119" s="9">
        <v>0.221054</v>
      </c>
      <c r="G119" s="9">
        <v>21.133299999999998</v>
      </c>
      <c r="H119" s="1">
        <v>55.031999999999996</v>
      </c>
      <c r="I119" s="1">
        <v>67.285200000000003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83.476699999999994</v>
      </c>
      <c r="D120" s="1">
        <v>129.10300000000001</v>
      </c>
      <c r="E120" s="1">
        <v>379.03199999999998</v>
      </c>
      <c r="F120" s="9">
        <v>0.221054</v>
      </c>
      <c r="G120" s="9">
        <v>21.4057</v>
      </c>
      <c r="H120" s="1">
        <v>54.860799999999998</v>
      </c>
      <c r="I120" s="1">
        <v>66.849900000000005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82.305199999999999</v>
      </c>
      <c r="D121" s="1">
        <v>126.64100000000001</v>
      </c>
      <c r="E121" s="1">
        <v>370.58300000000003</v>
      </c>
      <c r="F121" s="9">
        <v>0.221054</v>
      </c>
      <c r="G121" s="9">
        <v>21.678100000000001</v>
      </c>
      <c r="H121" s="1">
        <v>54.695399999999999</v>
      </c>
      <c r="I121" s="1">
        <v>66.426599999999993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81.1755</v>
      </c>
      <c r="D122" s="1">
        <v>124.264</v>
      </c>
      <c r="E122" s="1">
        <v>362.351</v>
      </c>
      <c r="F122" s="9">
        <v>0.221054</v>
      </c>
      <c r="G122" s="9">
        <v>21.950399999999998</v>
      </c>
      <c r="H122" s="1">
        <v>54.535499999999999</v>
      </c>
      <c r="I122" s="1">
        <v>66.014899999999997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80.085999999999999</v>
      </c>
      <c r="D123" s="1">
        <v>121.968</v>
      </c>
      <c r="E123" s="1">
        <v>354.33199999999999</v>
      </c>
      <c r="F123" s="9">
        <v>0.221054</v>
      </c>
      <c r="G123" s="9">
        <v>22.222799999999999</v>
      </c>
      <c r="H123" s="1">
        <v>54.381100000000004</v>
      </c>
      <c r="I123" s="1">
        <v>65.614400000000003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79.035399999999996</v>
      </c>
      <c r="D124" s="1">
        <v>119.75</v>
      </c>
      <c r="E124" s="1">
        <v>346.51900000000001</v>
      </c>
      <c r="F124" s="9">
        <v>0.221054</v>
      </c>
      <c r="G124" s="9">
        <v>22.495200000000001</v>
      </c>
      <c r="H124" s="1">
        <v>54.231999999999999</v>
      </c>
      <c r="I124" s="1">
        <v>65.224999999999994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78.022000000000006</v>
      </c>
      <c r="D125" s="1">
        <v>117.608</v>
      </c>
      <c r="E125" s="1">
        <v>338.90800000000002</v>
      </c>
      <c r="F125" s="9">
        <v>0.221054</v>
      </c>
      <c r="G125" s="9">
        <v>22.767600000000002</v>
      </c>
      <c r="H125" s="1">
        <v>54.087800000000001</v>
      </c>
      <c r="I125" s="1">
        <v>64.846100000000007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77.044700000000006</v>
      </c>
      <c r="D126" s="1">
        <v>115.539</v>
      </c>
      <c r="E126" s="1">
        <v>331.495</v>
      </c>
      <c r="F126" s="9">
        <v>0.221054</v>
      </c>
      <c r="G126" s="9">
        <v>23.039899999999999</v>
      </c>
      <c r="H126" s="1">
        <v>53.948599999999999</v>
      </c>
      <c r="I126" s="1">
        <v>64.477500000000006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76.102000000000004</v>
      </c>
      <c r="D127" s="1">
        <v>113.539</v>
      </c>
      <c r="E127" s="1">
        <v>324.274</v>
      </c>
      <c r="F127" s="9">
        <v>0.221054</v>
      </c>
      <c r="G127" s="9">
        <v>23.3123</v>
      </c>
      <c r="H127" s="1">
        <v>53.814100000000003</v>
      </c>
      <c r="I127" s="1">
        <v>64.118899999999996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75.192700000000002</v>
      </c>
      <c r="D128" s="1">
        <v>111.60599999999999</v>
      </c>
      <c r="E128" s="1">
        <v>317.24099999999999</v>
      </c>
      <c r="F128" s="9">
        <v>0.221054</v>
      </c>
      <c r="G128" s="9">
        <v>23.584700000000002</v>
      </c>
      <c r="H128" s="1">
        <v>53.684100000000001</v>
      </c>
      <c r="I128" s="1">
        <v>63.77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74.315600000000003</v>
      </c>
      <c r="D129" s="1">
        <v>109.739</v>
      </c>
      <c r="E129" s="1">
        <v>310.39100000000002</v>
      </c>
      <c r="F129" s="9">
        <v>0.221054</v>
      </c>
      <c r="G129" s="9">
        <v>23.857099999999999</v>
      </c>
      <c r="H129" s="1">
        <v>53.558599999999998</v>
      </c>
      <c r="I129" s="1">
        <v>63.430500000000002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73.469399999999993</v>
      </c>
      <c r="D130" s="1">
        <v>107.934</v>
      </c>
      <c r="E130" s="1">
        <v>303.72000000000003</v>
      </c>
      <c r="F130" s="9">
        <v>0.221054</v>
      </c>
      <c r="G130" s="9">
        <v>24.1294</v>
      </c>
      <c r="H130" s="1">
        <v>53.4373</v>
      </c>
      <c r="I130" s="1">
        <v>63.100200000000001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72.653199999999998</v>
      </c>
      <c r="D131" s="1">
        <v>106.18899999999999</v>
      </c>
      <c r="E131" s="1">
        <v>297.22300000000001</v>
      </c>
      <c r="F131" s="9">
        <v>0.221054</v>
      </c>
      <c r="G131" s="9">
        <v>24.401800000000001</v>
      </c>
      <c r="H131" s="1">
        <v>53.320099999999996</v>
      </c>
      <c r="I131" s="1">
        <v>62.778799999999997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71.865799999999993</v>
      </c>
      <c r="D132" s="1">
        <v>104.502</v>
      </c>
      <c r="E132" s="1">
        <v>290.89699999999999</v>
      </c>
      <c r="F132" s="9">
        <v>0.221054</v>
      </c>
      <c r="G132" s="9">
        <v>24.674199999999999</v>
      </c>
      <c r="H132" s="1">
        <v>53.206899999999997</v>
      </c>
      <c r="I132" s="1">
        <v>62.466000000000001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71.106099999999998</v>
      </c>
      <c r="D133" s="1">
        <v>102.871</v>
      </c>
      <c r="E133" s="1">
        <v>284.73599999999999</v>
      </c>
      <c r="F133" s="9">
        <v>0.221054</v>
      </c>
      <c r="G133" s="9">
        <v>24.9466</v>
      </c>
      <c r="H133" s="1">
        <v>53.097499999999997</v>
      </c>
      <c r="I133" s="1">
        <v>62.1616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70.373199999999997</v>
      </c>
      <c r="D134" s="1">
        <v>101.294</v>
      </c>
      <c r="E134" s="1">
        <v>278.73700000000002</v>
      </c>
      <c r="F134" s="9">
        <v>0.221054</v>
      </c>
      <c r="G134" s="9">
        <v>25.219000000000001</v>
      </c>
      <c r="H134" s="1">
        <v>52.991900000000001</v>
      </c>
      <c r="I134" s="1">
        <v>61.865299999999998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69.208500000000001</v>
      </c>
      <c r="D135" s="1">
        <v>98.779399999999995</v>
      </c>
      <c r="E135" s="1">
        <v>269.08600000000001</v>
      </c>
      <c r="F135" s="9">
        <v>0.221054</v>
      </c>
      <c r="G135" s="9">
        <v>25.672899999999998</v>
      </c>
      <c r="H135" s="1">
        <v>52.823700000000002</v>
      </c>
      <c r="I135" s="1">
        <v>61.3889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406875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3061.91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475907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-72093.399999999994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-17.718800000000002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138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20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409.233</v>
      </c>
      <c r="T22" t="s">
        <v>54</v>
      </c>
      <c r="AC22" s="1"/>
    </row>
    <row r="23" spans="1:42" x14ac:dyDescent="0.25">
      <c r="R23" s="11" t="s">
        <v>51</v>
      </c>
      <c r="S23" s="1">
        <f>F140/1000</f>
        <v>8.3216099999999997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436.23099999999999</v>
      </c>
      <c r="T24" t="s">
        <v>54</v>
      </c>
    </row>
    <row r="25" spans="1:42" x14ac:dyDescent="0.25">
      <c r="R25" t="s">
        <v>53</v>
      </c>
      <c r="S25" s="1">
        <f>S22-S23-S24</f>
        <v>-35.319610000000011</v>
      </c>
      <c r="T25" t="s">
        <v>54</v>
      </c>
    </row>
    <row r="26" spans="1:42" x14ac:dyDescent="0.25">
      <c r="R26" s="11" t="s">
        <v>48</v>
      </c>
      <c r="S26" s="9">
        <f>D143</f>
        <v>-8.6305300000000003</v>
      </c>
      <c r="T26" t="s">
        <v>49</v>
      </c>
    </row>
    <row r="27" spans="1:42" ht="15" customHeight="1" x14ac:dyDescent="0.25">
      <c r="R27" s="11" t="s">
        <v>44</v>
      </c>
      <c r="S27" s="1">
        <f>B145</f>
        <v>407</v>
      </c>
      <c r="T27" t="s">
        <v>38</v>
      </c>
    </row>
    <row r="28" spans="1:42" ht="15" customHeight="1" x14ac:dyDescent="0.25">
      <c r="S28" s="9">
        <f>S27/60</f>
        <v>6.7833333333333332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395.95600000000002</v>
      </c>
      <c r="C34" s="1">
        <v>431.44299999999998</v>
      </c>
      <c r="D34" s="1">
        <v>433.00599999999997</v>
      </c>
      <c r="E34" s="1">
        <v>433.36599999999999</v>
      </c>
      <c r="F34" s="9">
        <v>3</v>
      </c>
      <c r="G34" s="9">
        <v>0</v>
      </c>
      <c r="H34" s="1">
        <v>412.19900000000001</v>
      </c>
      <c r="I34" s="1">
        <v>426.35500000000002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395.84800000000001</v>
      </c>
      <c r="C35" s="1">
        <v>429.17599999999999</v>
      </c>
      <c r="D35" s="1">
        <v>432.66899999999998</v>
      </c>
      <c r="E35" s="1">
        <v>433.327</v>
      </c>
      <c r="F35" s="9">
        <v>3</v>
      </c>
      <c r="G35" s="9">
        <v>0</v>
      </c>
      <c r="H35" s="1">
        <v>410.14299999999997</v>
      </c>
      <c r="I35" s="1">
        <v>425.98399999999998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395.74599999999998</v>
      </c>
      <c r="C36" s="1">
        <v>426.93099999999998</v>
      </c>
      <c r="D36" s="1">
        <v>432.346</v>
      </c>
      <c r="E36" s="1">
        <v>433.28800000000001</v>
      </c>
      <c r="F36" s="9">
        <v>3</v>
      </c>
      <c r="G36" s="9">
        <v>0</v>
      </c>
      <c r="H36" s="1">
        <v>408.10599999999999</v>
      </c>
      <c r="I36" s="1">
        <v>425.69099999999997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395.64699999999999</v>
      </c>
      <c r="C37" s="1">
        <v>424.70600000000002</v>
      </c>
      <c r="D37" s="1">
        <v>432.07</v>
      </c>
      <c r="E37" s="1">
        <v>433.24799999999999</v>
      </c>
      <c r="F37" s="9">
        <v>3</v>
      </c>
      <c r="G37" s="9">
        <v>0</v>
      </c>
      <c r="H37" s="1">
        <v>406.08699999999999</v>
      </c>
      <c r="I37" s="1">
        <v>425.4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395.55</v>
      </c>
      <c r="C38" s="1">
        <v>422.50099999999998</v>
      </c>
      <c r="D38" s="1">
        <v>431.78800000000001</v>
      </c>
      <c r="E38" s="1">
        <v>433.209</v>
      </c>
      <c r="F38" s="9">
        <v>3</v>
      </c>
      <c r="G38" s="9">
        <v>0</v>
      </c>
      <c r="H38" s="1">
        <v>404.08699999999999</v>
      </c>
      <c r="I38" s="1">
        <v>425.137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320.84300000000002</v>
      </c>
      <c r="C39" s="1">
        <v>420.31599999999997</v>
      </c>
      <c r="D39" s="1">
        <v>431.52699999999999</v>
      </c>
      <c r="E39" s="1">
        <v>433.17</v>
      </c>
      <c r="F39" s="9">
        <v>10</v>
      </c>
      <c r="G39" s="9">
        <v>0</v>
      </c>
      <c r="H39" s="1">
        <v>402.10399999999998</v>
      </c>
      <c r="I39" s="1">
        <v>424.87099999999998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318.483</v>
      </c>
      <c r="C40" s="1">
        <v>417.20299999999997</v>
      </c>
      <c r="D40" s="1">
        <v>431.11</v>
      </c>
      <c r="E40" s="1">
        <v>432.91800000000001</v>
      </c>
      <c r="F40" s="9">
        <v>10</v>
      </c>
      <c r="G40" s="9">
        <v>0</v>
      </c>
      <c r="H40" s="1">
        <v>383.51299999999998</v>
      </c>
      <c r="I40" s="1">
        <v>422.30700000000002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318.27499999999998</v>
      </c>
      <c r="C41" s="1">
        <v>413.65899999999999</v>
      </c>
      <c r="D41" s="1">
        <v>430.68</v>
      </c>
      <c r="E41" s="1">
        <v>432.73399999999998</v>
      </c>
      <c r="F41" s="9">
        <v>10</v>
      </c>
      <c r="G41" s="9">
        <v>0</v>
      </c>
      <c r="H41" s="1">
        <v>380.57</v>
      </c>
      <c r="I41" s="1">
        <v>421.92500000000001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318.08199999999999</v>
      </c>
      <c r="C42" s="1">
        <v>410.16500000000002</v>
      </c>
      <c r="D42" s="1">
        <v>430.30399999999997</v>
      </c>
      <c r="E42" s="1">
        <v>432.55399999999997</v>
      </c>
      <c r="F42" s="9">
        <v>10</v>
      </c>
      <c r="G42" s="9">
        <v>0</v>
      </c>
      <c r="H42" s="1">
        <v>377.66699999999997</v>
      </c>
      <c r="I42" s="1">
        <v>421.53300000000002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317.89</v>
      </c>
      <c r="C43" s="1">
        <v>406.72199999999998</v>
      </c>
      <c r="D43" s="1">
        <v>429.91699999999997</v>
      </c>
      <c r="E43" s="1">
        <v>432.38</v>
      </c>
      <c r="F43" s="9">
        <v>10</v>
      </c>
      <c r="G43" s="9">
        <v>0</v>
      </c>
      <c r="H43" s="1">
        <v>374.80500000000001</v>
      </c>
      <c r="I43" s="1">
        <v>421.18099999999998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317.702</v>
      </c>
      <c r="C44" s="1">
        <v>403.31299999999999</v>
      </c>
      <c r="D44" s="1">
        <v>429.56200000000001</v>
      </c>
      <c r="E44" s="1">
        <v>432.20499999999998</v>
      </c>
      <c r="F44" s="9">
        <v>10</v>
      </c>
      <c r="G44" s="9">
        <v>0</v>
      </c>
      <c r="H44" s="1">
        <v>371.96800000000002</v>
      </c>
      <c r="I44" s="1">
        <v>420.82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317.51499999999999</v>
      </c>
      <c r="C45" s="1">
        <v>399.96899999999999</v>
      </c>
      <c r="D45" s="1">
        <v>429.19799999999998</v>
      </c>
      <c r="E45" s="1">
        <v>432.03</v>
      </c>
      <c r="F45" s="9">
        <v>10</v>
      </c>
      <c r="G45" s="9">
        <v>0</v>
      </c>
      <c r="H45" s="1">
        <v>369.185</v>
      </c>
      <c r="I45" s="1">
        <v>420.48200000000003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317.33100000000002</v>
      </c>
      <c r="C46" s="1">
        <v>396.673</v>
      </c>
      <c r="D46" s="1">
        <v>428.851</v>
      </c>
      <c r="E46" s="1">
        <v>431.85500000000002</v>
      </c>
      <c r="F46" s="9">
        <v>10</v>
      </c>
      <c r="G46" s="9">
        <v>0</v>
      </c>
      <c r="H46" s="1">
        <v>366.44099999999997</v>
      </c>
      <c r="I46" s="1">
        <v>420.13499999999999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317.149</v>
      </c>
      <c r="C47" s="1">
        <v>393.42399999999998</v>
      </c>
      <c r="D47" s="1">
        <v>428.49599999999998</v>
      </c>
      <c r="E47" s="1">
        <v>431.67899999999997</v>
      </c>
      <c r="F47" s="9">
        <v>10</v>
      </c>
      <c r="G47" s="9">
        <v>0</v>
      </c>
      <c r="H47" s="1">
        <v>363.73500000000001</v>
      </c>
      <c r="I47" s="1">
        <v>419.80200000000002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316.96699999999998</v>
      </c>
      <c r="C48" s="1">
        <v>390.22300000000001</v>
      </c>
      <c r="D48" s="1">
        <v>428.15300000000002</v>
      </c>
      <c r="E48" s="1">
        <v>431.50400000000002</v>
      </c>
      <c r="F48" s="9">
        <v>10</v>
      </c>
      <c r="G48" s="9">
        <v>0</v>
      </c>
      <c r="H48" s="1">
        <v>361.06700000000001</v>
      </c>
      <c r="I48" s="1">
        <v>419.46199999999999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316.78699999999998</v>
      </c>
      <c r="C49" s="1">
        <v>387.06900000000002</v>
      </c>
      <c r="D49" s="1">
        <v>427.803</v>
      </c>
      <c r="E49" s="1">
        <v>431.32900000000001</v>
      </c>
      <c r="F49" s="9">
        <v>10</v>
      </c>
      <c r="G49" s="9">
        <v>0</v>
      </c>
      <c r="H49" s="1">
        <v>358.43700000000001</v>
      </c>
      <c r="I49" s="1">
        <v>419.13200000000001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316.60599999999999</v>
      </c>
      <c r="C50" s="1">
        <v>383.96</v>
      </c>
      <c r="D50" s="1">
        <v>427.46100000000001</v>
      </c>
      <c r="E50" s="1">
        <v>431.154</v>
      </c>
      <c r="F50" s="9">
        <v>10</v>
      </c>
      <c r="G50" s="9">
        <v>0</v>
      </c>
      <c r="H50" s="1">
        <v>355.84399999999999</v>
      </c>
      <c r="I50" s="1">
        <v>418.79700000000003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316.42599999999999</v>
      </c>
      <c r="C51" s="1">
        <v>380.88099999999997</v>
      </c>
      <c r="D51" s="1">
        <v>427.11599999999999</v>
      </c>
      <c r="E51" s="1">
        <v>430.97899999999998</v>
      </c>
      <c r="F51" s="9">
        <v>10</v>
      </c>
      <c r="G51" s="9">
        <v>0</v>
      </c>
      <c r="H51" s="1">
        <v>353.27199999999999</v>
      </c>
      <c r="I51" s="1">
        <v>418.46699999999998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316.24700000000001</v>
      </c>
      <c r="C52" s="1">
        <v>377.86200000000002</v>
      </c>
      <c r="D52" s="1">
        <v>426.77499999999998</v>
      </c>
      <c r="E52" s="1">
        <v>430.80399999999997</v>
      </c>
      <c r="F52" s="9">
        <v>10</v>
      </c>
      <c r="G52" s="9">
        <v>0</v>
      </c>
      <c r="H52" s="1">
        <v>350.75099999999998</v>
      </c>
      <c r="I52" s="1">
        <v>418.13499999999999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316.06799999999998</v>
      </c>
      <c r="C53" s="1">
        <v>374.887</v>
      </c>
      <c r="D53" s="1">
        <v>426.43200000000002</v>
      </c>
      <c r="E53" s="1">
        <v>430.62900000000002</v>
      </c>
      <c r="F53" s="9">
        <v>10</v>
      </c>
      <c r="G53" s="9">
        <v>0</v>
      </c>
      <c r="H53" s="1">
        <v>348.26600000000002</v>
      </c>
      <c r="I53" s="1">
        <v>417.80599999999998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315.89</v>
      </c>
      <c r="C54" s="1">
        <v>371.95499999999998</v>
      </c>
      <c r="D54" s="1">
        <v>426.09100000000001</v>
      </c>
      <c r="E54" s="1">
        <v>430.45400000000001</v>
      </c>
      <c r="F54" s="9">
        <v>10</v>
      </c>
      <c r="G54" s="9">
        <v>0</v>
      </c>
      <c r="H54" s="1">
        <v>345.81599999999997</v>
      </c>
      <c r="I54" s="1">
        <v>417.476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315.71199999999999</v>
      </c>
      <c r="C55" s="1">
        <v>369.06700000000001</v>
      </c>
      <c r="D55" s="1">
        <v>425.74900000000002</v>
      </c>
      <c r="E55" s="1">
        <v>430.27800000000002</v>
      </c>
      <c r="F55" s="9">
        <v>10</v>
      </c>
      <c r="G55" s="9">
        <v>0</v>
      </c>
      <c r="H55" s="1">
        <v>343.40100000000001</v>
      </c>
      <c r="I55" s="1">
        <v>417.14800000000002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315.536</v>
      </c>
      <c r="C56" s="1">
        <v>366.22</v>
      </c>
      <c r="D56" s="1">
        <v>425.41</v>
      </c>
      <c r="E56" s="1">
        <v>430.10300000000001</v>
      </c>
      <c r="F56" s="9">
        <v>10</v>
      </c>
      <c r="G56" s="9">
        <v>0</v>
      </c>
      <c r="H56" s="1">
        <v>341.02</v>
      </c>
      <c r="I56" s="1">
        <v>416.81900000000002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315.36</v>
      </c>
      <c r="C57" s="1">
        <v>363.416</v>
      </c>
      <c r="D57" s="1">
        <v>425.06900000000002</v>
      </c>
      <c r="E57" s="1">
        <v>429.928</v>
      </c>
      <c r="F57" s="9">
        <v>10</v>
      </c>
      <c r="G57" s="9">
        <v>0</v>
      </c>
      <c r="H57" s="1">
        <v>338.67200000000003</v>
      </c>
      <c r="I57" s="1">
        <v>416.49099999999999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315.18299999999999</v>
      </c>
      <c r="C58" s="1">
        <v>360.65199999999999</v>
      </c>
      <c r="D58" s="1">
        <v>424.73</v>
      </c>
      <c r="E58" s="1">
        <v>429.75299999999999</v>
      </c>
      <c r="F58" s="9">
        <v>10</v>
      </c>
      <c r="G58" s="9">
        <v>0</v>
      </c>
      <c r="H58" s="1">
        <v>336.358</v>
      </c>
      <c r="I58" s="1">
        <v>416.16399999999999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315.00799999999998</v>
      </c>
      <c r="C59" s="1">
        <v>357.91399999999999</v>
      </c>
      <c r="D59" s="1">
        <v>424.39100000000002</v>
      </c>
      <c r="E59" s="1">
        <v>429.57799999999997</v>
      </c>
      <c r="F59" s="9">
        <v>10</v>
      </c>
      <c r="G59" s="9">
        <v>0</v>
      </c>
      <c r="H59" s="1">
        <v>334.06299999999999</v>
      </c>
      <c r="I59" s="1">
        <v>415.83699999999999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429.35</v>
      </c>
      <c r="C60" s="1">
        <v>353.524</v>
      </c>
      <c r="D60" s="1">
        <v>424.255</v>
      </c>
      <c r="E60" s="1">
        <v>429.50799999999998</v>
      </c>
      <c r="F60" s="9">
        <v>7.81834E-2</v>
      </c>
      <c r="G60" s="9">
        <v>1.6556200000000001</v>
      </c>
      <c r="H60" s="1">
        <v>108.92400000000001</v>
      </c>
      <c r="I60" s="1">
        <v>424.14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429.30599999999998</v>
      </c>
      <c r="C61" s="1">
        <v>337.01</v>
      </c>
      <c r="D61" s="1">
        <v>424.25400000000002</v>
      </c>
      <c r="E61" s="1">
        <v>429.50799999999998</v>
      </c>
      <c r="F61" s="9">
        <v>9.8090499999999997E-2</v>
      </c>
      <c r="G61" s="9">
        <v>2.3883899999999998</v>
      </c>
      <c r="H61" s="1">
        <v>106.61199999999999</v>
      </c>
      <c r="I61" s="1">
        <v>424.16800000000001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429.35</v>
      </c>
      <c r="C62" s="1">
        <v>321.28500000000003</v>
      </c>
      <c r="D62" s="1">
        <v>424.25</v>
      </c>
      <c r="E62" s="1">
        <v>429.50799999999998</v>
      </c>
      <c r="F62" s="9">
        <v>7.8492699999999999E-2</v>
      </c>
      <c r="G62" s="9">
        <v>2.90964</v>
      </c>
      <c r="H62" s="1">
        <v>104.133</v>
      </c>
      <c r="I62" s="1">
        <v>424.12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429.35</v>
      </c>
      <c r="C63" s="1">
        <v>306.13299999999998</v>
      </c>
      <c r="D63" s="1">
        <v>424.245</v>
      </c>
      <c r="E63" s="1">
        <v>429.50799999999998</v>
      </c>
      <c r="F63" s="9">
        <v>7.8640600000000005E-2</v>
      </c>
      <c r="G63" s="9">
        <v>3.3087300000000002</v>
      </c>
      <c r="H63" s="1">
        <v>101.8</v>
      </c>
      <c r="I63" s="1">
        <v>424.03500000000003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429.34899999999999</v>
      </c>
      <c r="C64" s="1">
        <v>294.37299999999999</v>
      </c>
      <c r="D64" s="1">
        <v>424.23899999999998</v>
      </c>
      <c r="E64" s="1">
        <v>429.50799999999998</v>
      </c>
      <c r="F64" s="9">
        <v>7.8825400000000004E-2</v>
      </c>
      <c r="G64" s="9">
        <v>3.65035</v>
      </c>
      <c r="H64" s="1">
        <v>100.006</v>
      </c>
      <c r="I64" s="1">
        <v>423.80799999999999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429.34899999999999</v>
      </c>
      <c r="C65" s="1">
        <v>283.16300000000001</v>
      </c>
      <c r="D65" s="1">
        <v>424.22199999999998</v>
      </c>
      <c r="E65" s="1">
        <v>429.50799999999998</v>
      </c>
      <c r="F65" s="9">
        <v>7.89049E-2</v>
      </c>
      <c r="G65" s="9">
        <v>3.9333999999999998</v>
      </c>
      <c r="H65" s="1">
        <v>98.267200000000003</v>
      </c>
      <c r="I65" s="1">
        <v>423.49799999999999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429.303</v>
      </c>
      <c r="C66" s="1">
        <v>272.55799999999999</v>
      </c>
      <c r="D66" s="1">
        <v>424.18200000000002</v>
      </c>
      <c r="E66" s="1">
        <v>429.50799999999998</v>
      </c>
      <c r="F66" s="9">
        <v>9.9449999999999997E-2</v>
      </c>
      <c r="G66" s="9">
        <v>4.1901900000000003</v>
      </c>
      <c r="H66" s="1">
        <v>96.612899999999996</v>
      </c>
      <c r="I66" s="1">
        <v>422.84800000000001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429.34800000000001</v>
      </c>
      <c r="C67" s="1">
        <v>262.18299999999999</v>
      </c>
      <c r="D67" s="1">
        <v>424.065</v>
      </c>
      <c r="E67" s="1">
        <v>429.50799999999998</v>
      </c>
      <c r="F67" s="9">
        <v>7.9266699999999995E-2</v>
      </c>
      <c r="G67" s="9">
        <v>4.4390400000000003</v>
      </c>
      <c r="H67" s="1">
        <v>94.929199999999994</v>
      </c>
      <c r="I67" s="1">
        <v>416.54500000000002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429.34800000000001</v>
      </c>
      <c r="C68" s="1">
        <v>250.845</v>
      </c>
      <c r="D68" s="1">
        <v>423.85599999999999</v>
      </c>
      <c r="E68" s="1">
        <v>429.50799999999998</v>
      </c>
      <c r="F68" s="9">
        <v>7.9386300000000007E-2</v>
      </c>
      <c r="G68" s="9">
        <v>4.6553899999999997</v>
      </c>
      <c r="H68" s="1">
        <v>93.376199999999997</v>
      </c>
      <c r="I68" s="1">
        <v>351.18700000000001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429.34800000000001</v>
      </c>
      <c r="C69" s="1">
        <v>241.01400000000001</v>
      </c>
      <c r="D69" s="1">
        <v>423.85599999999999</v>
      </c>
      <c r="E69" s="1">
        <v>429.50799999999998</v>
      </c>
      <c r="F69" s="9">
        <v>7.9516500000000004E-2</v>
      </c>
      <c r="G69" s="9">
        <v>4.8582700000000001</v>
      </c>
      <c r="H69" s="1">
        <v>91.877099999999999</v>
      </c>
      <c r="I69" s="1">
        <v>169.51499999999999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429.34699999999998</v>
      </c>
      <c r="C70" s="1">
        <v>232.46</v>
      </c>
      <c r="D70" s="1">
        <v>410.46499999999997</v>
      </c>
      <c r="E70" s="1">
        <v>429.50799999999998</v>
      </c>
      <c r="F70" s="9">
        <v>7.9659400000000005E-2</v>
      </c>
      <c r="G70" s="9">
        <v>5.0489600000000001</v>
      </c>
      <c r="H70" s="1">
        <v>90.071200000000005</v>
      </c>
      <c r="I70" s="1">
        <v>153.87799999999999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429.34699999999998</v>
      </c>
      <c r="C71" s="1">
        <v>224.279</v>
      </c>
      <c r="D71" s="1">
        <v>396.96199999999999</v>
      </c>
      <c r="E71" s="1">
        <v>429.50799999999998</v>
      </c>
      <c r="F71" s="9">
        <v>7.9809400000000003E-2</v>
      </c>
      <c r="G71" s="9">
        <v>5.2307800000000002</v>
      </c>
      <c r="H71" s="1">
        <v>88.699100000000001</v>
      </c>
      <c r="I71" s="1">
        <v>150.13399999999999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429.3</v>
      </c>
      <c r="C72" s="1">
        <v>216.26</v>
      </c>
      <c r="D72" s="1">
        <v>383.99799999999999</v>
      </c>
      <c r="E72" s="1">
        <v>429.50799999999998</v>
      </c>
      <c r="F72" s="9">
        <v>0.100899</v>
      </c>
      <c r="G72" s="9">
        <v>5.3989500000000001</v>
      </c>
      <c r="H72" s="1">
        <v>87.300600000000003</v>
      </c>
      <c r="I72" s="1">
        <v>146.768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429.34699999999998</v>
      </c>
      <c r="C73" s="1">
        <v>208.47</v>
      </c>
      <c r="D73" s="1">
        <v>371.49799999999999</v>
      </c>
      <c r="E73" s="1">
        <v>429.50799999999998</v>
      </c>
      <c r="F73" s="9">
        <v>7.9851000000000005E-2</v>
      </c>
      <c r="G73" s="9">
        <v>5.5786899999999999</v>
      </c>
      <c r="H73" s="1">
        <v>86.003200000000007</v>
      </c>
      <c r="I73" s="1">
        <v>143.53899999999999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429.34699999999998</v>
      </c>
      <c r="C74" s="1">
        <v>199.88399999999999</v>
      </c>
      <c r="D74" s="1">
        <v>359.48099999999999</v>
      </c>
      <c r="E74" s="1">
        <v>429.50799999999998</v>
      </c>
      <c r="F74" s="9">
        <v>7.99676E-2</v>
      </c>
      <c r="G74" s="9">
        <v>5.7588100000000004</v>
      </c>
      <c r="H74" s="1">
        <v>84.439400000000006</v>
      </c>
      <c r="I74" s="1">
        <v>140.42699999999999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429.346</v>
      </c>
      <c r="C75" s="1">
        <v>193.178</v>
      </c>
      <c r="D75" s="1">
        <v>347.92700000000002</v>
      </c>
      <c r="E75" s="1">
        <v>429.50799999999998</v>
      </c>
      <c r="F75" s="9">
        <v>8.0083100000000004E-2</v>
      </c>
      <c r="G75" s="9">
        <v>5.9392699999999996</v>
      </c>
      <c r="H75" s="1">
        <v>83.269300000000001</v>
      </c>
      <c r="I75" s="1">
        <v>137.42699999999999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429.346</v>
      </c>
      <c r="C76" s="1">
        <v>186.63</v>
      </c>
      <c r="D76" s="1">
        <v>336.82400000000001</v>
      </c>
      <c r="E76" s="1">
        <v>429.50799999999998</v>
      </c>
      <c r="F76" s="9">
        <v>8.0197000000000004E-2</v>
      </c>
      <c r="G76" s="9">
        <v>6.1200299999999999</v>
      </c>
      <c r="H76" s="1">
        <v>82.087400000000002</v>
      </c>
      <c r="I76" s="1">
        <v>134.53399999999999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429.346</v>
      </c>
      <c r="C77" s="1">
        <v>180.28200000000001</v>
      </c>
      <c r="D77" s="1">
        <v>326.14100000000002</v>
      </c>
      <c r="E77" s="1">
        <v>429.50799999999998</v>
      </c>
      <c r="F77" s="9">
        <v>8.0310099999999995E-2</v>
      </c>
      <c r="G77" s="9">
        <v>6.3011100000000004</v>
      </c>
      <c r="H77" s="1">
        <v>80.928399999999996</v>
      </c>
      <c r="I77" s="1">
        <v>131.749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429.346</v>
      </c>
      <c r="C78" s="1">
        <v>173.51300000000001</v>
      </c>
      <c r="D78" s="1">
        <v>315.86</v>
      </c>
      <c r="E78" s="1">
        <v>429.50799999999998</v>
      </c>
      <c r="F78" s="9">
        <v>8.0421900000000004E-2</v>
      </c>
      <c r="G78" s="9">
        <v>6.4825400000000002</v>
      </c>
      <c r="H78" s="1">
        <v>79.805099999999996</v>
      </c>
      <c r="I78" s="1">
        <v>129.06899999999999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429.34500000000003</v>
      </c>
      <c r="C79" s="1">
        <v>167.56299999999999</v>
      </c>
      <c r="D79" s="1">
        <v>305.98700000000002</v>
      </c>
      <c r="E79" s="1">
        <v>429.50799999999998</v>
      </c>
      <c r="F79" s="9">
        <v>8.0532099999999995E-2</v>
      </c>
      <c r="G79" s="9">
        <v>6.6642599999999996</v>
      </c>
      <c r="H79" s="1">
        <v>78.533500000000004</v>
      </c>
      <c r="I79" s="1">
        <v>126.482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429.34500000000003</v>
      </c>
      <c r="C80" s="1">
        <v>162.34899999999999</v>
      </c>
      <c r="D80" s="1">
        <v>296.48200000000003</v>
      </c>
      <c r="E80" s="1">
        <v>429.50799999999998</v>
      </c>
      <c r="F80" s="9">
        <v>8.0641900000000002E-2</v>
      </c>
      <c r="G80" s="9">
        <v>6.8463200000000004</v>
      </c>
      <c r="H80" s="1">
        <v>77.535600000000002</v>
      </c>
      <c r="I80" s="1">
        <v>123.99299999999999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429.34500000000003</v>
      </c>
      <c r="C81" s="1">
        <v>157.43</v>
      </c>
      <c r="D81" s="1">
        <v>287.346</v>
      </c>
      <c r="E81" s="1">
        <v>429.50799999999998</v>
      </c>
      <c r="F81" s="9">
        <v>8.0749799999999997E-2</v>
      </c>
      <c r="G81" s="9">
        <v>7.0286600000000004</v>
      </c>
      <c r="H81" s="1">
        <v>76.579099999999997</v>
      </c>
      <c r="I81" s="1">
        <v>121.59399999999999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429.29599999999999</v>
      </c>
      <c r="C82" s="1">
        <v>152.63499999999999</v>
      </c>
      <c r="D82" s="1">
        <v>278.57100000000003</v>
      </c>
      <c r="E82" s="1">
        <v>429.50799999999998</v>
      </c>
      <c r="F82" s="9">
        <v>0.102731</v>
      </c>
      <c r="G82" s="9">
        <v>7.1999199999999997</v>
      </c>
      <c r="H82" s="1">
        <v>75.640299999999996</v>
      </c>
      <c r="I82" s="1">
        <v>119.279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429.34500000000003</v>
      </c>
      <c r="C83" s="1">
        <v>148.154</v>
      </c>
      <c r="D83" s="1">
        <v>270.13099999999997</v>
      </c>
      <c r="E83" s="1">
        <v>429.50799999999998</v>
      </c>
      <c r="F83" s="9">
        <v>8.0735799999999996E-2</v>
      </c>
      <c r="G83" s="9">
        <v>7.3828800000000001</v>
      </c>
      <c r="H83" s="1">
        <v>74.745800000000003</v>
      </c>
      <c r="I83" s="1">
        <v>117.048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429.34500000000003</v>
      </c>
      <c r="C84" s="1">
        <v>143.61699999999999</v>
      </c>
      <c r="D84" s="1">
        <v>262.03100000000001</v>
      </c>
      <c r="E84" s="1">
        <v>429.50799999999998</v>
      </c>
      <c r="F84" s="9">
        <v>8.0837099999999995E-2</v>
      </c>
      <c r="G84" s="9">
        <v>7.56616</v>
      </c>
      <c r="H84" s="1">
        <v>73.839600000000004</v>
      </c>
      <c r="I84" s="1">
        <v>114.89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429.34399999999999</v>
      </c>
      <c r="C85" s="1">
        <v>138.80099999999999</v>
      </c>
      <c r="D85" s="1">
        <v>254.23500000000001</v>
      </c>
      <c r="E85" s="1">
        <v>429.50799999999998</v>
      </c>
      <c r="F85" s="9">
        <v>8.0937300000000004E-2</v>
      </c>
      <c r="G85" s="9">
        <v>7.7497400000000001</v>
      </c>
      <c r="H85" s="1">
        <v>72.978200000000001</v>
      </c>
      <c r="I85" s="1">
        <v>112.81399999999999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429.34399999999999</v>
      </c>
      <c r="C86" s="1">
        <v>134.78899999999999</v>
      </c>
      <c r="D86" s="1">
        <v>246.74100000000001</v>
      </c>
      <c r="E86" s="1">
        <v>429.50799999999998</v>
      </c>
      <c r="F86" s="9">
        <v>8.10361E-2</v>
      </c>
      <c r="G86" s="9">
        <v>7.9335800000000001</v>
      </c>
      <c r="H86" s="1">
        <v>72.178899999999999</v>
      </c>
      <c r="I86" s="1">
        <v>110.81100000000001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429.286</v>
      </c>
      <c r="C87" s="1">
        <v>131.423</v>
      </c>
      <c r="D87" s="1">
        <v>239.376</v>
      </c>
      <c r="E87" s="1">
        <v>429.50799999999998</v>
      </c>
      <c r="F87" s="9">
        <v>0.10716100000000001</v>
      </c>
      <c r="G87" s="9">
        <v>8.1648099999999992</v>
      </c>
      <c r="H87" s="1">
        <v>71.059299999999993</v>
      </c>
      <c r="I87" s="1">
        <v>104.71299999999999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429.28399999999999</v>
      </c>
      <c r="C88" s="1">
        <v>127.44499999999999</v>
      </c>
      <c r="D88" s="1">
        <v>231.97</v>
      </c>
      <c r="E88" s="1">
        <v>429.50799999999998</v>
      </c>
      <c r="F88" s="9">
        <v>0.10745300000000001</v>
      </c>
      <c r="G88" s="9">
        <v>8.4223499999999998</v>
      </c>
      <c r="H88" s="1">
        <v>70.269800000000004</v>
      </c>
      <c r="I88" s="1">
        <v>102.88800000000001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429.28500000000003</v>
      </c>
      <c r="C89" s="1">
        <v>123.815</v>
      </c>
      <c r="D89" s="1">
        <v>224.852</v>
      </c>
      <c r="E89" s="1">
        <v>429.50799999999998</v>
      </c>
      <c r="F89" s="9">
        <v>0.107534</v>
      </c>
      <c r="G89" s="9">
        <v>8.6653400000000005</v>
      </c>
      <c r="H89" s="1">
        <v>69.440100000000001</v>
      </c>
      <c r="I89" s="1">
        <v>101.152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429.28399999999999</v>
      </c>
      <c r="C90" s="1">
        <v>119.813</v>
      </c>
      <c r="D90" s="1">
        <v>218.03899999999999</v>
      </c>
      <c r="E90" s="1">
        <v>429.50799999999998</v>
      </c>
      <c r="F90" s="9">
        <v>0.10760599999999999</v>
      </c>
      <c r="G90" s="9">
        <v>8.9087399999999999</v>
      </c>
      <c r="H90" s="1">
        <v>68.672499999999999</v>
      </c>
      <c r="I90" s="1">
        <v>99.477599999999995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429.28399999999999</v>
      </c>
      <c r="C91" s="1">
        <v>116.633</v>
      </c>
      <c r="D91" s="1">
        <v>211.51400000000001</v>
      </c>
      <c r="E91" s="1">
        <v>429.50799999999998</v>
      </c>
      <c r="F91" s="9">
        <v>0.10767500000000001</v>
      </c>
      <c r="G91" s="9">
        <v>9.1525499999999997</v>
      </c>
      <c r="H91" s="1">
        <v>67.992800000000003</v>
      </c>
      <c r="I91" s="1">
        <v>97.864800000000002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429.21600000000001</v>
      </c>
      <c r="C92" s="1">
        <v>113.699</v>
      </c>
      <c r="D92" s="1">
        <v>205.268</v>
      </c>
      <c r="E92" s="1">
        <v>429.50799999999998</v>
      </c>
      <c r="F92" s="9">
        <v>0.137431</v>
      </c>
      <c r="G92" s="9">
        <v>9.3967100000000006</v>
      </c>
      <c r="H92" s="1">
        <v>67.3185</v>
      </c>
      <c r="I92" s="1">
        <v>96.309200000000004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429.28300000000002</v>
      </c>
      <c r="C93" s="1">
        <v>110.794</v>
      </c>
      <c r="D93" s="1">
        <v>199.28399999999999</v>
      </c>
      <c r="E93" s="1">
        <v>429.50799999999998</v>
      </c>
      <c r="F93" s="9">
        <v>0.108031</v>
      </c>
      <c r="G93" s="9">
        <v>9.6566299999999998</v>
      </c>
      <c r="H93" s="1">
        <v>66.684899999999999</v>
      </c>
      <c r="I93" s="1">
        <v>94.810100000000006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429.28199999999998</v>
      </c>
      <c r="C94" s="1">
        <v>108.11799999999999</v>
      </c>
      <c r="D94" s="1">
        <v>193.55799999999999</v>
      </c>
      <c r="E94" s="1">
        <v>429.50799999999998</v>
      </c>
      <c r="F94" s="9">
        <v>0.10809000000000001</v>
      </c>
      <c r="G94" s="9">
        <v>9.9017199999999992</v>
      </c>
      <c r="H94" s="1">
        <v>66.056299999999993</v>
      </c>
      <c r="I94" s="1">
        <v>93.362799999999993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429.28199999999998</v>
      </c>
      <c r="C95" s="1">
        <v>105.47499999999999</v>
      </c>
      <c r="D95" s="1">
        <v>188.071</v>
      </c>
      <c r="E95" s="1">
        <v>429.50799999999998</v>
      </c>
      <c r="F95" s="9">
        <v>0.10814699999999999</v>
      </c>
      <c r="G95" s="9">
        <v>10.1472</v>
      </c>
      <c r="H95" s="1">
        <v>65.465500000000006</v>
      </c>
      <c r="I95" s="1">
        <v>91.967600000000004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429.20699999999999</v>
      </c>
      <c r="C96" s="1">
        <v>103.033</v>
      </c>
      <c r="D96" s="1">
        <v>182.81100000000001</v>
      </c>
      <c r="E96" s="1">
        <v>429.50799999999998</v>
      </c>
      <c r="F96" s="9">
        <v>0.138353</v>
      </c>
      <c r="G96" s="9">
        <v>10.393000000000001</v>
      </c>
      <c r="H96" s="1">
        <v>64.882199999999997</v>
      </c>
      <c r="I96" s="1">
        <v>90.622600000000006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429.279</v>
      </c>
      <c r="C97" s="1">
        <v>100.636</v>
      </c>
      <c r="D97" s="1">
        <v>177.773</v>
      </c>
      <c r="E97" s="1">
        <v>429.50799999999998</v>
      </c>
      <c r="F97" s="9">
        <v>0.108486</v>
      </c>
      <c r="G97" s="9">
        <v>10.6547</v>
      </c>
      <c r="H97" s="1">
        <v>64.331699999999998</v>
      </c>
      <c r="I97" s="1">
        <v>89.3249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429.279</v>
      </c>
      <c r="C98" s="1">
        <v>98.4011</v>
      </c>
      <c r="D98" s="1">
        <v>172.94399999999999</v>
      </c>
      <c r="E98" s="1">
        <v>429.50799999999998</v>
      </c>
      <c r="F98" s="9">
        <v>0.108386</v>
      </c>
      <c r="G98" s="9">
        <v>10.854900000000001</v>
      </c>
      <c r="H98" s="1">
        <v>63.7911</v>
      </c>
      <c r="I98" s="1">
        <v>88.073099999999997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181.32</v>
      </c>
      <c r="C99" s="1">
        <v>96.228700000000003</v>
      </c>
      <c r="D99" s="1">
        <v>168.316</v>
      </c>
      <c r="E99" s="1">
        <v>429.50799999999998</v>
      </c>
      <c r="F99" s="9">
        <v>40</v>
      </c>
      <c r="G99" s="9">
        <v>11.1012</v>
      </c>
      <c r="H99" s="1">
        <v>63.2776</v>
      </c>
      <c r="I99" s="1">
        <v>86.864900000000006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429.27699999999999</v>
      </c>
      <c r="C100" s="1">
        <v>94.183000000000007</v>
      </c>
      <c r="D100" s="1">
        <v>163.88</v>
      </c>
      <c r="E100" s="1">
        <v>429.50799999999998</v>
      </c>
      <c r="F100" s="9">
        <v>0.108344</v>
      </c>
      <c r="G100" s="9">
        <v>11.301399999999999</v>
      </c>
      <c r="H100" s="1">
        <v>62.7761</v>
      </c>
      <c r="I100" s="1">
        <v>85.698999999999998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179.53399999999999</v>
      </c>
      <c r="C101" s="1">
        <v>92.205399999999997</v>
      </c>
      <c r="D101" s="1">
        <v>159.62799999999999</v>
      </c>
      <c r="E101" s="1">
        <v>429.50799999999998</v>
      </c>
      <c r="F101" s="9">
        <v>40</v>
      </c>
      <c r="G101" s="9">
        <v>11.547800000000001</v>
      </c>
      <c r="H101" s="1">
        <v>62.296900000000001</v>
      </c>
      <c r="I101" s="1">
        <v>84.573599999999999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429.274</v>
      </c>
      <c r="C102" s="1">
        <v>90.332300000000004</v>
      </c>
      <c r="D102" s="1">
        <v>155.55000000000001</v>
      </c>
      <c r="E102" s="1">
        <v>429.50799999999998</v>
      </c>
      <c r="F102" s="9">
        <v>0.108307</v>
      </c>
      <c r="G102" s="9">
        <v>11.7479</v>
      </c>
      <c r="H102" s="1">
        <v>61.8307</v>
      </c>
      <c r="I102" s="1">
        <v>83.487200000000001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177.77600000000001</v>
      </c>
      <c r="C103" s="1">
        <v>88.529399999999995</v>
      </c>
      <c r="D103" s="1">
        <v>151.63999999999999</v>
      </c>
      <c r="E103" s="1">
        <v>429.50799999999998</v>
      </c>
      <c r="F103" s="9">
        <v>40</v>
      </c>
      <c r="G103" s="9">
        <v>11.9635</v>
      </c>
      <c r="H103" s="1">
        <v>61.383499999999998</v>
      </c>
      <c r="I103" s="1">
        <v>82.438199999999995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429.161</v>
      </c>
      <c r="C104" s="1">
        <v>86.814099999999996</v>
      </c>
      <c r="D104" s="1">
        <v>147.88999999999999</v>
      </c>
      <c r="E104" s="1">
        <v>429.50799999999998</v>
      </c>
      <c r="F104" s="9">
        <v>0.138515</v>
      </c>
      <c r="G104" s="9">
        <v>12.1943</v>
      </c>
      <c r="H104" s="1">
        <v>60.9499</v>
      </c>
      <c r="I104" s="1">
        <v>81.4255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428.226</v>
      </c>
      <c r="C105" s="1">
        <v>85.169600000000003</v>
      </c>
      <c r="D105" s="1">
        <v>144.292</v>
      </c>
      <c r="E105" s="1">
        <v>429.50799999999998</v>
      </c>
      <c r="F105" s="9">
        <v>0.21026800000000001</v>
      </c>
      <c r="G105" s="9">
        <v>12.394500000000001</v>
      </c>
      <c r="H105" s="1">
        <v>60.532200000000003</v>
      </c>
      <c r="I105" s="1">
        <v>80.447400000000002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414.30599999999998</v>
      </c>
      <c r="C106" s="1">
        <v>83.598699999999994</v>
      </c>
      <c r="D106" s="1">
        <v>140.84100000000001</v>
      </c>
      <c r="E106" s="1">
        <v>429.50799999999998</v>
      </c>
      <c r="F106" s="9">
        <v>0.108504</v>
      </c>
      <c r="G106" s="9">
        <v>12.6563</v>
      </c>
      <c r="H106" s="1">
        <v>60.128999999999998</v>
      </c>
      <c r="I106" s="1">
        <v>79.502700000000004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429.25400000000002</v>
      </c>
      <c r="C107" s="1">
        <v>82.095299999999995</v>
      </c>
      <c r="D107" s="1">
        <v>137.529</v>
      </c>
      <c r="E107" s="1">
        <v>429.50799999999998</v>
      </c>
      <c r="F107" s="9">
        <v>0.10842599999999999</v>
      </c>
      <c r="G107" s="9">
        <v>12.832800000000001</v>
      </c>
      <c r="H107" s="1">
        <v>59.739699999999999</v>
      </c>
      <c r="I107" s="1">
        <v>78.590299999999999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418.86399999999998</v>
      </c>
      <c r="C108" s="1">
        <v>80.658900000000003</v>
      </c>
      <c r="D108" s="1">
        <v>134.35</v>
      </c>
      <c r="E108" s="1">
        <v>429.50799999999998</v>
      </c>
      <c r="F108" s="9">
        <v>0.108497</v>
      </c>
      <c r="G108" s="9">
        <v>13.0663</v>
      </c>
      <c r="H108" s="1">
        <v>59.363799999999998</v>
      </c>
      <c r="I108" s="1">
        <v>77.708799999999997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429.24099999999999</v>
      </c>
      <c r="C109" s="1">
        <v>79.284000000000006</v>
      </c>
      <c r="D109" s="1">
        <v>131.30000000000001</v>
      </c>
      <c r="E109" s="1">
        <v>429.50799999999998</v>
      </c>
      <c r="F109" s="9">
        <v>0.108432</v>
      </c>
      <c r="G109" s="9">
        <v>13.239599999999999</v>
      </c>
      <c r="H109" s="1">
        <v>59.001100000000001</v>
      </c>
      <c r="I109" s="1">
        <v>76.857200000000006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418.32799999999997</v>
      </c>
      <c r="C110" s="1">
        <v>77.968900000000005</v>
      </c>
      <c r="D110" s="1">
        <v>128.37100000000001</v>
      </c>
      <c r="E110" s="1">
        <v>429.50799999999998</v>
      </c>
      <c r="F110" s="9">
        <v>0.10850600000000001</v>
      </c>
      <c r="G110" s="9">
        <v>13.471500000000001</v>
      </c>
      <c r="H110" s="1">
        <v>58.651200000000003</v>
      </c>
      <c r="I110" s="1">
        <v>76.034499999999994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429.22199999999998</v>
      </c>
      <c r="C111" s="1">
        <v>76.710800000000006</v>
      </c>
      <c r="D111" s="1">
        <v>125.559</v>
      </c>
      <c r="E111" s="1">
        <v>429.50799999999998</v>
      </c>
      <c r="F111" s="9">
        <v>0.10842400000000001</v>
      </c>
      <c r="G111" s="9">
        <v>13.6433</v>
      </c>
      <c r="H111" s="1">
        <v>58.313200000000002</v>
      </c>
      <c r="I111" s="1">
        <v>75.2393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423.48200000000003</v>
      </c>
      <c r="C112" s="1">
        <v>75.572500000000005</v>
      </c>
      <c r="D112" s="1">
        <v>122.858</v>
      </c>
      <c r="E112" s="1">
        <v>429.50799999999998</v>
      </c>
      <c r="F112" s="9">
        <v>0.33538200000000001</v>
      </c>
      <c r="G112" s="9">
        <v>14.298999999999999</v>
      </c>
      <c r="H112" s="1">
        <v>55.599600000000002</v>
      </c>
      <c r="I112" s="1">
        <v>71.295100000000005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414.87900000000002</v>
      </c>
      <c r="C113" s="1">
        <v>74.412999999999997</v>
      </c>
      <c r="D113" s="1">
        <v>119.64400000000001</v>
      </c>
      <c r="E113" s="1">
        <v>429.50799999999998</v>
      </c>
      <c r="F113" s="9">
        <v>0.42436800000000002</v>
      </c>
      <c r="G113" s="9">
        <v>15.192500000000001</v>
      </c>
      <c r="H113" s="1">
        <v>55.351900000000001</v>
      </c>
      <c r="I113" s="1">
        <v>70.566400000000002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413.73500000000001</v>
      </c>
      <c r="C114" s="1">
        <v>73.305400000000006</v>
      </c>
      <c r="D114" s="1">
        <v>116.84099999999999</v>
      </c>
      <c r="E114" s="1">
        <v>429.50799999999998</v>
      </c>
      <c r="F114" s="9">
        <v>0.337036</v>
      </c>
      <c r="G114" s="9">
        <v>16.136700000000001</v>
      </c>
      <c r="H114" s="1">
        <v>55.1158</v>
      </c>
      <c r="I114" s="1">
        <v>69.879900000000006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398.79599999999999</v>
      </c>
      <c r="C115" s="1">
        <v>72.249300000000005</v>
      </c>
      <c r="D115" s="1">
        <v>114.15</v>
      </c>
      <c r="E115" s="1">
        <v>429.49400000000003</v>
      </c>
      <c r="F115" s="9">
        <v>0.33791399999999999</v>
      </c>
      <c r="G115" s="9">
        <v>17.084900000000001</v>
      </c>
      <c r="H115" s="1">
        <v>54.890099999999997</v>
      </c>
      <c r="I115" s="1">
        <v>69.2286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426.733</v>
      </c>
      <c r="C116" s="1">
        <v>71.242099999999994</v>
      </c>
      <c r="D116" s="1">
        <v>111.584</v>
      </c>
      <c r="E116" s="1">
        <v>429.483</v>
      </c>
      <c r="F116" s="9">
        <v>0.42908000000000002</v>
      </c>
      <c r="G116" s="9">
        <v>17.988700000000001</v>
      </c>
      <c r="H116" s="1">
        <v>54.674399999999999</v>
      </c>
      <c r="I116" s="1">
        <v>68.599900000000005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283.61700000000002</v>
      </c>
      <c r="C117" s="1">
        <v>70.281499999999994</v>
      </c>
      <c r="D117" s="1">
        <v>109.133</v>
      </c>
      <c r="E117" s="1">
        <v>429.43900000000002</v>
      </c>
      <c r="F117" s="9">
        <v>0.33915899999999999</v>
      </c>
      <c r="G117" s="9">
        <v>18.942900000000002</v>
      </c>
      <c r="H117" s="1">
        <v>54.468200000000003</v>
      </c>
      <c r="I117" s="1">
        <v>67.994699999999995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143.179</v>
      </c>
      <c r="C118" s="1">
        <v>69.365099999999998</v>
      </c>
      <c r="D118" s="1">
        <v>106.79300000000001</v>
      </c>
      <c r="E118" s="1">
        <v>426.85500000000002</v>
      </c>
      <c r="F118" s="9">
        <v>0</v>
      </c>
      <c r="G118" s="9">
        <v>19.7331</v>
      </c>
      <c r="H118" s="1">
        <v>54.271000000000001</v>
      </c>
      <c r="I118" s="1">
        <v>67.410799999999995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143.179</v>
      </c>
      <c r="C119" s="1">
        <v>68.491100000000003</v>
      </c>
      <c r="D119" s="1">
        <v>104.557</v>
      </c>
      <c r="E119" s="1">
        <v>413.21300000000002</v>
      </c>
      <c r="F119" s="9">
        <v>0.221054</v>
      </c>
      <c r="G119" s="9">
        <v>20.005400000000002</v>
      </c>
      <c r="H119" s="1">
        <v>54.082599999999999</v>
      </c>
      <c r="I119" s="1">
        <v>66.848600000000005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143.179</v>
      </c>
      <c r="C120" s="1">
        <v>67.657200000000003</v>
      </c>
      <c r="D120" s="1">
        <v>102.42100000000001</v>
      </c>
      <c r="E120" s="1">
        <v>400.23500000000001</v>
      </c>
      <c r="F120" s="9">
        <v>0.221054</v>
      </c>
      <c r="G120" s="9">
        <v>20.277799999999999</v>
      </c>
      <c r="H120" s="1">
        <v>53.9024</v>
      </c>
      <c r="I120" s="1">
        <v>66.306100000000001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66.861599999999996</v>
      </c>
      <c r="D121" s="1">
        <v>100.379</v>
      </c>
      <c r="E121" s="1">
        <v>387.738</v>
      </c>
      <c r="F121" s="9">
        <v>0.221054</v>
      </c>
      <c r="G121" s="9">
        <v>20.5502</v>
      </c>
      <c r="H121" s="1">
        <v>53.730200000000004</v>
      </c>
      <c r="I121" s="1">
        <v>65.783299999999997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66.102400000000003</v>
      </c>
      <c r="D122" s="1">
        <v>98.427899999999994</v>
      </c>
      <c r="E122" s="1">
        <v>375.70699999999999</v>
      </c>
      <c r="F122" s="9">
        <v>0.221054</v>
      </c>
      <c r="G122" s="9">
        <v>20.822600000000001</v>
      </c>
      <c r="H122" s="1">
        <v>53.565600000000003</v>
      </c>
      <c r="I122" s="1">
        <v>65.278999999999996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65.378100000000003</v>
      </c>
      <c r="D123" s="1">
        <v>96.561599999999999</v>
      </c>
      <c r="E123" s="1">
        <v>364.16899999999998</v>
      </c>
      <c r="F123" s="9">
        <v>0.221054</v>
      </c>
      <c r="G123" s="9">
        <v>21.094899999999999</v>
      </c>
      <c r="H123" s="1">
        <v>53.408200000000001</v>
      </c>
      <c r="I123" s="1">
        <v>64.7928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64.686800000000005</v>
      </c>
      <c r="D124" s="1">
        <v>94.776499999999999</v>
      </c>
      <c r="E124" s="1">
        <v>353.50299999999999</v>
      </c>
      <c r="F124" s="9">
        <v>0.221054</v>
      </c>
      <c r="G124" s="9">
        <v>21.3673</v>
      </c>
      <c r="H124" s="1">
        <v>53.257800000000003</v>
      </c>
      <c r="I124" s="1">
        <v>64.323700000000002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64.027100000000004</v>
      </c>
      <c r="D125" s="1">
        <v>93.068899999999999</v>
      </c>
      <c r="E125" s="1">
        <v>343.33600000000001</v>
      </c>
      <c r="F125" s="9">
        <v>0.221054</v>
      </c>
      <c r="G125" s="9">
        <v>21.639700000000001</v>
      </c>
      <c r="H125" s="1">
        <v>53.113999999999997</v>
      </c>
      <c r="I125" s="1">
        <v>63.871200000000002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63.397399999999998</v>
      </c>
      <c r="D126" s="1">
        <v>91.434799999999996</v>
      </c>
      <c r="E126" s="1">
        <v>333.50700000000001</v>
      </c>
      <c r="F126" s="9">
        <v>0.221054</v>
      </c>
      <c r="G126" s="9">
        <v>21.912099999999999</v>
      </c>
      <c r="H126" s="1">
        <v>52.976500000000001</v>
      </c>
      <c r="I126" s="1">
        <v>63.434600000000003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62.796399999999998</v>
      </c>
      <c r="D127" s="1">
        <v>89.870699999999999</v>
      </c>
      <c r="E127" s="1">
        <v>324.00700000000001</v>
      </c>
      <c r="F127" s="9">
        <v>0.221054</v>
      </c>
      <c r="G127" s="9">
        <v>22.1844</v>
      </c>
      <c r="H127" s="1">
        <v>52.845100000000002</v>
      </c>
      <c r="I127" s="1">
        <v>63.013399999999997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62.222799999999999</v>
      </c>
      <c r="D128" s="1">
        <v>88.3733</v>
      </c>
      <c r="E128" s="1">
        <v>314.82600000000002</v>
      </c>
      <c r="F128" s="9">
        <v>0.221054</v>
      </c>
      <c r="G128" s="9">
        <v>22.456800000000001</v>
      </c>
      <c r="H128" s="1">
        <v>52.719499999999996</v>
      </c>
      <c r="I128" s="1">
        <v>62.6068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61.675199999999997</v>
      </c>
      <c r="D129" s="1">
        <v>86.939099999999996</v>
      </c>
      <c r="E129" s="1">
        <v>305.95600000000002</v>
      </c>
      <c r="F129" s="9">
        <v>0.221054</v>
      </c>
      <c r="G129" s="9">
        <v>22.729199999999999</v>
      </c>
      <c r="H129" s="1">
        <v>52.599400000000003</v>
      </c>
      <c r="I129" s="1">
        <v>62.214500000000001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61.1524</v>
      </c>
      <c r="D130" s="1">
        <v>85.565799999999996</v>
      </c>
      <c r="E130" s="1">
        <v>297.38600000000002</v>
      </c>
      <c r="F130" s="9">
        <v>0.221054</v>
      </c>
      <c r="G130" s="9">
        <v>23.0016</v>
      </c>
      <c r="H130" s="1">
        <v>52.4846</v>
      </c>
      <c r="I130" s="1">
        <v>61.835700000000003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60.653300000000002</v>
      </c>
      <c r="D131" s="1">
        <v>84.25</v>
      </c>
      <c r="E131" s="1">
        <v>289.108</v>
      </c>
      <c r="F131" s="9">
        <v>0.221054</v>
      </c>
      <c r="G131" s="9">
        <v>23.273900000000001</v>
      </c>
      <c r="H131" s="1">
        <v>52.374899999999997</v>
      </c>
      <c r="I131" s="1">
        <v>61.47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60.1768</v>
      </c>
      <c r="D132" s="1">
        <v>82.988900000000001</v>
      </c>
      <c r="E132" s="1">
        <v>281.11200000000002</v>
      </c>
      <c r="F132" s="9">
        <v>0.221054</v>
      </c>
      <c r="G132" s="9">
        <v>23.546299999999999</v>
      </c>
      <c r="H132" s="1">
        <v>52.27</v>
      </c>
      <c r="I132" s="1">
        <v>61.116999999999997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59.721800000000002</v>
      </c>
      <c r="D133" s="1">
        <v>81.780600000000007</v>
      </c>
      <c r="E133" s="1">
        <v>273.39</v>
      </c>
      <c r="F133" s="9">
        <v>0.221054</v>
      </c>
      <c r="G133" s="9">
        <v>23.8187</v>
      </c>
      <c r="H133" s="1">
        <v>52.169800000000002</v>
      </c>
      <c r="I133" s="1">
        <v>60.776000000000003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59.287399999999998</v>
      </c>
      <c r="D134" s="1">
        <v>80.622</v>
      </c>
      <c r="E134" s="1">
        <v>265.93299999999999</v>
      </c>
      <c r="F134" s="9">
        <v>0.221054</v>
      </c>
      <c r="G134" s="9">
        <v>24.091100000000001</v>
      </c>
      <c r="H134" s="1">
        <v>52.073999999999998</v>
      </c>
      <c r="I134" s="1">
        <v>60.446800000000003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58.554299999999998</v>
      </c>
      <c r="D135" s="1">
        <v>78.655000000000001</v>
      </c>
      <c r="E135" s="1">
        <v>253.15199999999999</v>
      </c>
      <c r="F135" s="9">
        <v>0.221054</v>
      </c>
      <c r="G135" s="9">
        <v>24.581299999999999</v>
      </c>
      <c r="H135" s="1">
        <v>51.911999999999999</v>
      </c>
      <c r="I135" s="1">
        <v>59.882199999999997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409233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8321.61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436231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-35319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-8.6305300000000003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407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S28" sqref="S2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10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40</v>
      </c>
      <c r="T21" t="s">
        <v>46</v>
      </c>
      <c r="AC21" s="1"/>
    </row>
    <row r="22" spans="1:42" x14ac:dyDescent="0.25">
      <c r="R22" s="11" t="s">
        <v>50</v>
      </c>
      <c r="S22" s="1">
        <f>F139/1000</f>
        <v>409.26100000000002</v>
      </c>
      <c r="T22" t="s">
        <v>54</v>
      </c>
      <c r="AC22" s="1"/>
    </row>
    <row r="23" spans="1:42" x14ac:dyDescent="0.25">
      <c r="R23" s="11" t="s">
        <v>51</v>
      </c>
      <c r="S23" s="1">
        <f>F140/1000</f>
        <v>22.743099999999998</v>
      </c>
      <c r="T23" t="s">
        <v>54</v>
      </c>
      <c r="U23" s="13"/>
    </row>
    <row r="24" spans="1:42" x14ac:dyDescent="0.25">
      <c r="R24" s="11" t="s">
        <v>52</v>
      </c>
      <c r="S24" s="1">
        <f>G141/1000</f>
        <v>412.09300000000002</v>
      </c>
      <c r="T24" t="s">
        <v>54</v>
      </c>
    </row>
    <row r="25" spans="1:42" x14ac:dyDescent="0.25">
      <c r="R25" t="s">
        <v>53</v>
      </c>
      <c r="S25" s="1">
        <f>S22-S23-S24</f>
        <v>-25.575099999999964</v>
      </c>
      <c r="T25" t="s">
        <v>54</v>
      </c>
    </row>
    <row r="26" spans="1:42" x14ac:dyDescent="0.25">
      <c r="R26" s="11" t="s">
        <v>48</v>
      </c>
      <c r="S26" s="9">
        <f>D143</f>
        <v>-6.2490699999999997</v>
      </c>
      <c r="T26" t="s">
        <v>49</v>
      </c>
    </row>
    <row r="27" spans="1:42" ht="15" customHeight="1" x14ac:dyDescent="0.25">
      <c r="R27" s="11" t="s">
        <v>44</v>
      </c>
      <c r="S27" s="1">
        <f>B145</f>
        <v>877</v>
      </c>
      <c r="T27" t="s">
        <v>38</v>
      </c>
    </row>
    <row r="28" spans="1:42" ht="15" customHeight="1" x14ac:dyDescent="0.25">
      <c r="S28" s="9">
        <f>S27/60</f>
        <v>14.616666666666667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</v>
      </c>
      <c r="B34" s="1">
        <v>396.56799999999998</v>
      </c>
      <c r="C34" s="1">
        <v>431.14299999999997</v>
      </c>
      <c r="D34" s="1">
        <v>433.01600000000002</v>
      </c>
      <c r="E34" s="1">
        <v>433.363</v>
      </c>
      <c r="F34" s="9">
        <v>3</v>
      </c>
      <c r="G34" s="9">
        <v>0</v>
      </c>
      <c r="H34" s="1">
        <v>417.13600000000002</v>
      </c>
      <c r="I34" s="1">
        <v>428.15499999999997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</v>
      </c>
      <c r="B35" s="1">
        <v>396.46699999999998</v>
      </c>
      <c r="C35" s="1">
        <v>428.673</v>
      </c>
      <c r="D35" s="1">
        <v>432.69</v>
      </c>
      <c r="E35" s="1">
        <v>433.32400000000001</v>
      </c>
      <c r="F35" s="9">
        <v>3</v>
      </c>
      <c r="G35" s="9">
        <v>0</v>
      </c>
      <c r="H35" s="1">
        <v>414.834</v>
      </c>
      <c r="I35" s="1">
        <v>427.83499999999998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</v>
      </c>
      <c r="B36" s="1">
        <v>396.36900000000003</v>
      </c>
      <c r="C36" s="1">
        <v>426.22800000000001</v>
      </c>
      <c r="D36" s="1">
        <v>432.4</v>
      </c>
      <c r="E36" s="1">
        <v>433.286</v>
      </c>
      <c r="F36" s="9">
        <v>3</v>
      </c>
      <c r="G36" s="9">
        <v>0</v>
      </c>
      <c r="H36" s="1">
        <v>412.55500000000001</v>
      </c>
      <c r="I36" s="1">
        <v>427.55099999999999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</v>
      </c>
      <c r="B37" s="1">
        <v>396.27300000000002</v>
      </c>
      <c r="C37" s="1">
        <v>423.80799999999999</v>
      </c>
      <c r="D37" s="1">
        <v>432.12599999999998</v>
      </c>
      <c r="E37" s="1">
        <v>433.24700000000001</v>
      </c>
      <c r="F37" s="9">
        <v>3</v>
      </c>
      <c r="G37" s="9">
        <v>0</v>
      </c>
      <c r="H37" s="1">
        <v>410.29899999999998</v>
      </c>
      <c r="I37" s="1">
        <v>427.28100000000001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</v>
      </c>
      <c r="B38" s="1">
        <v>396.17700000000002</v>
      </c>
      <c r="C38" s="1">
        <v>421.41300000000001</v>
      </c>
      <c r="D38" s="1">
        <v>431.85700000000003</v>
      </c>
      <c r="E38" s="1">
        <v>433.20800000000003</v>
      </c>
      <c r="F38" s="9">
        <v>3</v>
      </c>
      <c r="G38" s="9">
        <v>0</v>
      </c>
      <c r="H38" s="1">
        <v>408.065</v>
      </c>
      <c r="I38" s="1">
        <v>427.017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</v>
      </c>
      <c r="B39" s="1">
        <v>321.38400000000001</v>
      </c>
      <c r="C39" s="1">
        <v>419.041</v>
      </c>
      <c r="D39" s="1">
        <v>431.59100000000001</v>
      </c>
      <c r="E39" s="1">
        <v>433.16800000000001</v>
      </c>
      <c r="F39" s="9">
        <v>10</v>
      </c>
      <c r="G39" s="9">
        <v>0</v>
      </c>
      <c r="H39" s="1">
        <v>405.85399999999998</v>
      </c>
      <c r="I39" s="1">
        <v>426.755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</v>
      </c>
      <c r="B40" s="1">
        <v>319.601</v>
      </c>
      <c r="C40" s="1">
        <v>415.33300000000003</v>
      </c>
      <c r="D40" s="1">
        <v>431.16699999999997</v>
      </c>
      <c r="E40" s="1">
        <v>432.93400000000003</v>
      </c>
      <c r="F40" s="9">
        <v>10</v>
      </c>
      <c r="G40" s="9">
        <v>0</v>
      </c>
      <c r="H40" s="1">
        <v>390.63099999999997</v>
      </c>
      <c r="I40" s="1">
        <v>424.78399999999999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</v>
      </c>
      <c r="B41" s="1">
        <v>319.39999999999998</v>
      </c>
      <c r="C41" s="1">
        <v>411.39499999999998</v>
      </c>
      <c r="D41" s="1">
        <v>430.77699999999999</v>
      </c>
      <c r="E41" s="1">
        <v>432.75400000000002</v>
      </c>
      <c r="F41" s="9">
        <v>10</v>
      </c>
      <c r="G41" s="9">
        <v>0</v>
      </c>
      <c r="H41" s="1">
        <v>387.18799999999999</v>
      </c>
      <c r="I41" s="1">
        <v>424.40100000000001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</v>
      </c>
      <c r="B42" s="1">
        <v>319.20600000000002</v>
      </c>
      <c r="C42" s="1">
        <v>407.55200000000002</v>
      </c>
      <c r="D42" s="1">
        <v>430.40600000000001</v>
      </c>
      <c r="E42" s="1">
        <v>432.57799999999997</v>
      </c>
      <c r="F42" s="9">
        <v>10</v>
      </c>
      <c r="G42" s="9">
        <v>0</v>
      </c>
      <c r="H42" s="1">
        <v>383.82900000000001</v>
      </c>
      <c r="I42" s="1">
        <v>424.03699999999998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</v>
      </c>
      <c r="B43" s="1">
        <v>319.01499999999999</v>
      </c>
      <c r="C43" s="1">
        <v>403.76900000000001</v>
      </c>
      <c r="D43" s="1">
        <v>430.04599999999999</v>
      </c>
      <c r="E43" s="1">
        <v>432.40199999999999</v>
      </c>
      <c r="F43" s="9">
        <v>10</v>
      </c>
      <c r="G43" s="9">
        <v>0</v>
      </c>
      <c r="H43" s="1">
        <v>380.52</v>
      </c>
      <c r="I43" s="1">
        <v>423.685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</v>
      </c>
      <c r="B44" s="1">
        <v>318.82600000000002</v>
      </c>
      <c r="C44" s="1">
        <v>400.04700000000003</v>
      </c>
      <c r="D44" s="1">
        <v>429.69200000000001</v>
      </c>
      <c r="E44" s="1">
        <v>432.22699999999998</v>
      </c>
      <c r="F44" s="9">
        <v>10</v>
      </c>
      <c r="G44" s="9">
        <v>0</v>
      </c>
      <c r="H44" s="1">
        <v>377.26400000000001</v>
      </c>
      <c r="I44" s="1">
        <v>423.33800000000002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60</v>
      </c>
      <c r="B45" s="1">
        <v>318.637</v>
      </c>
      <c r="C45" s="1">
        <v>396.387</v>
      </c>
      <c r="D45" s="1">
        <v>429.34100000000001</v>
      </c>
      <c r="E45" s="1">
        <v>432.05200000000002</v>
      </c>
      <c r="F45" s="9">
        <v>10</v>
      </c>
      <c r="G45" s="9">
        <v>0</v>
      </c>
      <c r="H45" s="1">
        <v>374.06</v>
      </c>
      <c r="I45" s="1">
        <v>422.995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65</v>
      </c>
      <c r="B46" s="1">
        <v>318.44900000000001</v>
      </c>
      <c r="C46" s="1">
        <v>392.76299999999998</v>
      </c>
      <c r="D46" s="1">
        <v>428.99099999999999</v>
      </c>
      <c r="E46" s="1">
        <v>431.87599999999998</v>
      </c>
      <c r="F46" s="9">
        <v>10</v>
      </c>
      <c r="G46" s="9">
        <v>0</v>
      </c>
      <c r="H46" s="1">
        <v>370.88499999999999</v>
      </c>
      <c r="I46" s="1">
        <v>422.654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70</v>
      </c>
      <c r="B47" s="1">
        <v>318.26100000000002</v>
      </c>
      <c r="C47" s="1">
        <v>389.22199999999998</v>
      </c>
      <c r="D47" s="1">
        <v>428.64299999999997</v>
      </c>
      <c r="E47" s="1">
        <v>431.70100000000002</v>
      </c>
      <c r="F47" s="9">
        <v>10</v>
      </c>
      <c r="G47" s="9">
        <v>0</v>
      </c>
      <c r="H47" s="1">
        <v>367.78300000000002</v>
      </c>
      <c r="I47" s="1">
        <v>422.31400000000002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75</v>
      </c>
      <c r="B48" s="1">
        <v>318.07400000000001</v>
      </c>
      <c r="C48" s="1">
        <v>385.738</v>
      </c>
      <c r="D48" s="1">
        <v>428.29599999999999</v>
      </c>
      <c r="E48" s="1">
        <v>431.52499999999998</v>
      </c>
      <c r="F48" s="9">
        <v>10</v>
      </c>
      <c r="G48" s="9">
        <v>0</v>
      </c>
      <c r="H48" s="1">
        <v>364.73</v>
      </c>
      <c r="I48" s="1">
        <v>421.97500000000002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80</v>
      </c>
      <c r="B49" s="1">
        <v>317.88799999999998</v>
      </c>
      <c r="C49" s="1">
        <v>382.31299999999999</v>
      </c>
      <c r="D49" s="1">
        <v>427.95</v>
      </c>
      <c r="E49" s="1">
        <v>431.35</v>
      </c>
      <c r="F49" s="9">
        <v>10</v>
      </c>
      <c r="G49" s="9">
        <v>0</v>
      </c>
      <c r="H49" s="1">
        <v>361.726</v>
      </c>
      <c r="I49" s="1">
        <v>421.637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85</v>
      </c>
      <c r="B50" s="1">
        <v>317.702</v>
      </c>
      <c r="C50" s="1">
        <v>378.92</v>
      </c>
      <c r="D50" s="1">
        <v>427.60399999999998</v>
      </c>
      <c r="E50" s="1">
        <v>431.17500000000001</v>
      </c>
      <c r="F50" s="9">
        <v>10</v>
      </c>
      <c r="G50" s="9">
        <v>0</v>
      </c>
      <c r="H50" s="1">
        <v>358.74900000000002</v>
      </c>
      <c r="I50" s="1">
        <v>421.3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90</v>
      </c>
      <c r="B51" s="1">
        <v>317.51499999999999</v>
      </c>
      <c r="C51" s="1">
        <v>375.60500000000002</v>
      </c>
      <c r="D51" s="1">
        <v>427.25900000000001</v>
      </c>
      <c r="E51" s="1">
        <v>430.99900000000002</v>
      </c>
      <c r="F51" s="9">
        <v>10</v>
      </c>
      <c r="G51" s="9">
        <v>0</v>
      </c>
      <c r="H51" s="1">
        <v>355.84</v>
      </c>
      <c r="I51" s="1">
        <v>420.96300000000002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95</v>
      </c>
      <c r="B52" s="1">
        <v>317.33</v>
      </c>
      <c r="C52" s="1">
        <v>372.346</v>
      </c>
      <c r="D52" s="1">
        <v>426.91399999999999</v>
      </c>
      <c r="E52" s="1">
        <v>430.82400000000001</v>
      </c>
      <c r="F52" s="9">
        <v>10</v>
      </c>
      <c r="G52" s="9">
        <v>0</v>
      </c>
      <c r="H52" s="1">
        <v>352.97899999999998</v>
      </c>
      <c r="I52" s="1">
        <v>420.62599999999998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100</v>
      </c>
      <c r="B53" s="1">
        <v>317.14499999999998</v>
      </c>
      <c r="C53" s="1">
        <v>369.14</v>
      </c>
      <c r="D53" s="1">
        <v>426.56700000000001</v>
      </c>
      <c r="E53" s="1">
        <v>430.64800000000002</v>
      </c>
      <c r="F53" s="9">
        <v>10</v>
      </c>
      <c r="G53" s="9">
        <v>0</v>
      </c>
      <c r="H53" s="1">
        <v>350.16399999999999</v>
      </c>
      <c r="I53" s="1">
        <v>420.28800000000001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105</v>
      </c>
      <c r="B54" s="1">
        <v>316.96100000000001</v>
      </c>
      <c r="C54" s="1">
        <v>365.988</v>
      </c>
      <c r="D54" s="1">
        <v>426.221</v>
      </c>
      <c r="E54" s="1">
        <v>430.47300000000001</v>
      </c>
      <c r="F54" s="9">
        <v>10</v>
      </c>
      <c r="G54" s="9">
        <v>0</v>
      </c>
      <c r="H54" s="1">
        <v>347.39400000000001</v>
      </c>
      <c r="I54" s="1">
        <v>419.95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110</v>
      </c>
      <c r="B55" s="1">
        <v>316.77800000000002</v>
      </c>
      <c r="C55" s="1">
        <v>362.863</v>
      </c>
      <c r="D55" s="1">
        <v>425.87700000000001</v>
      </c>
      <c r="E55" s="1">
        <v>430.29700000000003</v>
      </c>
      <c r="F55" s="9">
        <v>10</v>
      </c>
      <c r="G55" s="9">
        <v>0</v>
      </c>
      <c r="H55" s="1">
        <v>344.64699999999999</v>
      </c>
      <c r="I55" s="1">
        <v>419.61399999999998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115</v>
      </c>
      <c r="B56" s="1">
        <v>316.596</v>
      </c>
      <c r="C56" s="1">
        <v>359.81400000000002</v>
      </c>
      <c r="D56" s="1">
        <v>425.53399999999999</v>
      </c>
      <c r="E56" s="1">
        <v>430.12200000000001</v>
      </c>
      <c r="F56" s="9">
        <v>10</v>
      </c>
      <c r="G56" s="9">
        <v>0</v>
      </c>
      <c r="H56" s="1">
        <v>341.96699999999998</v>
      </c>
      <c r="I56" s="1">
        <v>419.279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120</v>
      </c>
      <c r="B57" s="1">
        <v>316.41399999999999</v>
      </c>
      <c r="C57" s="1">
        <v>356.81599999999997</v>
      </c>
      <c r="D57" s="1">
        <v>425.19099999999997</v>
      </c>
      <c r="E57" s="1">
        <v>429.94600000000003</v>
      </c>
      <c r="F57" s="9">
        <v>10</v>
      </c>
      <c r="G57" s="9">
        <v>0</v>
      </c>
      <c r="H57" s="1">
        <v>339.32900000000001</v>
      </c>
      <c r="I57" s="1">
        <v>418.94499999999999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125</v>
      </c>
      <c r="B58" s="1">
        <v>316.233</v>
      </c>
      <c r="C58" s="1">
        <v>353.86700000000002</v>
      </c>
      <c r="D58" s="1">
        <v>424.84899999999999</v>
      </c>
      <c r="E58" s="1">
        <v>429.77100000000002</v>
      </c>
      <c r="F58" s="9">
        <v>10</v>
      </c>
      <c r="G58" s="9">
        <v>0</v>
      </c>
      <c r="H58" s="1">
        <v>336.73500000000001</v>
      </c>
      <c r="I58" s="1">
        <v>418.61099999999999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130</v>
      </c>
      <c r="B59" s="1">
        <v>316.05500000000001</v>
      </c>
      <c r="C59" s="1">
        <v>350.96699999999998</v>
      </c>
      <c r="D59" s="1">
        <v>424.50700000000001</v>
      </c>
      <c r="E59" s="1">
        <v>429.59500000000003</v>
      </c>
      <c r="F59" s="9">
        <v>10</v>
      </c>
      <c r="G59" s="9">
        <v>0</v>
      </c>
      <c r="H59" s="1">
        <v>334.18200000000002</v>
      </c>
      <c r="I59" s="1">
        <v>418.279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135</v>
      </c>
      <c r="B60" s="1">
        <v>429.36900000000003</v>
      </c>
      <c r="C60" s="1">
        <v>340.89</v>
      </c>
      <c r="D60" s="1">
        <v>424.37099999999998</v>
      </c>
      <c r="E60" s="1">
        <v>429.52499999999998</v>
      </c>
      <c r="F60" s="9">
        <v>7.8161599999999998E-2</v>
      </c>
      <c r="G60" s="9">
        <v>1.33121</v>
      </c>
      <c r="H60" s="1">
        <v>121.744</v>
      </c>
      <c r="I60" s="1">
        <v>424.32100000000003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140</v>
      </c>
      <c r="B61" s="1">
        <v>429.36799999999999</v>
      </c>
      <c r="C61" s="1">
        <v>323.79300000000001</v>
      </c>
      <c r="D61" s="1">
        <v>424.37099999999998</v>
      </c>
      <c r="E61" s="1">
        <v>429.52499999999998</v>
      </c>
      <c r="F61" s="9">
        <v>7.8345700000000004E-2</v>
      </c>
      <c r="G61" s="9">
        <v>2.1546099999999999</v>
      </c>
      <c r="H61" s="1">
        <v>118.23699999999999</v>
      </c>
      <c r="I61" s="1">
        <v>424.31099999999998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145</v>
      </c>
      <c r="B62" s="1">
        <v>429.36799999999999</v>
      </c>
      <c r="C62" s="1">
        <v>307.64499999999998</v>
      </c>
      <c r="D62" s="1">
        <v>424.36700000000002</v>
      </c>
      <c r="E62" s="1">
        <v>429.52499999999998</v>
      </c>
      <c r="F62" s="9">
        <v>7.8560199999999997E-2</v>
      </c>
      <c r="G62" s="9">
        <v>2.6912199999999999</v>
      </c>
      <c r="H62" s="1">
        <v>115.21299999999999</v>
      </c>
      <c r="I62" s="1">
        <v>424.28500000000003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150</v>
      </c>
      <c r="B63" s="1">
        <v>429.36700000000002</v>
      </c>
      <c r="C63" s="1">
        <v>289.27600000000001</v>
      </c>
      <c r="D63" s="1">
        <v>424.358</v>
      </c>
      <c r="E63" s="1">
        <v>429.52499999999998</v>
      </c>
      <c r="F63" s="9">
        <v>7.8736399999999998E-2</v>
      </c>
      <c r="G63" s="9">
        <v>3.1038899999999998</v>
      </c>
      <c r="H63" s="1">
        <v>112.02800000000001</v>
      </c>
      <c r="I63" s="1">
        <v>424.24099999999999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155</v>
      </c>
      <c r="B64" s="1">
        <v>429.36700000000002</v>
      </c>
      <c r="C64" s="1">
        <v>274.42</v>
      </c>
      <c r="D64" s="1">
        <v>424.351</v>
      </c>
      <c r="E64" s="1">
        <v>429.52499999999998</v>
      </c>
      <c r="F64" s="9">
        <v>7.8952999999999995E-2</v>
      </c>
      <c r="G64" s="9">
        <v>3.4533</v>
      </c>
      <c r="H64" s="1">
        <v>108.96299999999999</v>
      </c>
      <c r="I64" s="1">
        <v>424.13900000000001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160</v>
      </c>
      <c r="B65" s="1">
        <v>429.36700000000002</v>
      </c>
      <c r="C65" s="1">
        <v>261.697</v>
      </c>
      <c r="D65" s="1">
        <v>424.33800000000002</v>
      </c>
      <c r="E65" s="1">
        <v>429.52499999999998</v>
      </c>
      <c r="F65" s="9">
        <v>7.9046599999999995E-2</v>
      </c>
      <c r="G65" s="9">
        <v>3.74919</v>
      </c>
      <c r="H65" s="1">
        <v>106.417</v>
      </c>
      <c r="I65" s="1">
        <v>424.02199999999999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165</v>
      </c>
      <c r="B66" s="1">
        <v>429.36599999999999</v>
      </c>
      <c r="C66" s="1">
        <v>249.70599999999999</v>
      </c>
      <c r="D66" s="1">
        <v>424.31700000000001</v>
      </c>
      <c r="E66" s="1">
        <v>429.52499999999998</v>
      </c>
      <c r="F66" s="9">
        <v>7.9348699999999994E-2</v>
      </c>
      <c r="G66" s="9">
        <v>4.02393</v>
      </c>
      <c r="H66" s="1">
        <v>103.983</v>
      </c>
      <c r="I66" s="1">
        <v>423.37700000000001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170</v>
      </c>
      <c r="B67" s="1">
        <v>429.36599999999999</v>
      </c>
      <c r="C67" s="1">
        <v>237.67400000000001</v>
      </c>
      <c r="D67" s="1">
        <v>424.23599999999999</v>
      </c>
      <c r="E67" s="1">
        <v>429.52499999999998</v>
      </c>
      <c r="F67" s="9">
        <v>7.9480599999999998E-2</v>
      </c>
      <c r="G67" s="9">
        <v>4.2653999999999996</v>
      </c>
      <c r="H67" s="1">
        <v>101.616</v>
      </c>
      <c r="I67" s="1">
        <v>422.173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175</v>
      </c>
      <c r="B68" s="1">
        <v>429.36500000000001</v>
      </c>
      <c r="C68" s="1">
        <v>225.95500000000001</v>
      </c>
      <c r="D68" s="1">
        <v>424.05200000000002</v>
      </c>
      <c r="E68" s="1">
        <v>429.52499999999998</v>
      </c>
      <c r="F68" s="9">
        <v>7.9622399999999996E-2</v>
      </c>
      <c r="G68" s="9">
        <v>4.48895</v>
      </c>
      <c r="H68" s="1">
        <v>98.802400000000006</v>
      </c>
      <c r="I68" s="1">
        <v>418.57900000000001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180</v>
      </c>
      <c r="B69" s="1">
        <v>429.36500000000001</v>
      </c>
      <c r="C69" s="1">
        <v>214.749</v>
      </c>
      <c r="D69" s="1">
        <v>423.89299999999997</v>
      </c>
      <c r="E69" s="1">
        <v>429.52499999999998</v>
      </c>
      <c r="F69" s="9">
        <v>7.9778100000000005E-2</v>
      </c>
      <c r="G69" s="9">
        <v>4.6974400000000003</v>
      </c>
      <c r="H69" s="1">
        <v>96.386200000000002</v>
      </c>
      <c r="I69" s="1">
        <v>398.01900000000001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185</v>
      </c>
      <c r="B70" s="1">
        <v>429.36500000000001</v>
      </c>
      <c r="C70" s="1">
        <v>205.31899999999999</v>
      </c>
      <c r="D70" s="1">
        <v>421.334</v>
      </c>
      <c r="E70" s="1">
        <v>429.52499999999998</v>
      </c>
      <c r="F70" s="9">
        <v>7.9911399999999994E-2</v>
      </c>
      <c r="G70" s="9">
        <v>4.89276</v>
      </c>
      <c r="H70" s="1">
        <v>94.331400000000002</v>
      </c>
      <c r="I70" s="1">
        <v>188.14699999999999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190</v>
      </c>
      <c r="B71" s="1">
        <v>429.36399999999998</v>
      </c>
      <c r="C71" s="1">
        <v>195.577</v>
      </c>
      <c r="D71" s="1">
        <v>405.30099999999999</v>
      </c>
      <c r="E71" s="1">
        <v>429.52499999999998</v>
      </c>
      <c r="F71" s="9">
        <v>8.0057400000000001E-2</v>
      </c>
      <c r="G71" s="9">
        <v>5.0771499999999996</v>
      </c>
      <c r="H71" s="1">
        <v>92.346500000000006</v>
      </c>
      <c r="I71" s="1">
        <v>174.584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195</v>
      </c>
      <c r="B72" s="1">
        <v>429.36399999999998</v>
      </c>
      <c r="C72" s="1">
        <v>187.328</v>
      </c>
      <c r="D72" s="1">
        <v>388.70299999999997</v>
      </c>
      <c r="E72" s="1">
        <v>429.52499999999998</v>
      </c>
      <c r="F72" s="9">
        <v>8.0217300000000005E-2</v>
      </c>
      <c r="G72" s="9">
        <v>5.2542900000000001</v>
      </c>
      <c r="H72" s="1">
        <v>90.262200000000007</v>
      </c>
      <c r="I72" s="1">
        <v>169.65799999999999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200</v>
      </c>
      <c r="B73" s="1">
        <v>429.36399999999998</v>
      </c>
      <c r="C73" s="1">
        <v>179.739</v>
      </c>
      <c r="D73" s="1">
        <v>373.03399999999999</v>
      </c>
      <c r="E73" s="1">
        <v>429.52499999999998</v>
      </c>
      <c r="F73" s="9">
        <v>8.0379699999999998E-2</v>
      </c>
      <c r="G73" s="9">
        <v>5.4295299999999997</v>
      </c>
      <c r="H73" s="1">
        <v>88.513800000000003</v>
      </c>
      <c r="I73" s="1">
        <v>164.917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205</v>
      </c>
      <c r="B74" s="1">
        <v>429.31599999999997</v>
      </c>
      <c r="C74" s="1">
        <v>172.46199999999999</v>
      </c>
      <c r="D74" s="1">
        <v>358.238</v>
      </c>
      <c r="E74" s="1">
        <v>429.52499999999998</v>
      </c>
      <c r="F74" s="9">
        <v>0.101963</v>
      </c>
      <c r="G74" s="9">
        <v>5.5995299999999997</v>
      </c>
      <c r="H74" s="1">
        <v>86.815399999999997</v>
      </c>
      <c r="I74" s="1">
        <v>160.35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210</v>
      </c>
      <c r="B75" s="1">
        <v>429.36399999999998</v>
      </c>
      <c r="C75" s="1">
        <v>165.64099999999999</v>
      </c>
      <c r="D75" s="1">
        <v>344.34699999999998</v>
      </c>
      <c r="E75" s="1">
        <v>429.52499999999998</v>
      </c>
      <c r="F75" s="9">
        <v>8.0401299999999995E-2</v>
      </c>
      <c r="G75" s="9">
        <v>5.7756699999999999</v>
      </c>
      <c r="H75" s="1">
        <v>85.195800000000006</v>
      </c>
      <c r="I75" s="1">
        <v>155.89400000000001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215</v>
      </c>
      <c r="B76" s="1">
        <v>429.363</v>
      </c>
      <c r="C76" s="1">
        <v>159.37</v>
      </c>
      <c r="D76" s="1">
        <v>331.09800000000001</v>
      </c>
      <c r="E76" s="1">
        <v>429.52499999999998</v>
      </c>
      <c r="F76" s="9">
        <v>8.0550300000000005E-2</v>
      </c>
      <c r="G76" s="9">
        <v>5.9522199999999996</v>
      </c>
      <c r="H76" s="1">
        <v>83.678100000000001</v>
      </c>
      <c r="I76" s="1">
        <v>151.64099999999999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220</v>
      </c>
      <c r="B77" s="1">
        <v>429.363</v>
      </c>
      <c r="C77" s="1">
        <v>153.45599999999999</v>
      </c>
      <c r="D77" s="1">
        <v>318.48399999999998</v>
      </c>
      <c r="E77" s="1">
        <v>429.52499999999998</v>
      </c>
      <c r="F77" s="9">
        <v>8.0698000000000006E-2</v>
      </c>
      <c r="G77" s="9">
        <v>6.1291399999999996</v>
      </c>
      <c r="H77" s="1">
        <v>82.224500000000006</v>
      </c>
      <c r="I77" s="1">
        <v>147.57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225</v>
      </c>
      <c r="B78" s="1">
        <v>429.363</v>
      </c>
      <c r="C78" s="1">
        <v>147.876</v>
      </c>
      <c r="D78" s="1">
        <v>306.44</v>
      </c>
      <c r="E78" s="1">
        <v>429.52499999999998</v>
      </c>
      <c r="F78" s="9">
        <v>8.0843999999999999E-2</v>
      </c>
      <c r="G78" s="9">
        <v>6.3064400000000003</v>
      </c>
      <c r="H78" s="1">
        <v>80.833299999999994</v>
      </c>
      <c r="I78" s="1">
        <v>143.69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230</v>
      </c>
      <c r="B79" s="1">
        <v>429.36200000000002</v>
      </c>
      <c r="C79" s="1">
        <v>142.608</v>
      </c>
      <c r="D79" s="1">
        <v>294.95999999999998</v>
      </c>
      <c r="E79" s="1">
        <v>429.52499999999998</v>
      </c>
      <c r="F79" s="9">
        <v>8.0988000000000004E-2</v>
      </c>
      <c r="G79" s="9">
        <v>6.4840900000000001</v>
      </c>
      <c r="H79" s="1">
        <v>79.499899999999997</v>
      </c>
      <c r="I79" s="1">
        <v>139.982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235</v>
      </c>
      <c r="B80" s="1">
        <v>429.36200000000002</v>
      </c>
      <c r="C80" s="1">
        <v>137.643</v>
      </c>
      <c r="D80" s="1">
        <v>284.02</v>
      </c>
      <c r="E80" s="1">
        <v>429.52499999999998</v>
      </c>
      <c r="F80" s="9">
        <v>8.1129800000000002E-2</v>
      </c>
      <c r="G80" s="9">
        <v>6.6620999999999997</v>
      </c>
      <c r="H80" s="1">
        <v>78.225399999999993</v>
      </c>
      <c r="I80" s="1">
        <v>136.44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240</v>
      </c>
      <c r="B81" s="1">
        <v>429.36200000000002</v>
      </c>
      <c r="C81" s="1">
        <v>132.959</v>
      </c>
      <c r="D81" s="1">
        <v>273.596</v>
      </c>
      <c r="E81" s="1">
        <v>429.52499999999998</v>
      </c>
      <c r="F81" s="9">
        <v>8.1269999999999995E-2</v>
      </c>
      <c r="G81" s="9">
        <v>6.8404800000000003</v>
      </c>
      <c r="H81" s="1">
        <v>77.005600000000001</v>
      </c>
      <c r="I81" s="1">
        <v>133.05199999999999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245</v>
      </c>
      <c r="B82" s="1">
        <v>424.49</v>
      </c>
      <c r="C82" s="1">
        <v>128.535</v>
      </c>
      <c r="D82" s="1">
        <v>263.66399999999999</v>
      </c>
      <c r="E82" s="1">
        <v>429.52499999999998</v>
      </c>
      <c r="F82" s="9">
        <v>8.1407800000000002E-2</v>
      </c>
      <c r="G82" s="9">
        <v>7.0174300000000001</v>
      </c>
      <c r="H82" s="1">
        <v>75.837199999999996</v>
      </c>
      <c r="I82" s="1">
        <v>129.81299999999999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250</v>
      </c>
      <c r="B83" s="1">
        <v>206.34899999999999</v>
      </c>
      <c r="C83" s="1">
        <v>124.357</v>
      </c>
      <c r="D83" s="1">
        <v>254.202</v>
      </c>
      <c r="E83" s="1">
        <v>429.52499999999998</v>
      </c>
      <c r="F83" s="9">
        <v>30</v>
      </c>
      <c r="G83" s="9">
        <v>7.1415699999999998</v>
      </c>
      <c r="H83" s="1">
        <v>74.718900000000005</v>
      </c>
      <c r="I83" s="1">
        <v>126.715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255</v>
      </c>
      <c r="B84" s="1">
        <v>206.24700000000001</v>
      </c>
      <c r="C84" s="1">
        <v>120.41200000000001</v>
      </c>
      <c r="D84" s="1">
        <v>245.18700000000001</v>
      </c>
      <c r="E84" s="1">
        <v>429.52499999999998</v>
      </c>
      <c r="F84" s="9">
        <v>30</v>
      </c>
      <c r="G84" s="9">
        <v>7.2049200000000004</v>
      </c>
      <c r="H84" s="1">
        <v>73.647999999999996</v>
      </c>
      <c r="I84" s="1">
        <v>123.75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260</v>
      </c>
      <c r="B85" s="1">
        <v>207.64</v>
      </c>
      <c r="C85" s="1">
        <v>116.68600000000001</v>
      </c>
      <c r="D85" s="1">
        <v>236.6</v>
      </c>
      <c r="E85" s="1">
        <v>429.52499999999998</v>
      </c>
      <c r="F85" s="9">
        <v>27.959099999999999</v>
      </c>
      <c r="G85" s="9">
        <v>7.2353800000000001</v>
      </c>
      <c r="H85" s="1">
        <v>72.6233</v>
      </c>
      <c r="I85" s="1">
        <v>120.913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265</v>
      </c>
      <c r="B86" s="1">
        <v>205.41800000000001</v>
      </c>
      <c r="C86" s="1">
        <v>113.164</v>
      </c>
      <c r="D86" s="1">
        <v>228.41900000000001</v>
      </c>
      <c r="E86" s="1">
        <v>429.52499999999998</v>
      </c>
      <c r="F86" s="9">
        <v>30</v>
      </c>
      <c r="G86" s="9">
        <v>7.3220700000000001</v>
      </c>
      <c r="H86" s="1">
        <v>71.641800000000003</v>
      </c>
      <c r="I86" s="1">
        <v>118.197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270</v>
      </c>
      <c r="B87" s="1">
        <v>429.30399999999997</v>
      </c>
      <c r="C87" s="1">
        <v>109.54300000000001</v>
      </c>
      <c r="D87" s="1">
        <v>220.43700000000001</v>
      </c>
      <c r="E87" s="1">
        <v>429.52499999999998</v>
      </c>
      <c r="F87" s="9">
        <v>0.107184</v>
      </c>
      <c r="G87" s="9">
        <v>7.5302300000000004</v>
      </c>
      <c r="H87" s="1">
        <v>70.3459</v>
      </c>
      <c r="I87" s="1">
        <v>111.319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275</v>
      </c>
      <c r="B88" s="1">
        <v>429.30399999999997</v>
      </c>
      <c r="C88" s="1">
        <v>106.19799999999999</v>
      </c>
      <c r="D88" s="1">
        <v>212.42699999999999</v>
      </c>
      <c r="E88" s="1">
        <v>429.52499999999998</v>
      </c>
      <c r="F88" s="9">
        <v>0.107304</v>
      </c>
      <c r="G88" s="9">
        <v>7.7651500000000002</v>
      </c>
      <c r="H88" s="1">
        <v>69.394599999999997</v>
      </c>
      <c r="I88" s="1">
        <v>108.872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280</v>
      </c>
      <c r="B89" s="1">
        <v>429.30200000000002</v>
      </c>
      <c r="C89" s="1">
        <v>103.15</v>
      </c>
      <c r="D89" s="1">
        <v>204.82400000000001</v>
      </c>
      <c r="E89" s="1">
        <v>429.52499999999998</v>
      </c>
      <c r="F89" s="9">
        <v>0.10771699999999999</v>
      </c>
      <c r="G89" s="9">
        <v>8.0082400000000007</v>
      </c>
      <c r="H89" s="1">
        <v>68.515699999999995</v>
      </c>
      <c r="I89" s="1">
        <v>106.54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285</v>
      </c>
      <c r="B90" s="1">
        <v>429.303</v>
      </c>
      <c r="C90" s="1">
        <v>100.285</v>
      </c>
      <c r="D90" s="1">
        <v>197.624</v>
      </c>
      <c r="E90" s="1">
        <v>429.52499999999998</v>
      </c>
      <c r="F90" s="9">
        <v>0.10782899999999999</v>
      </c>
      <c r="G90" s="9">
        <v>8.2444400000000009</v>
      </c>
      <c r="H90" s="1">
        <v>67.677099999999996</v>
      </c>
      <c r="I90" s="1">
        <v>104.309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290</v>
      </c>
      <c r="B91" s="1">
        <v>429.30200000000002</v>
      </c>
      <c r="C91" s="1">
        <v>97.567999999999998</v>
      </c>
      <c r="D91" s="1">
        <v>190.785</v>
      </c>
      <c r="E91" s="1">
        <v>429.52499999999998</v>
      </c>
      <c r="F91" s="9">
        <v>0.107931</v>
      </c>
      <c r="G91" s="9">
        <v>8.4811700000000005</v>
      </c>
      <c r="H91" s="1">
        <v>66.870199999999997</v>
      </c>
      <c r="I91" s="1">
        <v>102.18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295</v>
      </c>
      <c r="B92" s="1">
        <v>429.30200000000002</v>
      </c>
      <c r="C92" s="1">
        <v>95.005600000000001</v>
      </c>
      <c r="D92" s="1">
        <v>184.30099999999999</v>
      </c>
      <c r="E92" s="1">
        <v>429.52499999999998</v>
      </c>
      <c r="F92" s="9">
        <v>0.108027</v>
      </c>
      <c r="G92" s="9">
        <v>8.7184200000000001</v>
      </c>
      <c r="H92" s="1">
        <v>66.100899999999996</v>
      </c>
      <c r="I92" s="1">
        <v>100.14400000000001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300</v>
      </c>
      <c r="B93" s="1">
        <v>429.30200000000002</v>
      </c>
      <c r="C93" s="1">
        <v>92.581100000000006</v>
      </c>
      <c r="D93" s="1">
        <v>178.15</v>
      </c>
      <c r="E93" s="1">
        <v>429.52499999999998</v>
      </c>
      <c r="F93" s="9">
        <v>0.108117</v>
      </c>
      <c r="G93" s="9">
        <v>8.9561700000000002</v>
      </c>
      <c r="H93" s="1">
        <v>65.363900000000001</v>
      </c>
      <c r="I93" s="1">
        <v>98.196600000000004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305</v>
      </c>
      <c r="B94" s="1">
        <v>429.23399999999998</v>
      </c>
      <c r="C94" s="1">
        <v>90.287199999999999</v>
      </c>
      <c r="D94" s="1">
        <v>172.315</v>
      </c>
      <c r="E94" s="1">
        <v>429.52499999999998</v>
      </c>
      <c r="F94" s="9">
        <v>0.13835600000000001</v>
      </c>
      <c r="G94" s="9">
        <v>9.1943999999999999</v>
      </c>
      <c r="H94" s="1">
        <v>64.658299999999997</v>
      </c>
      <c r="I94" s="1">
        <v>96.3339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310</v>
      </c>
      <c r="B95" s="1">
        <v>417.286</v>
      </c>
      <c r="C95" s="1">
        <v>88.115899999999996</v>
      </c>
      <c r="D95" s="1">
        <v>166.77699999999999</v>
      </c>
      <c r="E95" s="1">
        <v>429.52499999999998</v>
      </c>
      <c r="F95" s="9">
        <v>0.108282</v>
      </c>
      <c r="G95" s="9">
        <v>9.3746799999999997</v>
      </c>
      <c r="H95" s="1">
        <v>63.982300000000002</v>
      </c>
      <c r="I95" s="1">
        <v>94.551500000000004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315</v>
      </c>
      <c r="B96" s="1">
        <v>419.935</v>
      </c>
      <c r="C96" s="1">
        <v>86.062100000000001</v>
      </c>
      <c r="D96" s="1">
        <v>161.52000000000001</v>
      </c>
      <c r="E96" s="1">
        <v>429.52499999999998</v>
      </c>
      <c r="F96" s="9">
        <v>0.108309</v>
      </c>
      <c r="G96" s="9">
        <v>9.4464500000000005</v>
      </c>
      <c r="H96" s="1">
        <v>63.335900000000002</v>
      </c>
      <c r="I96" s="1">
        <v>92.845699999999994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320</v>
      </c>
      <c r="B97" s="1">
        <v>417.24799999999999</v>
      </c>
      <c r="C97" s="1">
        <v>84.118300000000005</v>
      </c>
      <c r="D97" s="1">
        <v>156.529</v>
      </c>
      <c r="E97" s="1">
        <v>429.52499999999998</v>
      </c>
      <c r="F97" s="9">
        <v>0.108086</v>
      </c>
      <c r="G97" s="9">
        <v>9.5680899999999998</v>
      </c>
      <c r="H97" s="1">
        <v>62.717100000000002</v>
      </c>
      <c r="I97" s="1">
        <v>91.212699999999998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325</v>
      </c>
      <c r="B98" s="1">
        <v>429.30099999999999</v>
      </c>
      <c r="C98" s="1">
        <v>82.278400000000005</v>
      </c>
      <c r="D98" s="1">
        <v>151.78899999999999</v>
      </c>
      <c r="E98" s="1">
        <v>429.52499999999998</v>
      </c>
      <c r="F98" s="9">
        <v>0.108124</v>
      </c>
      <c r="G98" s="9">
        <v>9.7753499999999995</v>
      </c>
      <c r="H98" s="1">
        <v>62.124899999999997</v>
      </c>
      <c r="I98" s="1">
        <v>89.649100000000004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330</v>
      </c>
      <c r="B99" s="1">
        <v>219.785</v>
      </c>
      <c r="C99" s="1">
        <v>80.536500000000004</v>
      </c>
      <c r="D99" s="1">
        <v>147.285</v>
      </c>
      <c r="E99" s="1">
        <v>429.52499999999998</v>
      </c>
      <c r="F99" s="9">
        <v>13.9899</v>
      </c>
      <c r="G99" s="9">
        <v>10.0214</v>
      </c>
      <c r="H99" s="1">
        <v>61.558100000000003</v>
      </c>
      <c r="I99" s="1">
        <v>88.151799999999994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335</v>
      </c>
      <c r="B100" s="1">
        <v>417.13099999999997</v>
      </c>
      <c r="C100" s="1">
        <v>78.887200000000007</v>
      </c>
      <c r="D100" s="1">
        <v>143.005</v>
      </c>
      <c r="E100" s="1">
        <v>429.52499999999998</v>
      </c>
      <c r="F100" s="9">
        <v>0.108304</v>
      </c>
      <c r="G100" s="9">
        <v>10.1762</v>
      </c>
      <c r="H100" s="1">
        <v>61.015599999999999</v>
      </c>
      <c r="I100" s="1">
        <v>86.717500000000001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340</v>
      </c>
      <c r="B101" s="1">
        <v>419.56700000000001</v>
      </c>
      <c r="C101" s="1">
        <v>77.325199999999995</v>
      </c>
      <c r="D101" s="1">
        <v>138.93799999999999</v>
      </c>
      <c r="E101" s="1">
        <v>429.52499999999998</v>
      </c>
      <c r="F101" s="9">
        <v>0.108339</v>
      </c>
      <c r="G101" s="9">
        <v>10.224600000000001</v>
      </c>
      <c r="H101" s="1">
        <v>60.496299999999998</v>
      </c>
      <c r="I101" s="1">
        <v>85.343400000000003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345</v>
      </c>
      <c r="B102" s="1">
        <v>417.09300000000002</v>
      </c>
      <c r="C102" s="1">
        <v>75.846299999999999</v>
      </c>
      <c r="D102" s="1">
        <v>135.07</v>
      </c>
      <c r="E102" s="1">
        <v>429.52499999999998</v>
      </c>
      <c r="F102" s="9">
        <v>0.108123</v>
      </c>
      <c r="G102" s="9">
        <v>10.3505</v>
      </c>
      <c r="H102" s="1">
        <v>59.999600000000001</v>
      </c>
      <c r="I102" s="1">
        <v>84.026600000000002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350</v>
      </c>
      <c r="B103" s="1">
        <v>429.29899999999998</v>
      </c>
      <c r="C103" s="1">
        <v>74.445899999999995</v>
      </c>
      <c r="D103" s="1">
        <v>131.39099999999999</v>
      </c>
      <c r="E103" s="1">
        <v>429.52499999999998</v>
      </c>
      <c r="F103" s="9">
        <v>0.108168</v>
      </c>
      <c r="G103" s="9">
        <v>10.5425</v>
      </c>
      <c r="H103" s="1">
        <v>59.524500000000003</v>
      </c>
      <c r="I103" s="1">
        <v>82.764499999999998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355</v>
      </c>
      <c r="B104" s="1">
        <v>429.29899999999998</v>
      </c>
      <c r="C104" s="1">
        <v>73.119100000000003</v>
      </c>
      <c r="D104" s="1">
        <v>127.892</v>
      </c>
      <c r="E104" s="1">
        <v>429.52499999999998</v>
      </c>
      <c r="F104" s="9">
        <v>0.108268</v>
      </c>
      <c r="G104" s="9">
        <v>10.780799999999999</v>
      </c>
      <c r="H104" s="1">
        <v>59.069699999999997</v>
      </c>
      <c r="I104" s="1">
        <v>81.554599999999994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360</v>
      </c>
      <c r="B105" s="1">
        <v>197.63800000000001</v>
      </c>
      <c r="C105" s="1">
        <v>71.858900000000006</v>
      </c>
      <c r="D105" s="1">
        <v>124.562</v>
      </c>
      <c r="E105" s="1">
        <v>429.52499999999998</v>
      </c>
      <c r="F105" s="9">
        <v>21.1401</v>
      </c>
      <c r="G105" s="9">
        <v>10.828799999999999</v>
      </c>
      <c r="H105" s="1">
        <v>58.633499999999998</v>
      </c>
      <c r="I105" s="1">
        <v>80.394400000000005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365</v>
      </c>
      <c r="B106" s="1">
        <v>182.19200000000001</v>
      </c>
      <c r="C106" s="1">
        <v>70.660200000000003</v>
      </c>
      <c r="D106" s="1">
        <v>121.392</v>
      </c>
      <c r="E106" s="1">
        <v>429.52499999999998</v>
      </c>
      <c r="F106" s="9">
        <v>40</v>
      </c>
      <c r="G106" s="9">
        <v>10.9537</v>
      </c>
      <c r="H106" s="1">
        <v>58.213999999999999</v>
      </c>
      <c r="I106" s="1">
        <v>79.281999999999996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370</v>
      </c>
      <c r="B107" s="1">
        <v>429.29700000000003</v>
      </c>
      <c r="C107" s="1">
        <v>69.533799999999999</v>
      </c>
      <c r="D107" s="1">
        <v>118.374</v>
      </c>
      <c r="E107" s="1">
        <v>429.52499999999998</v>
      </c>
      <c r="F107" s="9">
        <v>0.10816000000000001</v>
      </c>
      <c r="G107" s="9">
        <v>11.1379</v>
      </c>
      <c r="H107" s="1">
        <v>57.816800000000001</v>
      </c>
      <c r="I107" s="1">
        <v>78.215000000000003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375</v>
      </c>
      <c r="B108" s="1">
        <v>429.29599999999999</v>
      </c>
      <c r="C108" s="1">
        <v>68.465900000000005</v>
      </c>
      <c r="D108" s="1">
        <v>115.5</v>
      </c>
      <c r="E108" s="1">
        <v>429.52499999999998</v>
      </c>
      <c r="F108" s="9">
        <v>0.108265</v>
      </c>
      <c r="G108" s="9">
        <v>11.376200000000001</v>
      </c>
      <c r="H108" s="1">
        <v>57.436399999999999</v>
      </c>
      <c r="I108" s="1">
        <v>77.191299999999998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380</v>
      </c>
      <c r="B109" s="1">
        <v>418.82900000000001</v>
      </c>
      <c r="C109" s="1">
        <v>67.449200000000005</v>
      </c>
      <c r="D109" s="1">
        <v>112.762</v>
      </c>
      <c r="E109" s="1">
        <v>429.52499999999998</v>
      </c>
      <c r="F109" s="9">
        <v>0.108363</v>
      </c>
      <c r="G109" s="9">
        <v>11.5663</v>
      </c>
      <c r="H109" s="1">
        <v>57.070599999999999</v>
      </c>
      <c r="I109" s="1">
        <v>76.209000000000003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385</v>
      </c>
      <c r="B110" s="1">
        <v>413.88600000000002</v>
      </c>
      <c r="C110" s="1">
        <v>66.490700000000004</v>
      </c>
      <c r="D110" s="1">
        <v>110.15300000000001</v>
      </c>
      <c r="E110" s="1">
        <v>429.52499999999998</v>
      </c>
      <c r="F110" s="9">
        <v>0.39185399999999998</v>
      </c>
      <c r="G110" s="9">
        <v>11.6044</v>
      </c>
      <c r="H110" s="1">
        <v>56.722999999999999</v>
      </c>
      <c r="I110" s="1">
        <v>75.266300000000001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390</v>
      </c>
      <c r="B111" s="1">
        <v>416.81700000000001</v>
      </c>
      <c r="C111" s="1">
        <v>65.581599999999995</v>
      </c>
      <c r="D111" s="1">
        <v>107.666</v>
      </c>
      <c r="E111" s="1">
        <v>429.52499999999998</v>
      </c>
      <c r="F111" s="9">
        <v>0.108193</v>
      </c>
      <c r="G111" s="9">
        <v>11.7141</v>
      </c>
      <c r="H111" s="1">
        <v>56.390099999999997</v>
      </c>
      <c r="I111" s="1">
        <v>74.361500000000007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395</v>
      </c>
      <c r="B112" s="1">
        <v>426.91199999999998</v>
      </c>
      <c r="C112" s="1">
        <v>64.750500000000002</v>
      </c>
      <c r="D112" s="1">
        <v>105.27200000000001</v>
      </c>
      <c r="E112" s="1">
        <v>429.52499999999998</v>
      </c>
      <c r="F112" s="9">
        <v>0.33244299999999999</v>
      </c>
      <c r="G112" s="9">
        <v>12.252000000000001</v>
      </c>
      <c r="H112" s="1">
        <v>54.339500000000001</v>
      </c>
      <c r="I112" s="1">
        <v>70.895300000000006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400</v>
      </c>
      <c r="B113" s="1">
        <v>426.04500000000002</v>
      </c>
      <c r="C113" s="1">
        <v>63.960500000000003</v>
      </c>
      <c r="D113" s="1">
        <v>102.80500000000001</v>
      </c>
      <c r="E113" s="1">
        <v>429.52499999999998</v>
      </c>
      <c r="F113" s="9">
        <v>0.331733</v>
      </c>
      <c r="G113" s="9">
        <v>13.051</v>
      </c>
      <c r="H113" s="1">
        <v>54.111899999999999</v>
      </c>
      <c r="I113" s="1">
        <v>70.115700000000004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405</v>
      </c>
      <c r="B114" s="1">
        <v>424.517</v>
      </c>
      <c r="C114" s="1">
        <v>63.213700000000003</v>
      </c>
      <c r="D114" s="1">
        <v>100.482</v>
      </c>
      <c r="E114" s="1">
        <v>429.524</v>
      </c>
      <c r="F114" s="9">
        <v>0.33718799999999999</v>
      </c>
      <c r="G114" s="9">
        <v>13.8536</v>
      </c>
      <c r="H114" s="1">
        <v>53.8962</v>
      </c>
      <c r="I114" s="1">
        <v>69.373400000000004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410</v>
      </c>
      <c r="B115" s="1">
        <v>422.24099999999999</v>
      </c>
      <c r="C115" s="1">
        <v>62.507599999999996</v>
      </c>
      <c r="D115" s="1">
        <v>98.264600000000002</v>
      </c>
      <c r="E115" s="1">
        <v>429.52199999999999</v>
      </c>
      <c r="F115" s="9">
        <v>0.33804800000000002</v>
      </c>
      <c r="G115" s="9">
        <v>14.659800000000001</v>
      </c>
      <c r="H115" s="1">
        <v>53.691899999999997</v>
      </c>
      <c r="I115" s="1">
        <v>68.658699999999996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415</v>
      </c>
      <c r="B116" s="1">
        <v>418.44900000000001</v>
      </c>
      <c r="C116" s="1">
        <v>61.84</v>
      </c>
      <c r="D116" s="1">
        <v>96.150499999999994</v>
      </c>
      <c r="E116" s="1">
        <v>429.517</v>
      </c>
      <c r="F116" s="9">
        <v>0.33875899999999998</v>
      </c>
      <c r="G116" s="9">
        <v>15.468999999999999</v>
      </c>
      <c r="H116" s="1">
        <v>53.4983</v>
      </c>
      <c r="I116" s="1">
        <v>67.971299999999999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420</v>
      </c>
      <c r="B117" s="1">
        <v>411.774</v>
      </c>
      <c r="C117" s="1">
        <v>61.208599999999997</v>
      </c>
      <c r="D117" s="1">
        <v>94.128799999999998</v>
      </c>
      <c r="E117" s="1">
        <v>429.51100000000002</v>
      </c>
      <c r="F117" s="9">
        <v>0.33944400000000002</v>
      </c>
      <c r="G117" s="9">
        <v>16.280899999999999</v>
      </c>
      <c r="H117" s="1">
        <v>53.314900000000002</v>
      </c>
      <c r="I117" s="1">
        <v>67.308099999999996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425</v>
      </c>
      <c r="B118" s="1">
        <v>399.15199999999999</v>
      </c>
      <c r="C118" s="1">
        <v>60.611400000000003</v>
      </c>
      <c r="D118" s="1">
        <v>92.202399999999997</v>
      </c>
      <c r="E118" s="1">
        <v>429.49299999999999</v>
      </c>
      <c r="F118" s="9">
        <v>0.340111</v>
      </c>
      <c r="G118" s="9">
        <v>17.095400000000001</v>
      </c>
      <c r="H118" s="1">
        <v>53.141100000000002</v>
      </c>
      <c r="I118" s="1">
        <v>66.6708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430</v>
      </c>
      <c r="B119" s="1">
        <v>373</v>
      </c>
      <c r="C119" s="1">
        <v>60.046599999999998</v>
      </c>
      <c r="D119" s="1">
        <v>90.365200000000002</v>
      </c>
      <c r="E119" s="1">
        <v>429.44200000000001</v>
      </c>
      <c r="F119" s="9">
        <v>0.34075699999999998</v>
      </c>
      <c r="G119" s="9">
        <v>17.912500000000001</v>
      </c>
      <c r="H119" s="1">
        <v>52.976399999999998</v>
      </c>
      <c r="I119" s="1">
        <v>66.057500000000005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435</v>
      </c>
      <c r="B120" s="1">
        <v>311.44499999999999</v>
      </c>
      <c r="C120" s="1">
        <v>59.512300000000003</v>
      </c>
      <c r="D120" s="1">
        <v>88.614000000000004</v>
      </c>
      <c r="E120" s="1">
        <v>429.363</v>
      </c>
      <c r="F120" s="9">
        <v>0.34138200000000002</v>
      </c>
      <c r="G120" s="9">
        <v>18.732099999999999</v>
      </c>
      <c r="H120" s="1">
        <v>52.820300000000003</v>
      </c>
      <c r="I120" s="1">
        <v>65.468000000000004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440</v>
      </c>
      <c r="B121" s="1">
        <v>143.179</v>
      </c>
      <c r="C121" s="1">
        <v>59.006799999999998</v>
      </c>
      <c r="D121" s="1">
        <v>86.943700000000007</v>
      </c>
      <c r="E121" s="1">
        <v>428.267</v>
      </c>
      <c r="F121" s="9">
        <v>0.34198600000000001</v>
      </c>
      <c r="G121" s="9">
        <v>19.554099999999998</v>
      </c>
      <c r="H121" s="1">
        <v>52.672499999999999</v>
      </c>
      <c r="I121" s="1">
        <v>64.900999999999996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445</v>
      </c>
      <c r="B122" s="1">
        <v>143.179</v>
      </c>
      <c r="C122" s="1">
        <v>58.528599999999997</v>
      </c>
      <c r="D122" s="1">
        <v>85.350499999999997</v>
      </c>
      <c r="E122" s="1">
        <v>413.72</v>
      </c>
      <c r="F122" s="9">
        <v>0.221054</v>
      </c>
      <c r="G122" s="9">
        <v>19.911300000000001</v>
      </c>
      <c r="H122" s="1">
        <v>52.532400000000003</v>
      </c>
      <c r="I122" s="1">
        <v>64.355699999999999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450</v>
      </c>
      <c r="B123" s="1">
        <v>143.179</v>
      </c>
      <c r="C123" s="1">
        <v>58.076099999999997</v>
      </c>
      <c r="D123" s="1">
        <v>83.829099999999997</v>
      </c>
      <c r="E123" s="1">
        <v>398.64400000000001</v>
      </c>
      <c r="F123" s="9">
        <v>0.221054</v>
      </c>
      <c r="G123" s="9">
        <v>20.183700000000002</v>
      </c>
      <c r="H123" s="1">
        <v>52.399700000000003</v>
      </c>
      <c r="I123" s="1">
        <v>63.830599999999997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455</v>
      </c>
      <c r="B124" s="1">
        <v>143.179</v>
      </c>
      <c r="C124" s="1">
        <v>57.648000000000003</v>
      </c>
      <c r="D124" s="1">
        <v>82.378900000000002</v>
      </c>
      <c r="E124" s="1">
        <v>384.19799999999998</v>
      </c>
      <c r="F124" s="9">
        <v>0.221054</v>
      </c>
      <c r="G124" s="9">
        <v>20.456099999999999</v>
      </c>
      <c r="H124" s="1">
        <v>52.274000000000001</v>
      </c>
      <c r="I124" s="1">
        <v>63.326000000000001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460</v>
      </c>
      <c r="B125" s="1">
        <v>143.179</v>
      </c>
      <c r="C125" s="1">
        <v>57.242800000000003</v>
      </c>
      <c r="D125" s="1">
        <v>80.995199999999997</v>
      </c>
      <c r="E125" s="1">
        <v>370.35899999999998</v>
      </c>
      <c r="F125" s="9">
        <v>0.221054</v>
      </c>
      <c r="G125" s="9">
        <v>20.7285</v>
      </c>
      <c r="H125" s="1">
        <v>52.154800000000002</v>
      </c>
      <c r="I125" s="1">
        <v>62.840699999999998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465</v>
      </c>
      <c r="B126" s="1">
        <v>143.179</v>
      </c>
      <c r="C126" s="1">
        <v>56.859299999999998</v>
      </c>
      <c r="D126" s="1">
        <v>79.674700000000001</v>
      </c>
      <c r="E126" s="1">
        <v>357.08300000000003</v>
      </c>
      <c r="F126" s="9">
        <v>0.221054</v>
      </c>
      <c r="G126" s="9">
        <v>21.000800000000002</v>
      </c>
      <c r="H126" s="1">
        <v>52.041899999999998</v>
      </c>
      <c r="I126" s="1">
        <v>62.373800000000003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470</v>
      </c>
      <c r="B127" s="1">
        <v>143.179</v>
      </c>
      <c r="C127" s="1">
        <v>56.496299999999998</v>
      </c>
      <c r="D127" s="1">
        <v>78.414299999999997</v>
      </c>
      <c r="E127" s="1">
        <v>344.05099999999999</v>
      </c>
      <c r="F127" s="9">
        <v>0.221054</v>
      </c>
      <c r="G127" s="9">
        <v>21.273199999999999</v>
      </c>
      <c r="H127" s="1">
        <v>51.934899999999999</v>
      </c>
      <c r="I127" s="1">
        <v>61.924799999999998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475</v>
      </c>
      <c r="B128" s="1">
        <v>143.179</v>
      </c>
      <c r="C128" s="1">
        <v>56.152799999999999</v>
      </c>
      <c r="D128" s="1">
        <v>77.210899999999995</v>
      </c>
      <c r="E128" s="1">
        <v>331.60399999999998</v>
      </c>
      <c r="F128" s="9">
        <v>0.221054</v>
      </c>
      <c r="G128" s="9">
        <v>21.5456</v>
      </c>
      <c r="H128" s="1">
        <v>51.833599999999997</v>
      </c>
      <c r="I128" s="1">
        <v>61.492600000000003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480</v>
      </c>
      <c r="B129" s="1">
        <v>143.179</v>
      </c>
      <c r="C129" s="1">
        <v>55.827500000000001</v>
      </c>
      <c r="D129" s="1">
        <v>76.062299999999993</v>
      </c>
      <c r="E129" s="1">
        <v>319.72000000000003</v>
      </c>
      <c r="F129" s="9">
        <v>0.221054</v>
      </c>
      <c r="G129" s="9">
        <v>21.818000000000001</v>
      </c>
      <c r="H129" s="1">
        <v>51.737499999999997</v>
      </c>
      <c r="I129" s="1">
        <v>61.076900000000002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485</v>
      </c>
      <c r="B130" s="1">
        <v>143.179</v>
      </c>
      <c r="C130" s="1">
        <v>55.519599999999997</v>
      </c>
      <c r="D130" s="1">
        <v>74.965500000000006</v>
      </c>
      <c r="E130" s="1">
        <v>308.50799999999998</v>
      </c>
      <c r="F130" s="9">
        <v>0.221054</v>
      </c>
      <c r="G130" s="9">
        <v>22.090299999999999</v>
      </c>
      <c r="H130" s="1">
        <v>51.646500000000003</v>
      </c>
      <c r="I130" s="1">
        <v>60.677100000000003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490</v>
      </c>
      <c r="B131" s="1">
        <v>143.179</v>
      </c>
      <c r="C131" s="1">
        <v>55.228099999999998</v>
      </c>
      <c r="D131" s="1">
        <v>73.918099999999995</v>
      </c>
      <c r="E131" s="1">
        <v>298.21100000000001</v>
      </c>
      <c r="F131" s="9">
        <v>0.221054</v>
      </c>
      <c r="G131" s="9">
        <v>22.3627</v>
      </c>
      <c r="H131" s="1">
        <v>51.560200000000002</v>
      </c>
      <c r="I131" s="1">
        <v>60.292400000000001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495</v>
      </c>
      <c r="B132" s="1">
        <v>143.179</v>
      </c>
      <c r="C132" s="1">
        <v>54.952199999999998</v>
      </c>
      <c r="D132" s="1">
        <v>72.917599999999993</v>
      </c>
      <c r="E132" s="1">
        <v>288.346</v>
      </c>
      <c r="F132" s="9">
        <v>0.221054</v>
      </c>
      <c r="G132" s="9">
        <v>22.635100000000001</v>
      </c>
      <c r="H132" s="1">
        <v>51.478499999999997</v>
      </c>
      <c r="I132" s="1">
        <v>59.922199999999997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500</v>
      </c>
      <c r="B133" s="1">
        <v>143.179</v>
      </c>
      <c r="C133" s="1">
        <v>54.690899999999999</v>
      </c>
      <c r="D133" s="1">
        <v>71.961600000000004</v>
      </c>
      <c r="E133" s="1">
        <v>278.87599999999998</v>
      </c>
      <c r="F133" s="9">
        <v>0.221054</v>
      </c>
      <c r="G133" s="9">
        <v>22.907499999999999</v>
      </c>
      <c r="H133" s="1">
        <v>51.401000000000003</v>
      </c>
      <c r="I133" s="1">
        <v>59.565800000000003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505</v>
      </c>
      <c r="B134" s="1">
        <v>143.179</v>
      </c>
      <c r="C134" s="1">
        <v>54.4435</v>
      </c>
      <c r="D134" s="1">
        <v>71.0488</v>
      </c>
      <c r="E134" s="1">
        <v>269.78699999999998</v>
      </c>
      <c r="F134" s="9">
        <v>0.221054</v>
      </c>
      <c r="G134" s="9">
        <v>23.1799</v>
      </c>
      <c r="H134" s="1">
        <v>51.3277</v>
      </c>
      <c r="I134" s="1">
        <v>59.223100000000002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>
        <v>514</v>
      </c>
      <c r="B135" s="1">
        <v>143.179</v>
      </c>
      <c r="C135" s="1">
        <v>54.030799999999999</v>
      </c>
      <c r="D135" s="1">
        <v>69.506399999999999</v>
      </c>
      <c r="E135" s="1">
        <v>254.34800000000001</v>
      </c>
      <c r="F135" s="9">
        <v>0.221054</v>
      </c>
      <c r="G135" s="9">
        <v>23.670100000000001</v>
      </c>
      <c r="H135" s="1">
        <v>51.205100000000002</v>
      </c>
      <c r="I135" s="1">
        <v>58.638300000000001</v>
      </c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/>
      <c r="B137" s="1"/>
      <c r="C137" s="1"/>
      <c r="D137" s="1"/>
      <c r="E137" s="1"/>
      <c r="F137" s="9"/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21</v>
      </c>
      <c r="B138" s="1" t="s">
        <v>12</v>
      </c>
      <c r="C138" s="1" t="s">
        <v>22</v>
      </c>
      <c r="D138" s="1" t="s">
        <v>12</v>
      </c>
      <c r="E138" s="1" t="s">
        <v>23</v>
      </c>
      <c r="F138" s="9" t="s">
        <v>24</v>
      </c>
      <c r="G138" s="9" t="s">
        <v>5</v>
      </c>
      <c r="H138" s="1">
        <v>40</v>
      </c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26</v>
      </c>
      <c r="C139" s="1" t="s">
        <v>27</v>
      </c>
      <c r="D139" s="1" t="s">
        <v>28</v>
      </c>
      <c r="E139" s="1" t="s">
        <v>5</v>
      </c>
      <c r="F139" s="9">
        <v>409261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29</v>
      </c>
      <c r="B140" s="1" t="s">
        <v>26</v>
      </c>
      <c r="C140" s="1" t="s">
        <v>30</v>
      </c>
      <c r="D140" s="1" t="s">
        <v>28</v>
      </c>
      <c r="E140" s="1" t="s">
        <v>5</v>
      </c>
      <c r="F140" s="9">
        <v>22743.1</v>
      </c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25</v>
      </c>
      <c r="B141" s="1" t="s">
        <v>31</v>
      </c>
      <c r="C141" s="1" t="s">
        <v>32</v>
      </c>
      <c r="D141" s="1" t="s">
        <v>33</v>
      </c>
      <c r="E141" s="1" t="s">
        <v>28</v>
      </c>
      <c r="F141" s="9" t="s">
        <v>5</v>
      </c>
      <c r="G141" s="9">
        <v>412093</v>
      </c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34</v>
      </c>
      <c r="B142" s="1" t="s">
        <v>28</v>
      </c>
      <c r="C142" s="1" t="s">
        <v>5</v>
      </c>
      <c r="D142" s="1">
        <v>-25575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35</v>
      </c>
      <c r="B143" s="1" t="s">
        <v>36</v>
      </c>
      <c r="C143" s="1" t="s">
        <v>5</v>
      </c>
      <c r="D143" s="1">
        <v>-6.2490699999999997</v>
      </c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877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3:AP1831"/>
  <sheetViews>
    <sheetView workbookViewId="0">
      <selection activeCell="S27" sqref="S27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5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H137</f>
        <v>92.116399999999999</v>
      </c>
      <c r="T21" t="s">
        <v>46</v>
      </c>
      <c r="AC21" s="1"/>
    </row>
    <row r="22" spans="1:42" x14ac:dyDescent="0.25">
      <c r="R22" s="11" t="s">
        <v>50</v>
      </c>
      <c r="S22" s="1">
        <f>F138/1000</f>
        <v>409.26100000000002</v>
      </c>
      <c r="T22" t="s">
        <v>54</v>
      </c>
      <c r="AC22" s="1"/>
    </row>
    <row r="23" spans="1:42" x14ac:dyDescent="0.25">
      <c r="R23" s="11" t="s">
        <v>51</v>
      </c>
      <c r="S23" s="1">
        <f>F139/1000</f>
        <v>28.425699999999999</v>
      </c>
      <c r="T23" t="s">
        <v>54</v>
      </c>
      <c r="U23" s="13"/>
    </row>
    <row r="24" spans="1:42" x14ac:dyDescent="0.25">
      <c r="R24" s="11" t="s">
        <v>52</v>
      </c>
      <c r="S24" s="1">
        <f>G140/1000</f>
        <v>405.70699999999999</v>
      </c>
      <c r="T24" t="s">
        <v>54</v>
      </c>
    </row>
    <row r="25" spans="1:42" x14ac:dyDescent="0.25">
      <c r="R25" t="s">
        <v>53</v>
      </c>
      <c r="S25" s="1">
        <f>S22-S23-S24</f>
        <v>-24.871699999999976</v>
      </c>
      <c r="T25" t="s">
        <v>54</v>
      </c>
    </row>
    <row r="26" spans="1:42" x14ac:dyDescent="0.25">
      <c r="R26" s="11" t="s">
        <v>48</v>
      </c>
      <c r="S26" s="9">
        <f>D142</f>
        <v>-6.0770999999999997</v>
      </c>
      <c r="T26" t="s">
        <v>49</v>
      </c>
    </row>
    <row r="27" spans="1:42" ht="15" customHeight="1" x14ac:dyDescent="0.25">
      <c r="R27" s="11" t="s">
        <v>44</v>
      </c>
      <c r="S27" s="1">
        <f>B144</f>
        <v>1789</v>
      </c>
      <c r="T27" t="s">
        <v>38</v>
      </c>
    </row>
    <row r="28" spans="1:42" ht="15" customHeight="1" x14ac:dyDescent="0.25">
      <c r="S28" s="9">
        <f>S27/60</f>
        <v>29.816666666666666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2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5.0833300000000001</v>
      </c>
      <c r="B34" s="1">
        <v>396.98700000000002</v>
      </c>
      <c r="C34" s="1">
        <v>430.78800000000001</v>
      </c>
      <c r="D34" s="1">
        <v>432.96100000000001</v>
      </c>
      <c r="E34" s="1">
        <v>433.36200000000002</v>
      </c>
      <c r="F34" s="9">
        <v>3</v>
      </c>
      <c r="G34" s="9">
        <v>0</v>
      </c>
      <c r="H34" s="1">
        <v>420.56900000000002</v>
      </c>
      <c r="I34" s="1">
        <v>429.37900000000002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10.166700000000001</v>
      </c>
      <c r="B35" s="1">
        <v>396.88799999999998</v>
      </c>
      <c r="C35" s="1">
        <v>427.99099999999999</v>
      </c>
      <c r="D35" s="1">
        <v>432.65</v>
      </c>
      <c r="E35" s="1">
        <v>433.32299999999998</v>
      </c>
      <c r="F35" s="9">
        <v>3</v>
      </c>
      <c r="G35" s="9">
        <v>0</v>
      </c>
      <c r="H35" s="1">
        <v>418.03800000000001</v>
      </c>
      <c r="I35" s="1">
        <v>429.06400000000002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15.25</v>
      </c>
      <c r="B36" s="1">
        <v>396.79</v>
      </c>
      <c r="C36" s="1">
        <v>425.52499999999998</v>
      </c>
      <c r="D36" s="1">
        <v>432.36900000000003</v>
      </c>
      <c r="E36" s="1">
        <v>433.28399999999999</v>
      </c>
      <c r="F36" s="9">
        <v>3</v>
      </c>
      <c r="G36" s="9">
        <v>0</v>
      </c>
      <c r="H36" s="1">
        <v>415.69099999999997</v>
      </c>
      <c r="I36" s="1">
        <v>428.78899999999999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20.333300000000001</v>
      </c>
      <c r="B37" s="1">
        <v>396.69400000000002</v>
      </c>
      <c r="C37" s="1">
        <v>422.91899999999998</v>
      </c>
      <c r="D37" s="1">
        <v>432.09899999999999</v>
      </c>
      <c r="E37" s="1">
        <v>433.245</v>
      </c>
      <c r="F37" s="9">
        <v>3</v>
      </c>
      <c r="G37" s="9">
        <v>0</v>
      </c>
      <c r="H37" s="1">
        <v>413.089</v>
      </c>
      <c r="I37" s="1">
        <v>428.52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25.416699999999999</v>
      </c>
      <c r="B38" s="1">
        <v>396.601</v>
      </c>
      <c r="C38" s="1">
        <v>420.34199999999998</v>
      </c>
      <c r="D38" s="1">
        <v>431.83</v>
      </c>
      <c r="E38" s="1">
        <v>433.20499999999998</v>
      </c>
      <c r="F38" s="9">
        <v>3</v>
      </c>
      <c r="G38" s="9">
        <v>0</v>
      </c>
      <c r="H38" s="1">
        <v>410.64</v>
      </c>
      <c r="I38" s="1">
        <v>428.255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30.5</v>
      </c>
      <c r="B39" s="1">
        <v>320.59899999999999</v>
      </c>
      <c r="C39" s="1">
        <v>417.62400000000002</v>
      </c>
      <c r="D39" s="1">
        <v>431.54500000000002</v>
      </c>
      <c r="E39" s="1">
        <v>433.142</v>
      </c>
      <c r="F39" s="9">
        <v>10</v>
      </c>
      <c r="G39" s="9">
        <v>0</v>
      </c>
      <c r="H39" s="1">
        <v>399.25099999999998</v>
      </c>
      <c r="I39" s="1">
        <v>426.83100000000002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35.583300000000001</v>
      </c>
      <c r="B40" s="1">
        <v>320.36700000000002</v>
      </c>
      <c r="C40" s="1">
        <v>413.27800000000002</v>
      </c>
      <c r="D40" s="1">
        <v>431.13400000000001</v>
      </c>
      <c r="E40" s="1">
        <v>432.92899999999997</v>
      </c>
      <c r="F40" s="9">
        <v>10</v>
      </c>
      <c r="G40" s="9">
        <v>0</v>
      </c>
      <c r="H40" s="1">
        <v>395.31299999999999</v>
      </c>
      <c r="I40" s="1">
        <v>426.41699999999997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40.666699999999999</v>
      </c>
      <c r="B41" s="1">
        <v>320.16500000000002</v>
      </c>
      <c r="C41" s="1">
        <v>408.827</v>
      </c>
      <c r="D41" s="1">
        <v>430.755</v>
      </c>
      <c r="E41" s="1">
        <v>432.75099999999998</v>
      </c>
      <c r="F41" s="9">
        <v>10</v>
      </c>
      <c r="G41" s="9">
        <v>0</v>
      </c>
      <c r="H41" s="1">
        <v>391.27300000000002</v>
      </c>
      <c r="I41" s="1">
        <v>426.04899999999998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45.75</v>
      </c>
      <c r="B42" s="1">
        <v>319.97199999999998</v>
      </c>
      <c r="C42" s="1">
        <v>404.64800000000002</v>
      </c>
      <c r="D42" s="1">
        <v>430.392</v>
      </c>
      <c r="E42" s="1">
        <v>432.57299999999998</v>
      </c>
      <c r="F42" s="9">
        <v>10</v>
      </c>
      <c r="G42" s="9">
        <v>0</v>
      </c>
      <c r="H42" s="1">
        <v>387.483</v>
      </c>
      <c r="I42" s="1">
        <v>425.69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50.833300000000001</v>
      </c>
      <c r="B43" s="1">
        <v>319.78100000000001</v>
      </c>
      <c r="C43" s="1">
        <v>400.34199999999998</v>
      </c>
      <c r="D43" s="1">
        <v>430.03199999999998</v>
      </c>
      <c r="E43" s="1">
        <v>432.39400000000001</v>
      </c>
      <c r="F43" s="9">
        <v>10</v>
      </c>
      <c r="G43" s="9">
        <v>0</v>
      </c>
      <c r="H43" s="1">
        <v>383.75900000000001</v>
      </c>
      <c r="I43" s="1">
        <v>425.33800000000002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55.916699999999999</v>
      </c>
      <c r="B44" s="1">
        <v>319.58999999999997</v>
      </c>
      <c r="C44" s="1">
        <v>396.358</v>
      </c>
      <c r="D44" s="1">
        <v>429.67500000000001</v>
      </c>
      <c r="E44" s="1">
        <v>432.21600000000001</v>
      </c>
      <c r="F44" s="9">
        <v>10</v>
      </c>
      <c r="G44" s="9">
        <v>0</v>
      </c>
      <c r="H44" s="1">
        <v>379.95600000000002</v>
      </c>
      <c r="I44" s="1">
        <v>424.988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61</v>
      </c>
      <c r="B45" s="1">
        <v>319.40199999999999</v>
      </c>
      <c r="C45" s="1">
        <v>392.21100000000001</v>
      </c>
      <c r="D45" s="1">
        <v>429.31900000000002</v>
      </c>
      <c r="E45" s="1">
        <v>432.03699999999998</v>
      </c>
      <c r="F45" s="9">
        <v>10</v>
      </c>
      <c r="G45" s="9">
        <v>0</v>
      </c>
      <c r="H45" s="1">
        <v>376.36700000000002</v>
      </c>
      <c r="I45" s="1">
        <v>424.63900000000001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66.083299999999994</v>
      </c>
      <c r="B46" s="1">
        <v>319.214</v>
      </c>
      <c r="C46" s="1">
        <v>388.33600000000001</v>
      </c>
      <c r="D46" s="1">
        <v>428.964</v>
      </c>
      <c r="E46" s="1">
        <v>431.85899999999998</v>
      </c>
      <c r="F46" s="9">
        <v>10</v>
      </c>
      <c r="G46" s="9">
        <v>0</v>
      </c>
      <c r="H46" s="1">
        <v>372.66699999999997</v>
      </c>
      <c r="I46" s="1">
        <v>424.29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71.166700000000006</v>
      </c>
      <c r="B47" s="1">
        <v>319.03199999999998</v>
      </c>
      <c r="C47" s="1">
        <v>384.38900000000001</v>
      </c>
      <c r="D47" s="1">
        <v>428.60899999999998</v>
      </c>
      <c r="E47" s="1">
        <v>431.68</v>
      </c>
      <c r="F47" s="9">
        <v>10</v>
      </c>
      <c r="G47" s="9">
        <v>0</v>
      </c>
      <c r="H47" s="1">
        <v>369.25099999999998</v>
      </c>
      <c r="I47" s="1">
        <v>423.94200000000001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76.25</v>
      </c>
      <c r="B48" s="1">
        <v>318.85399999999998</v>
      </c>
      <c r="C48" s="1">
        <v>380.65699999999998</v>
      </c>
      <c r="D48" s="1">
        <v>428.25400000000002</v>
      </c>
      <c r="E48" s="1">
        <v>431.50200000000001</v>
      </c>
      <c r="F48" s="9">
        <v>10</v>
      </c>
      <c r="G48" s="9">
        <v>0</v>
      </c>
      <c r="H48" s="1">
        <v>365.685</v>
      </c>
      <c r="I48" s="1">
        <v>423.59399999999999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81.333299999999994</v>
      </c>
      <c r="B49" s="1">
        <v>318.67599999999999</v>
      </c>
      <c r="C49" s="1">
        <v>376.86099999999999</v>
      </c>
      <c r="D49" s="1">
        <v>427.9</v>
      </c>
      <c r="E49" s="1">
        <v>431.32299999999998</v>
      </c>
      <c r="F49" s="9">
        <v>10</v>
      </c>
      <c r="G49" s="9">
        <v>0</v>
      </c>
      <c r="H49" s="1">
        <v>362.39499999999998</v>
      </c>
      <c r="I49" s="1">
        <v>423.24700000000001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86.416700000000006</v>
      </c>
      <c r="B50" s="1">
        <v>318.49799999999999</v>
      </c>
      <c r="C50" s="1">
        <v>373.26600000000002</v>
      </c>
      <c r="D50" s="1">
        <v>427.54700000000003</v>
      </c>
      <c r="E50" s="1">
        <v>431.14499999999998</v>
      </c>
      <c r="F50" s="9">
        <v>10</v>
      </c>
      <c r="G50" s="9">
        <v>0</v>
      </c>
      <c r="H50" s="1">
        <v>358.96100000000001</v>
      </c>
      <c r="I50" s="1">
        <v>422.9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91.5</v>
      </c>
      <c r="B51" s="1">
        <v>318.31900000000002</v>
      </c>
      <c r="C51" s="1">
        <v>369.738</v>
      </c>
      <c r="D51" s="1">
        <v>427.19400000000002</v>
      </c>
      <c r="E51" s="1">
        <v>430.96600000000001</v>
      </c>
      <c r="F51" s="9">
        <v>10</v>
      </c>
      <c r="G51" s="9">
        <v>0</v>
      </c>
      <c r="H51" s="1">
        <v>355.75200000000001</v>
      </c>
      <c r="I51" s="1">
        <v>422.55500000000001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96.583299999999994</v>
      </c>
      <c r="B52" s="1">
        <v>318.142</v>
      </c>
      <c r="C52" s="1">
        <v>366.15</v>
      </c>
      <c r="D52" s="1">
        <v>426.84100000000001</v>
      </c>
      <c r="E52" s="1">
        <v>430.78800000000001</v>
      </c>
      <c r="F52" s="9">
        <v>10</v>
      </c>
      <c r="G52" s="9">
        <v>0</v>
      </c>
      <c r="H52" s="1">
        <v>352.48200000000003</v>
      </c>
      <c r="I52" s="1">
        <v>422.209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101.667</v>
      </c>
      <c r="B53" s="1">
        <v>317.96600000000001</v>
      </c>
      <c r="C53" s="1">
        <v>362.75299999999999</v>
      </c>
      <c r="D53" s="1">
        <v>426.49</v>
      </c>
      <c r="E53" s="1">
        <v>430.60899999999998</v>
      </c>
      <c r="F53" s="9">
        <v>10</v>
      </c>
      <c r="G53" s="9">
        <v>0</v>
      </c>
      <c r="H53" s="1">
        <v>349.39</v>
      </c>
      <c r="I53" s="1">
        <v>421.86500000000001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106.75</v>
      </c>
      <c r="B54" s="1">
        <v>317.79199999999997</v>
      </c>
      <c r="C54" s="1">
        <v>359.25400000000002</v>
      </c>
      <c r="D54" s="1">
        <v>426.13900000000001</v>
      </c>
      <c r="E54" s="1">
        <v>430.43099999999998</v>
      </c>
      <c r="F54" s="9">
        <v>10</v>
      </c>
      <c r="G54" s="9">
        <v>0</v>
      </c>
      <c r="H54" s="1">
        <v>346.35300000000001</v>
      </c>
      <c r="I54" s="1">
        <v>421.52100000000002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111.833</v>
      </c>
      <c r="B55" s="1">
        <v>317.62</v>
      </c>
      <c r="C55" s="1">
        <v>356.053</v>
      </c>
      <c r="D55" s="1">
        <v>425.78800000000001</v>
      </c>
      <c r="E55" s="1">
        <v>430.25200000000001</v>
      </c>
      <c r="F55" s="9">
        <v>10</v>
      </c>
      <c r="G55" s="9">
        <v>0</v>
      </c>
      <c r="H55" s="1">
        <v>343.28399999999999</v>
      </c>
      <c r="I55" s="1">
        <v>421.17700000000002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116.917</v>
      </c>
      <c r="B56" s="1">
        <v>317.44799999999998</v>
      </c>
      <c r="C56" s="1">
        <v>352.654</v>
      </c>
      <c r="D56" s="1">
        <v>425.43700000000001</v>
      </c>
      <c r="E56" s="1">
        <v>430.07400000000001</v>
      </c>
      <c r="F56" s="9">
        <v>10</v>
      </c>
      <c r="G56" s="9">
        <v>0</v>
      </c>
      <c r="H56" s="1">
        <v>340.33100000000002</v>
      </c>
      <c r="I56" s="1">
        <v>420.83499999999998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122</v>
      </c>
      <c r="B57" s="1">
        <v>317.27499999999998</v>
      </c>
      <c r="C57" s="1">
        <v>349.50599999999997</v>
      </c>
      <c r="D57" s="1">
        <v>425.08800000000002</v>
      </c>
      <c r="E57" s="1">
        <v>429.89499999999998</v>
      </c>
      <c r="F57" s="9">
        <v>10</v>
      </c>
      <c r="G57" s="9">
        <v>0</v>
      </c>
      <c r="H57" s="1">
        <v>337.315</v>
      </c>
      <c r="I57" s="1">
        <v>420.49200000000002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127.083</v>
      </c>
      <c r="B58" s="1">
        <v>317.10300000000001</v>
      </c>
      <c r="C58" s="1">
        <v>346.416</v>
      </c>
      <c r="D58" s="1">
        <v>424.72899999999998</v>
      </c>
      <c r="E58" s="1">
        <v>429.71699999999998</v>
      </c>
      <c r="F58" s="9">
        <v>10</v>
      </c>
      <c r="G58" s="9">
        <v>0</v>
      </c>
      <c r="H58" s="1">
        <v>334.49700000000001</v>
      </c>
      <c r="I58" s="1">
        <v>420.14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132.167</v>
      </c>
      <c r="B59" s="1">
        <v>429.38900000000001</v>
      </c>
      <c r="C59" s="1">
        <v>343.404</v>
      </c>
      <c r="D59" s="1">
        <v>424.387</v>
      </c>
      <c r="E59" s="1">
        <v>429.54399999999998</v>
      </c>
      <c r="F59" s="9">
        <v>7.8046000000000004E-2</v>
      </c>
      <c r="G59" s="9">
        <v>0.108908</v>
      </c>
      <c r="H59" s="1">
        <v>162.67400000000001</v>
      </c>
      <c r="I59" s="1">
        <v>424.363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137.25</v>
      </c>
      <c r="B60" s="1">
        <v>429.39600000000002</v>
      </c>
      <c r="C60" s="1">
        <v>321.89699999999999</v>
      </c>
      <c r="D60" s="1">
        <v>424.387</v>
      </c>
      <c r="E60" s="1">
        <v>429.54399999999998</v>
      </c>
      <c r="F60" s="9">
        <v>7.5161599999999995E-2</v>
      </c>
      <c r="G60" s="9">
        <v>1.65639</v>
      </c>
      <c r="H60" s="1">
        <v>133.006</v>
      </c>
      <c r="I60" s="1">
        <v>424.36500000000001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142.333</v>
      </c>
      <c r="B61" s="1">
        <v>429.38799999999998</v>
      </c>
      <c r="C61" s="1">
        <v>301.63799999999998</v>
      </c>
      <c r="D61" s="1">
        <v>424.387</v>
      </c>
      <c r="E61" s="1">
        <v>429.54399999999998</v>
      </c>
      <c r="F61" s="9">
        <v>7.8523999999999997E-2</v>
      </c>
      <c r="G61" s="9">
        <v>2.3186599999999999</v>
      </c>
      <c r="H61" s="1">
        <v>128.54900000000001</v>
      </c>
      <c r="I61" s="1">
        <v>424.34800000000001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147.417</v>
      </c>
      <c r="B62" s="1">
        <v>429.34300000000002</v>
      </c>
      <c r="C62" s="1">
        <v>281.47000000000003</v>
      </c>
      <c r="D62" s="1">
        <v>424.387</v>
      </c>
      <c r="E62" s="1">
        <v>429.54399999999998</v>
      </c>
      <c r="F62" s="9">
        <v>9.8888100000000007E-2</v>
      </c>
      <c r="G62" s="9">
        <v>2.7997700000000001</v>
      </c>
      <c r="H62" s="1">
        <v>123.63500000000001</v>
      </c>
      <c r="I62" s="1">
        <v>424.33300000000003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152.5</v>
      </c>
      <c r="B63" s="1">
        <v>429.387</v>
      </c>
      <c r="C63" s="1">
        <v>262.86500000000001</v>
      </c>
      <c r="D63" s="1">
        <v>424.387</v>
      </c>
      <c r="E63" s="1">
        <v>429.54399999999998</v>
      </c>
      <c r="F63" s="9">
        <v>7.8948000000000004E-2</v>
      </c>
      <c r="G63" s="9">
        <v>3.1892900000000002</v>
      </c>
      <c r="H63" s="1">
        <v>118.955</v>
      </c>
      <c r="I63" s="1">
        <v>424.30399999999997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157.583</v>
      </c>
      <c r="B64" s="1">
        <v>429.38600000000002</v>
      </c>
      <c r="C64" s="1">
        <v>248.239</v>
      </c>
      <c r="D64" s="1">
        <v>424.37299999999999</v>
      </c>
      <c r="E64" s="1">
        <v>429.54399999999998</v>
      </c>
      <c r="F64" s="9">
        <v>7.9241900000000004E-2</v>
      </c>
      <c r="G64" s="9">
        <v>3.52156</v>
      </c>
      <c r="H64" s="1">
        <v>115.322</v>
      </c>
      <c r="I64" s="1">
        <v>424.21600000000001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162.667</v>
      </c>
      <c r="B65" s="1">
        <v>429.39100000000002</v>
      </c>
      <c r="C65" s="1">
        <v>234.06</v>
      </c>
      <c r="D65" s="1">
        <v>424.35399999999998</v>
      </c>
      <c r="E65" s="1">
        <v>429.54399999999998</v>
      </c>
      <c r="F65" s="9">
        <v>7.6985999999999999E-2</v>
      </c>
      <c r="G65" s="9">
        <v>3.8174299999999999</v>
      </c>
      <c r="H65" s="1">
        <v>111.848</v>
      </c>
      <c r="I65" s="1">
        <v>424.04599999999999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167.75</v>
      </c>
      <c r="B66" s="1">
        <v>429.38499999999999</v>
      </c>
      <c r="C66" s="1">
        <v>220.87100000000001</v>
      </c>
      <c r="D66" s="1">
        <v>424.30599999999998</v>
      </c>
      <c r="E66" s="1">
        <v>429.54399999999998</v>
      </c>
      <c r="F66" s="9">
        <v>7.9761200000000004E-2</v>
      </c>
      <c r="G66" s="9">
        <v>4.0779699999999997</v>
      </c>
      <c r="H66" s="1">
        <v>108.176</v>
      </c>
      <c r="I66" s="1">
        <v>423.58800000000002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172.833</v>
      </c>
      <c r="B67" s="1">
        <v>429.38499999999999</v>
      </c>
      <c r="C67" s="1">
        <v>208.494</v>
      </c>
      <c r="D67" s="1">
        <v>424.21100000000001</v>
      </c>
      <c r="E67" s="1">
        <v>429.54399999999998</v>
      </c>
      <c r="F67" s="9">
        <v>7.9887799999999995E-2</v>
      </c>
      <c r="G67" s="9">
        <v>4.3174999999999999</v>
      </c>
      <c r="H67" s="1">
        <v>104.93899999999999</v>
      </c>
      <c r="I67" s="1">
        <v>422.673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177.917</v>
      </c>
      <c r="B68" s="1">
        <v>429.38499999999999</v>
      </c>
      <c r="C68" s="1">
        <v>197.399</v>
      </c>
      <c r="D68" s="1">
        <v>423.85700000000003</v>
      </c>
      <c r="E68" s="1">
        <v>429.54399999999998</v>
      </c>
      <c r="F68" s="9">
        <v>8.0021499999999995E-2</v>
      </c>
      <c r="G68" s="9">
        <v>4.53939</v>
      </c>
      <c r="H68" s="1">
        <v>102.03</v>
      </c>
      <c r="I68" s="1">
        <v>419.803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183</v>
      </c>
      <c r="B69" s="1">
        <v>429.38400000000001</v>
      </c>
      <c r="C69" s="1">
        <v>187.501</v>
      </c>
      <c r="D69" s="1">
        <v>423.73700000000002</v>
      </c>
      <c r="E69" s="1">
        <v>429.54399999999998</v>
      </c>
      <c r="F69" s="9">
        <v>8.0168699999999996E-2</v>
      </c>
      <c r="G69" s="9">
        <v>4.7462200000000001</v>
      </c>
      <c r="H69" s="1">
        <v>99.132900000000006</v>
      </c>
      <c r="I69" s="1">
        <v>411.709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188.083</v>
      </c>
      <c r="B70" s="1">
        <v>429.38400000000001</v>
      </c>
      <c r="C70" s="1">
        <v>178.36600000000001</v>
      </c>
      <c r="D70" s="1">
        <v>417.46800000000002</v>
      </c>
      <c r="E70" s="1">
        <v>429.54399999999998</v>
      </c>
      <c r="F70" s="9">
        <v>8.0328700000000003E-2</v>
      </c>
      <c r="G70" s="9">
        <v>4.9403199999999998</v>
      </c>
      <c r="H70" s="1">
        <v>96.558700000000002</v>
      </c>
      <c r="I70" s="1">
        <v>208.72399999999999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193.167</v>
      </c>
      <c r="B71" s="1">
        <v>429.38299999999998</v>
      </c>
      <c r="C71" s="1">
        <v>169.51599999999999</v>
      </c>
      <c r="D71" s="1">
        <v>397.72</v>
      </c>
      <c r="E71" s="1">
        <v>429.54399999999998</v>
      </c>
      <c r="F71" s="9">
        <v>8.0504800000000001E-2</v>
      </c>
      <c r="G71" s="9">
        <v>5.1235799999999996</v>
      </c>
      <c r="H71" s="1">
        <v>94.097200000000001</v>
      </c>
      <c r="I71" s="1">
        <v>196.76300000000001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198.25</v>
      </c>
      <c r="B72" s="1">
        <v>429.38299999999998</v>
      </c>
      <c r="C72" s="1">
        <v>161.607</v>
      </c>
      <c r="D72" s="1">
        <v>378.71699999999998</v>
      </c>
      <c r="E72" s="1">
        <v>429.54399999999998</v>
      </c>
      <c r="F72" s="9">
        <v>8.0698900000000004E-2</v>
      </c>
      <c r="G72" s="9">
        <v>5.3017500000000002</v>
      </c>
      <c r="H72" s="1">
        <v>91.645499999999998</v>
      </c>
      <c r="I72" s="1">
        <v>189.548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203.333</v>
      </c>
      <c r="B73" s="1">
        <v>429.38299999999998</v>
      </c>
      <c r="C73" s="1">
        <v>154.29400000000001</v>
      </c>
      <c r="D73" s="1">
        <v>360.786</v>
      </c>
      <c r="E73" s="1">
        <v>429.54399999999998</v>
      </c>
      <c r="F73" s="9">
        <v>8.0896499999999996E-2</v>
      </c>
      <c r="G73" s="9">
        <v>5.47898</v>
      </c>
      <c r="H73" s="1">
        <v>89.462900000000005</v>
      </c>
      <c r="I73" s="1">
        <v>182.75700000000001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208.417</v>
      </c>
      <c r="B74" s="1">
        <v>429.38200000000001</v>
      </c>
      <c r="C74" s="1">
        <v>147.19399999999999</v>
      </c>
      <c r="D74" s="1">
        <v>343.91300000000001</v>
      </c>
      <c r="E74" s="1">
        <v>429.54399999999998</v>
      </c>
      <c r="F74" s="9">
        <v>8.1090099999999998E-2</v>
      </c>
      <c r="G74" s="9">
        <v>5.6566900000000002</v>
      </c>
      <c r="H74" s="1">
        <v>87.3767</v>
      </c>
      <c r="I74" s="1">
        <v>176.33799999999999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213.5</v>
      </c>
      <c r="B75" s="1">
        <v>429.38200000000001</v>
      </c>
      <c r="C75" s="1">
        <v>140.84700000000001</v>
      </c>
      <c r="D75" s="1">
        <v>327.863</v>
      </c>
      <c r="E75" s="1">
        <v>429.54399999999998</v>
      </c>
      <c r="F75" s="9">
        <v>8.1280500000000006E-2</v>
      </c>
      <c r="G75" s="9">
        <v>5.8349000000000002</v>
      </c>
      <c r="H75" s="1">
        <v>85.297700000000006</v>
      </c>
      <c r="I75" s="1">
        <v>170.36600000000001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218.583</v>
      </c>
      <c r="B76" s="1">
        <v>428.79300000000001</v>
      </c>
      <c r="C76" s="1">
        <v>134.96700000000001</v>
      </c>
      <c r="D76" s="1">
        <v>312.75200000000001</v>
      </c>
      <c r="E76" s="1">
        <v>429.54399999999998</v>
      </c>
      <c r="F76" s="9">
        <v>0.30865799999999999</v>
      </c>
      <c r="G76" s="9">
        <v>5.9845499999999996</v>
      </c>
      <c r="H76" s="1">
        <v>83.445999999999998</v>
      </c>
      <c r="I76" s="1">
        <v>164.73500000000001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223.667</v>
      </c>
      <c r="B77" s="1">
        <v>211.90299999999999</v>
      </c>
      <c r="C77" s="1">
        <v>129.24799999999999</v>
      </c>
      <c r="D77" s="1">
        <v>298.815</v>
      </c>
      <c r="E77" s="1">
        <v>429.54399999999998</v>
      </c>
      <c r="F77" s="9">
        <v>30</v>
      </c>
      <c r="G77" s="9">
        <v>6.0131500000000004</v>
      </c>
      <c r="H77" s="1">
        <v>81.676400000000001</v>
      </c>
      <c r="I77" s="1">
        <v>159.251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228.75</v>
      </c>
      <c r="B78" s="1">
        <v>210.91800000000001</v>
      </c>
      <c r="C78" s="1">
        <v>124.134</v>
      </c>
      <c r="D78" s="1">
        <v>285.65800000000002</v>
      </c>
      <c r="E78" s="1">
        <v>429.54399999999998</v>
      </c>
      <c r="F78" s="9">
        <v>30</v>
      </c>
      <c r="G78" s="9">
        <v>6.0786800000000003</v>
      </c>
      <c r="H78" s="1">
        <v>79.912499999999994</v>
      </c>
      <c r="I78" s="1">
        <v>154.05600000000001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233.833</v>
      </c>
      <c r="B79" s="1">
        <v>422.36500000000001</v>
      </c>
      <c r="C79" s="1">
        <v>119.38800000000001</v>
      </c>
      <c r="D79" s="1">
        <v>273.226</v>
      </c>
      <c r="E79" s="1">
        <v>429.54399999999998</v>
      </c>
      <c r="F79" s="9">
        <v>8.0851400000000004E-2</v>
      </c>
      <c r="G79" s="9">
        <v>6.1850800000000001</v>
      </c>
      <c r="H79" s="1">
        <v>78.340500000000006</v>
      </c>
      <c r="I79" s="1">
        <v>149.142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238.917</v>
      </c>
      <c r="B80" s="1">
        <v>429.38200000000001</v>
      </c>
      <c r="C80" s="1">
        <v>114.76600000000001</v>
      </c>
      <c r="D80" s="1">
        <v>261.48899999999998</v>
      </c>
      <c r="E80" s="1">
        <v>429.54399999999998</v>
      </c>
      <c r="F80" s="9">
        <v>8.1073500000000007E-2</v>
      </c>
      <c r="G80" s="9">
        <v>6.2838200000000004</v>
      </c>
      <c r="H80" s="1">
        <v>76.838800000000006</v>
      </c>
      <c r="I80" s="1">
        <v>144.48699999999999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244</v>
      </c>
      <c r="B81" s="1">
        <v>429.38200000000001</v>
      </c>
      <c r="C81" s="1">
        <v>110.631</v>
      </c>
      <c r="D81" s="1">
        <v>250.40899999999999</v>
      </c>
      <c r="E81" s="1">
        <v>429.54399999999998</v>
      </c>
      <c r="F81" s="9">
        <v>8.1265500000000004E-2</v>
      </c>
      <c r="G81" s="9">
        <v>6.46218</v>
      </c>
      <c r="H81" s="1">
        <v>75.341800000000006</v>
      </c>
      <c r="I81" s="1">
        <v>140.078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249.083</v>
      </c>
      <c r="B82" s="1">
        <v>422.30700000000002</v>
      </c>
      <c r="C82" s="1">
        <v>106.78700000000001</v>
      </c>
      <c r="D82" s="1">
        <v>239.947</v>
      </c>
      <c r="E82" s="1">
        <v>429.54399999999998</v>
      </c>
      <c r="F82" s="9">
        <v>8.1047099999999997E-2</v>
      </c>
      <c r="G82" s="9">
        <v>6.5915100000000004</v>
      </c>
      <c r="H82" s="1">
        <v>74.007000000000005</v>
      </c>
      <c r="I82" s="1">
        <v>135.90199999999999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254.167</v>
      </c>
      <c r="B83" s="1">
        <v>421.34199999999998</v>
      </c>
      <c r="C83" s="1">
        <v>103.039</v>
      </c>
      <c r="D83" s="1">
        <v>230.07499999999999</v>
      </c>
      <c r="E83" s="1">
        <v>429.54399999999998</v>
      </c>
      <c r="F83" s="9">
        <v>0.35221599999999997</v>
      </c>
      <c r="G83" s="9">
        <v>6.6210100000000001</v>
      </c>
      <c r="H83" s="1">
        <v>72.732399999999998</v>
      </c>
      <c r="I83" s="1">
        <v>131.94200000000001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259.25</v>
      </c>
      <c r="B84" s="1">
        <v>208.16499999999999</v>
      </c>
      <c r="C84" s="1">
        <v>99.684299999999993</v>
      </c>
      <c r="D84" s="1">
        <v>220.75800000000001</v>
      </c>
      <c r="E84" s="1">
        <v>429.54399999999998</v>
      </c>
      <c r="F84" s="9">
        <v>30</v>
      </c>
      <c r="G84" s="9">
        <v>6.6777699999999998</v>
      </c>
      <c r="H84" s="1">
        <v>71.461799999999997</v>
      </c>
      <c r="I84" s="1">
        <v>128.18700000000001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264.33300000000003</v>
      </c>
      <c r="B85" s="1">
        <v>422.28199999999998</v>
      </c>
      <c r="C85" s="1">
        <v>96.562600000000003</v>
      </c>
      <c r="D85" s="1">
        <v>211.96199999999999</v>
      </c>
      <c r="E85" s="1">
        <v>429.54399999999998</v>
      </c>
      <c r="F85" s="9">
        <v>8.0875000000000002E-2</v>
      </c>
      <c r="G85" s="9">
        <v>6.7849199999999996</v>
      </c>
      <c r="H85" s="1">
        <v>70.328400000000002</v>
      </c>
      <c r="I85" s="1">
        <v>124.627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269.41699999999997</v>
      </c>
      <c r="B86" s="1">
        <v>429.32499999999999</v>
      </c>
      <c r="C86" s="1">
        <v>93.599299999999999</v>
      </c>
      <c r="D86" s="1">
        <v>203.03899999999999</v>
      </c>
      <c r="E86" s="1">
        <v>429.54399999999998</v>
      </c>
      <c r="F86" s="9">
        <v>0.107141</v>
      </c>
      <c r="G86" s="9">
        <v>6.9650299999999996</v>
      </c>
      <c r="H86" s="1">
        <v>69.008600000000001</v>
      </c>
      <c r="I86" s="1">
        <v>116.956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274.5</v>
      </c>
      <c r="B87" s="1">
        <v>429.35700000000003</v>
      </c>
      <c r="C87" s="1">
        <v>90.6614</v>
      </c>
      <c r="D87" s="1">
        <v>194.55699999999999</v>
      </c>
      <c r="E87" s="1">
        <v>429.54399999999998</v>
      </c>
      <c r="F87" s="9">
        <v>9.2018299999999997E-2</v>
      </c>
      <c r="G87" s="9">
        <v>7.2039499999999999</v>
      </c>
      <c r="H87" s="1">
        <v>67.954099999999997</v>
      </c>
      <c r="I87" s="1">
        <v>113.76600000000001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279.58300000000003</v>
      </c>
      <c r="B88" s="1">
        <v>429.32299999999998</v>
      </c>
      <c r="C88" s="1">
        <v>88.034700000000001</v>
      </c>
      <c r="D88" s="1">
        <v>186.614</v>
      </c>
      <c r="E88" s="1">
        <v>429.54399999999998</v>
      </c>
      <c r="F88" s="9">
        <v>0.10785400000000001</v>
      </c>
      <c r="G88" s="9">
        <v>7.4400599999999999</v>
      </c>
      <c r="H88" s="1">
        <v>66.903599999999997</v>
      </c>
      <c r="I88" s="1">
        <v>110.745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284.66699999999997</v>
      </c>
      <c r="B89" s="1">
        <v>429.32299999999998</v>
      </c>
      <c r="C89" s="1">
        <v>85.586399999999998</v>
      </c>
      <c r="D89" s="1">
        <v>179.15100000000001</v>
      </c>
      <c r="E89" s="1">
        <v>429.54399999999998</v>
      </c>
      <c r="F89" s="9">
        <v>0.10799499999999999</v>
      </c>
      <c r="G89" s="9">
        <v>7.6768999999999998</v>
      </c>
      <c r="H89" s="1">
        <v>65.965400000000002</v>
      </c>
      <c r="I89" s="1">
        <v>107.892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289.75</v>
      </c>
      <c r="B90" s="1">
        <v>429.322</v>
      </c>
      <c r="C90" s="1">
        <v>83.1922</v>
      </c>
      <c r="D90" s="1">
        <v>172.15899999999999</v>
      </c>
      <c r="E90" s="1">
        <v>429.54399999999998</v>
      </c>
      <c r="F90" s="9">
        <v>0.108125</v>
      </c>
      <c r="G90" s="9">
        <v>7.9144100000000002</v>
      </c>
      <c r="H90" s="1">
        <v>65.071100000000001</v>
      </c>
      <c r="I90" s="1">
        <v>105.184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294.83300000000003</v>
      </c>
      <c r="B91" s="1">
        <v>194.214</v>
      </c>
      <c r="C91" s="1">
        <v>81.050299999999993</v>
      </c>
      <c r="D91" s="1">
        <v>165.589</v>
      </c>
      <c r="E91" s="1">
        <v>429.54399999999998</v>
      </c>
      <c r="F91" s="9">
        <v>40</v>
      </c>
      <c r="G91" s="9">
        <v>8.15259</v>
      </c>
      <c r="H91" s="1">
        <v>64.179900000000004</v>
      </c>
      <c r="I91" s="1">
        <v>102.628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299.91699999999997</v>
      </c>
      <c r="B92" s="1">
        <v>428.69499999999999</v>
      </c>
      <c r="C92" s="1">
        <v>79.051900000000003</v>
      </c>
      <c r="D92" s="1">
        <v>159.422</v>
      </c>
      <c r="E92" s="1">
        <v>429.54399999999998</v>
      </c>
      <c r="F92" s="9">
        <v>0.29766199999999998</v>
      </c>
      <c r="G92" s="9">
        <v>8.3222799999999992</v>
      </c>
      <c r="H92" s="1">
        <v>63.383800000000001</v>
      </c>
      <c r="I92" s="1">
        <v>100.20399999999999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305</v>
      </c>
      <c r="B93" s="1">
        <v>429.07299999999998</v>
      </c>
      <c r="C93" s="1">
        <v>77.095799999999997</v>
      </c>
      <c r="D93" s="1">
        <v>153.62700000000001</v>
      </c>
      <c r="E93" s="1">
        <v>429.54399999999998</v>
      </c>
      <c r="F93" s="9">
        <v>0.20840700000000001</v>
      </c>
      <c r="G93" s="9">
        <v>8.4373000000000005</v>
      </c>
      <c r="H93" s="1">
        <v>62.625500000000002</v>
      </c>
      <c r="I93" s="1">
        <v>97.908600000000007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310.08300000000003</v>
      </c>
      <c r="B94" s="1">
        <v>191.054</v>
      </c>
      <c r="C94" s="1">
        <v>75.345799999999997</v>
      </c>
      <c r="D94" s="1">
        <v>148.17500000000001</v>
      </c>
      <c r="E94" s="1">
        <v>429.54399999999998</v>
      </c>
      <c r="F94" s="9">
        <v>40</v>
      </c>
      <c r="G94" s="9">
        <v>8.6133900000000008</v>
      </c>
      <c r="H94" s="1">
        <v>61.87</v>
      </c>
      <c r="I94" s="1">
        <v>95.734899999999996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315.16699999999997</v>
      </c>
      <c r="B95" s="1">
        <v>420.62700000000001</v>
      </c>
      <c r="C95" s="1">
        <v>73.711399999999998</v>
      </c>
      <c r="D95" s="1">
        <v>143.05500000000001</v>
      </c>
      <c r="E95" s="1">
        <v>429.54399999999998</v>
      </c>
      <c r="F95" s="9">
        <v>0.108344</v>
      </c>
      <c r="G95" s="9">
        <v>8.7590500000000002</v>
      </c>
      <c r="H95" s="1">
        <v>61.194800000000001</v>
      </c>
      <c r="I95" s="1">
        <v>93.6708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320.25</v>
      </c>
      <c r="B96" s="1">
        <v>428.89299999999997</v>
      </c>
      <c r="C96" s="1">
        <v>72.110200000000006</v>
      </c>
      <c r="D96" s="1">
        <v>138.24100000000001</v>
      </c>
      <c r="E96" s="1">
        <v>429.54399999999998</v>
      </c>
      <c r="F96" s="9">
        <v>0.25215300000000002</v>
      </c>
      <c r="G96" s="9">
        <v>8.8533899999999992</v>
      </c>
      <c r="H96" s="1">
        <v>60.552</v>
      </c>
      <c r="I96" s="1">
        <v>91.711500000000001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325.33300000000003</v>
      </c>
      <c r="B97" s="1">
        <v>420.10300000000001</v>
      </c>
      <c r="C97" s="1">
        <v>70.677700000000002</v>
      </c>
      <c r="D97" s="1">
        <v>133.70699999999999</v>
      </c>
      <c r="E97" s="1">
        <v>429.54399999999998</v>
      </c>
      <c r="F97" s="9">
        <v>0.242456</v>
      </c>
      <c r="G97" s="9">
        <v>9.0181199999999997</v>
      </c>
      <c r="H97" s="1">
        <v>59.911900000000003</v>
      </c>
      <c r="I97" s="1">
        <v>89.854200000000006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330.41699999999997</v>
      </c>
      <c r="B98" s="1">
        <v>427.85300000000001</v>
      </c>
      <c r="C98" s="1">
        <v>69.338800000000006</v>
      </c>
      <c r="D98" s="1">
        <v>129.44300000000001</v>
      </c>
      <c r="E98" s="1">
        <v>429.54399999999998</v>
      </c>
      <c r="F98" s="9">
        <v>0.39222699999999999</v>
      </c>
      <c r="G98" s="9">
        <v>9.1803100000000004</v>
      </c>
      <c r="H98" s="1">
        <v>59.339599999999997</v>
      </c>
      <c r="I98" s="1">
        <v>88.088800000000006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335.5</v>
      </c>
      <c r="B99" s="1">
        <v>428.68099999999998</v>
      </c>
      <c r="C99" s="1">
        <v>68.0261</v>
      </c>
      <c r="D99" s="1">
        <v>125.428</v>
      </c>
      <c r="E99" s="1">
        <v>429.54399999999998</v>
      </c>
      <c r="F99" s="9">
        <v>0.28509000000000001</v>
      </c>
      <c r="G99" s="9">
        <v>9.2714499999999997</v>
      </c>
      <c r="H99" s="1">
        <v>58.795200000000001</v>
      </c>
      <c r="I99" s="1">
        <v>86.411299999999997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340.58300000000003</v>
      </c>
      <c r="B100" s="1">
        <v>187.48500000000001</v>
      </c>
      <c r="C100" s="1">
        <v>66.851799999999997</v>
      </c>
      <c r="D100" s="1">
        <v>121.642</v>
      </c>
      <c r="E100" s="1">
        <v>429.54399999999998</v>
      </c>
      <c r="F100" s="9">
        <v>40</v>
      </c>
      <c r="G100" s="9">
        <v>9.4202999999999992</v>
      </c>
      <c r="H100" s="1">
        <v>58.2532</v>
      </c>
      <c r="I100" s="1">
        <v>84.819599999999994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345.66699999999997</v>
      </c>
      <c r="B101" s="1">
        <v>427.45800000000003</v>
      </c>
      <c r="C101" s="1">
        <v>65.753399999999999</v>
      </c>
      <c r="D101" s="1">
        <v>118.07599999999999</v>
      </c>
      <c r="E101" s="1">
        <v>429.54399999999998</v>
      </c>
      <c r="F101" s="9">
        <v>0.41452</v>
      </c>
      <c r="G101" s="9">
        <v>9.5905299999999993</v>
      </c>
      <c r="H101" s="1">
        <v>57.768599999999999</v>
      </c>
      <c r="I101" s="1">
        <v>83.305099999999996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350.75</v>
      </c>
      <c r="B102" s="1">
        <v>428.54899999999998</v>
      </c>
      <c r="C102" s="1">
        <v>64.675799999999995</v>
      </c>
      <c r="D102" s="1">
        <v>114.714</v>
      </c>
      <c r="E102" s="1">
        <v>429.54399999999998</v>
      </c>
      <c r="F102" s="9">
        <v>0.29578199999999999</v>
      </c>
      <c r="G102" s="9">
        <v>9.6735399999999991</v>
      </c>
      <c r="H102" s="1">
        <v>57.3078</v>
      </c>
      <c r="I102" s="1">
        <v>81.864800000000002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355.83300000000003</v>
      </c>
      <c r="B103" s="1">
        <v>191.547</v>
      </c>
      <c r="C103" s="1">
        <v>63.712000000000003</v>
      </c>
      <c r="D103" s="1">
        <v>111.539</v>
      </c>
      <c r="E103" s="1">
        <v>429.54399999999998</v>
      </c>
      <c r="F103" s="9">
        <v>31.772400000000001</v>
      </c>
      <c r="G103" s="9">
        <v>9.8264399999999998</v>
      </c>
      <c r="H103" s="1">
        <v>56.849400000000003</v>
      </c>
      <c r="I103" s="1">
        <v>80.496600000000001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360.91699999999997</v>
      </c>
      <c r="B104" s="1">
        <v>427.21199999999999</v>
      </c>
      <c r="C104" s="1">
        <v>62.81</v>
      </c>
      <c r="D104" s="1">
        <v>108.545</v>
      </c>
      <c r="E104" s="1">
        <v>429.54399999999998</v>
      </c>
      <c r="F104" s="9">
        <v>0.41809800000000003</v>
      </c>
      <c r="G104" s="9">
        <v>9.9893599999999996</v>
      </c>
      <c r="H104" s="1">
        <v>56.439399999999999</v>
      </c>
      <c r="I104" s="1">
        <v>79.193799999999996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366</v>
      </c>
      <c r="B105" s="1">
        <v>428.524</v>
      </c>
      <c r="C105" s="1">
        <v>61.924599999999998</v>
      </c>
      <c r="D105" s="1">
        <v>105.718</v>
      </c>
      <c r="E105" s="1">
        <v>429.54300000000001</v>
      </c>
      <c r="F105" s="9">
        <v>0.28878399999999999</v>
      </c>
      <c r="G105" s="9">
        <v>10.062799999999999</v>
      </c>
      <c r="H105" s="1">
        <v>56.049900000000001</v>
      </c>
      <c r="I105" s="1">
        <v>77.953599999999994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371.08300000000003</v>
      </c>
      <c r="B106" s="1">
        <v>184.18199999999999</v>
      </c>
      <c r="C106" s="1">
        <v>61.132899999999999</v>
      </c>
      <c r="D106" s="1">
        <v>103.045</v>
      </c>
      <c r="E106" s="1">
        <v>429.54300000000001</v>
      </c>
      <c r="F106" s="9">
        <v>40</v>
      </c>
      <c r="G106" s="9">
        <v>10.2212</v>
      </c>
      <c r="H106" s="1">
        <v>55.662599999999998</v>
      </c>
      <c r="I106" s="1">
        <v>76.7744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376.16699999999997</v>
      </c>
      <c r="B107" s="1">
        <v>427.25200000000001</v>
      </c>
      <c r="C107" s="1">
        <v>60.391800000000003</v>
      </c>
      <c r="D107" s="1">
        <v>100.52</v>
      </c>
      <c r="E107" s="1">
        <v>429.536</v>
      </c>
      <c r="F107" s="9">
        <v>0.39854600000000001</v>
      </c>
      <c r="G107" s="9">
        <v>10.3691</v>
      </c>
      <c r="H107" s="1">
        <v>55.316200000000002</v>
      </c>
      <c r="I107" s="1">
        <v>75.650499999999994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381.25</v>
      </c>
      <c r="B108" s="1">
        <v>428.55700000000002</v>
      </c>
      <c r="C108" s="1">
        <v>59.664000000000001</v>
      </c>
      <c r="D108" s="1">
        <v>98.134</v>
      </c>
      <c r="E108" s="1">
        <v>429.536</v>
      </c>
      <c r="F108" s="9">
        <v>0.27378400000000003</v>
      </c>
      <c r="G108" s="9">
        <v>10.450799999999999</v>
      </c>
      <c r="H108" s="1">
        <v>54.987400000000001</v>
      </c>
      <c r="I108" s="1">
        <v>74.579800000000006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386.33300000000003</v>
      </c>
      <c r="B109" s="1">
        <v>182.542</v>
      </c>
      <c r="C109" s="1">
        <v>59.013300000000001</v>
      </c>
      <c r="D109" s="1">
        <v>95.874899999999997</v>
      </c>
      <c r="E109" s="1">
        <v>429.536</v>
      </c>
      <c r="F109" s="9">
        <v>40</v>
      </c>
      <c r="G109" s="9">
        <v>10.621</v>
      </c>
      <c r="H109" s="1">
        <v>54.660699999999999</v>
      </c>
      <c r="I109" s="1">
        <v>73.560900000000004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391.41699999999997</v>
      </c>
      <c r="B110" s="1">
        <v>427.08</v>
      </c>
      <c r="C110" s="1">
        <v>58.404000000000003</v>
      </c>
      <c r="D110" s="1">
        <v>93.738600000000005</v>
      </c>
      <c r="E110" s="1">
        <v>429.536</v>
      </c>
      <c r="F110" s="9">
        <v>0.39388499999999999</v>
      </c>
      <c r="G110" s="9">
        <v>10.758599999999999</v>
      </c>
      <c r="H110" s="1">
        <v>54.368400000000001</v>
      </c>
      <c r="I110" s="1">
        <v>72.588899999999995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396.5</v>
      </c>
      <c r="B111" s="1">
        <v>427.476</v>
      </c>
      <c r="C111" s="1">
        <v>57.854100000000003</v>
      </c>
      <c r="D111" s="1">
        <v>91.319199999999995</v>
      </c>
      <c r="E111" s="1">
        <v>429.536</v>
      </c>
      <c r="F111" s="9">
        <v>0.33606599999999998</v>
      </c>
      <c r="G111" s="9">
        <v>11.4664</v>
      </c>
      <c r="H111" s="1">
        <v>52.981499999999997</v>
      </c>
      <c r="I111" s="1">
        <v>69.551199999999994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401.58300000000003</v>
      </c>
      <c r="B112" s="1">
        <v>427.68200000000002</v>
      </c>
      <c r="C112" s="1">
        <v>57.365499999999997</v>
      </c>
      <c r="D112" s="1">
        <v>89.208799999999997</v>
      </c>
      <c r="E112" s="1">
        <v>429.536</v>
      </c>
      <c r="F112" s="9">
        <v>0.29135499999999998</v>
      </c>
      <c r="G112" s="9">
        <v>12.233499999999999</v>
      </c>
      <c r="H112" s="1">
        <v>52.798400000000001</v>
      </c>
      <c r="I112" s="1">
        <v>68.694299999999998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406.66699999999997</v>
      </c>
      <c r="B113" s="1">
        <v>423.63600000000002</v>
      </c>
      <c r="C113" s="1">
        <v>56.907800000000002</v>
      </c>
      <c r="D113" s="1">
        <v>87.124099999999999</v>
      </c>
      <c r="E113" s="1">
        <v>429.536</v>
      </c>
      <c r="F113" s="9">
        <v>0.428263</v>
      </c>
      <c r="G113" s="9">
        <v>12.993</v>
      </c>
      <c r="H113" s="1">
        <v>52.6265</v>
      </c>
      <c r="I113" s="1">
        <v>67.871499999999997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411.75</v>
      </c>
      <c r="B114" s="1">
        <v>424.93700000000001</v>
      </c>
      <c r="C114" s="1">
        <v>56.478900000000003</v>
      </c>
      <c r="D114" s="1">
        <v>85.230900000000005</v>
      </c>
      <c r="E114" s="1">
        <v>429.536</v>
      </c>
      <c r="F114" s="9">
        <v>0.33896199999999999</v>
      </c>
      <c r="G114" s="9">
        <v>13.7677</v>
      </c>
      <c r="H114" s="1">
        <v>52.465200000000003</v>
      </c>
      <c r="I114" s="1">
        <v>67.049000000000007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416.83300000000003</v>
      </c>
      <c r="B115" s="1">
        <v>422.92599999999999</v>
      </c>
      <c r="C115" s="1">
        <v>56.076900000000002</v>
      </c>
      <c r="D115" s="1">
        <v>83.449399999999997</v>
      </c>
      <c r="E115" s="1">
        <v>429.536</v>
      </c>
      <c r="F115" s="9">
        <v>0.33986300000000003</v>
      </c>
      <c r="G115" s="9">
        <v>14.5456</v>
      </c>
      <c r="H115" s="1">
        <v>52.313899999999997</v>
      </c>
      <c r="I115" s="1">
        <v>66.305099999999996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421.91699999999997</v>
      </c>
      <c r="B116" s="1">
        <v>419.60599999999999</v>
      </c>
      <c r="C116" s="1">
        <v>55.700200000000002</v>
      </c>
      <c r="D116" s="1">
        <v>81.688699999999997</v>
      </c>
      <c r="E116" s="1">
        <v>429.53300000000002</v>
      </c>
      <c r="F116" s="9">
        <v>0.34073500000000001</v>
      </c>
      <c r="G116" s="9">
        <v>15.326499999999999</v>
      </c>
      <c r="H116" s="1">
        <v>52.171900000000001</v>
      </c>
      <c r="I116" s="1">
        <v>65.591200000000001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427</v>
      </c>
      <c r="B117" s="1">
        <v>413.84</v>
      </c>
      <c r="C117" s="1">
        <v>55.347200000000001</v>
      </c>
      <c r="D117" s="1">
        <v>80.086500000000001</v>
      </c>
      <c r="E117" s="1">
        <v>429.52199999999999</v>
      </c>
      <c r="F117" s="9">
        <v>0.34157700000000002</v>
      </c>
      <c r="G117" s="9">
        <v>16.110399999999998</v>
      </c>
      <c r="H117" s="1">
        <v>52.038600000000002</v>
      </c>
      <c r="I117" s="1">
        <v>64.875399999999999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432.08300000000003</v>
      </c>
      <c r="B118" s="1">
        <v>403.15699999999998</v>
      </c>
      <c r="C118" s="1">
        <v>55.016199999999998</v>
      </c>
      <c r="D118" s="1">
        <v>78.577500000000001</v>
      </c>
      <c r="E118" s="1">
        <v>429.5</v>
      </c>
      <c r="F118" s="9">
        <v>0.34239199999999997</v>
      </c>
      <c r="G118" s="9">
        <v>16.897099999999998</v>
      </c>
      <c r="H118" s="1">
        <v>51.913499999999999</v>
      </c>
      <c r="I118" s="1">
        <v>64.228300000000004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437.16699999999997</v>
      </c>
      <c r="B119" s="1">
        <v>381.608</v>
      </c>
      <c r="C119" s="1">
        <v>54.7059</v>
      </c>
      <c r="D119" s="1">
        <v>77.086200000000005</v>
      </c>
      <c r="E119" s="1">
        <v>429.46499999999997</v>
      </c>
      <c r="F119" s="9">
        <v>0.34317599999999998</v>
      </c>
      <c r="G119" s="9">
        <v>17.686699999999998</v>
      </c>
      <c r="H119" s="1">
        <v>51.796100000000003</v>
      </c>
      <c r="I119" s="1">
        <v>63.607599999999998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442.25</v>
      </c>
      <c r="B120" s="1">
        <v>332.67700000000002</v>
      </c>
      <c r="C120" s="1">
        <v>54.414999999999999</v>
      </c>
      <c r="D120" s="1">
        <v>75.731999999999999</v>
      </c>
      <c r="E120" s="1">
        <v>429.37700000000001</v>
      </c>
      <c r="F120" s="9">
        <v>0.34393000000000001</v>
      </c>
      <c r="G120" s="9">
        <v>18.478899999999999</v>
      </c>
      <c r="H120" s="1">
        <v>51.685899999999997</v>
      </c>
      <c r="I120" s="1">
        <v>62.986600000000003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447.33300000000003</v>
      </c>
      <c r="B121" s="1">
        <v>187.089</v>
      </c>
      <c r="C121" s="1">
        <v>54.142200000000003</v>
      </c>
      <c r="D121" s="1">
        <v>74.455699999999993</v>
      </c>
      <c r="E121" s="1">
        <v>429.07100000000003</v>
      </c>
      <c r="F121" s="9">
        <v>0.476159</v>
      </c>
      <c r="G121" s="9">
        <v>19.254999999999999</v>
      </c>
      <c r="H121" s="1">
        <v>51.582500000000003</v>
      </c>
      <c r="I121" s="1">
        <v>62.425199999999997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452.41699999999997</v>
      </c>
      <c r="B122" s="1">
        <v>143.179</v>
      </c>
      <c r="C122" s="1">
        <v>53.886499999999998</v>
      </c>
      <c r="D122" s="1">
        <v>73.193299999999994</v>
      </c>
      <c r="E122" s="1">
        <v>414.39400000000001</v>
      </c>
      <c r="F122" s="9">
        <v>0</v>
      </c>
      <c r="G122" s="9">
        <v>19.735199999999999</v>
      </c>
      <c r="H122" s="1">
        <v>51.485500000000002</v>
      </c>
      <c r="I122" s="1">
        <v>61.886699999999998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457.5</v>
      </c>
      <c r="B123" s="1">
        <v>143.179</v>
      </c>
      <c r="C123" s="1">
        <v>53.646599999999999</v>
      </c>
      <c r="D123" s="1">
        <v>72.046899999999994</v>
      </c>
      <c r="E123" s="1">
        <v>396.53100000000001</v>
      </c>
      <c r="F123" s="9">
        <v>0.221054</v>
      </c>
      <c r="G123" s="9">
        <v>20.010200000000001</v>
      </c>
      <c r="H123" s="1">
        <v>51.394399999999997</v>
      </c>
      <c r="I123" s="1">
        <v>61.347700000000003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462.58300000000003</v>
      </c>
      <c r="B124" s="1">
        <v>143.179</v>
      </c>
      <c r="C124" s="1">
        <v>53.421700000000001</v>
      </c>
      <c r="D124" s="1">
        <v>70.965500000000006</v>
      </c>
      <c r="E124" s="1">
        <v>379.56400000000002</v>
      </c>
      <c r="F124" s="9">
        <v>0.221054</v>
      </c>
      <c r="G124" s="9">
        <v>20.287099999999999</v>
      </c>
      <c r="H124" s="1">
        <v>51.308900000000001</v>
      </c>
      <c r="I124" s="1">
        <v>60.860300000000002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467.66699999999997</v>
      </c>
      <c r="B125" s="1">
        <v>143.179</v>
      </c>
      <c r="C125" s="1">
        <v>53.210700000000003</v>
      </c>
      <c r="D125" s="1">
        <v>69.894999999999996</v>
      </c>
      <c r="E125" s="1">
        <v>363.44099999999997</v>
      </c>
      <c r="F125" s="9">
        <v>0.221054</v>
      </c>
      <c r="G125" s="9">
        <v>20.5641</v>
      </c>
      <c r="H125" s="1">
        <v>51.2286</v>
      </c>
      <c r="I125" s="1">
        <v>60.392699999999998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472.75</v>
      </c>
      <c r="B126" s="1">
        <v>143.179</v>
      </c>
      <c r="C126" s="1">
        <v>53.012900000000002</v>
      </c>
      <c r="D126" s="1">
        <v>68.922700000000006</v>
      </c>
      <c r="E126" s="1">
        <v>348.12599999999998</v>
      </c>
      <c r="F126" s="9">
        <v>0.221054</v>
      </c>
      <c r="G126" s="9">
        <v>20.841000000000001</v>
      </c>
      <c r="H126" s="1">
        <v>51.153300000000002</v>
      </c>
      <c r="I126" s="1">
        <v>59.924599999999998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477.83300000000003</v>
      </c>
      <c r="B127" s="1">
        <v>143.179</v>
      </c>
      <c r="C127" s="1">
        <v>52.827300000000001</v>
      </c>
      <c r="D127" s="1">
        <v>68.004800000000003</v>
      </c>
      <c r="E127" s="1">
        <v>333.577</v>
      </c>
      <c r="F127" s="9">
        <v>0.221054</v>
      </c>
      <c r="G127" s="9">
        <v>21.117899999999999</v>
      </c>
      <c r="H127" s="1">
        <v>51.082599999999999</v>
      </c>
      <c r="I127" s="1">
        <v>59.501199999999997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482.91699999999997</v>
      </c>
      <c r="B128" s="1">
        <v>143.179</v>
      </c>
      <c r="C128" s="1">
        <v>52.653199999999998</v>
      </c>
      <c r="D128" s="1">
        <v>67.095500000000001</v>
      </c>
      <c r="E128" s="1">
        <v>319.762</v>
      </c>
      <c r="F128" s="9">
        <v>0.221054</v>
      </c>
      <c r="G128" s="9">
        <v>21.3948</v>
      </c>
      <c r="H128" s="1">
        <v>51.016300000000001</v>
      </c>
      <c r="I128" s="1">
        <v>59.095100000000002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488</v>
      </c>
      <c r="B129" s="1">
        <v>143.179</v>
      </c>
      <c r="C129" s="1">
        <v>52.489800000000002</v>
      </c>
      <c r="D129" s="1">
        <v>66.2697</v>
      </c>
      <c r="E129" s="1">
        <v>306.59699999999998</v>
      </c>
      <c r="F129" s="9">
        <v>0.221054</v>
      </c>
      <c r="G129" s="9">
        <v>21.671700000000001</v>
      </c>
      <c r="H129" s="1">
        <v>50.954000000000001</v>
      </c>
      <c r="I129" s="1">
        <v>58.688400000000001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493.08300000000003</v>
      </c>
      <c r="B130" s="1">
        <v>143.179</v>
      </c>
      <c r="C130" s="1">
        <v>52.336599999999997</v>
      </c>
      <c r="D130" s="1">
        <v>65.489400000000003</v>
      </c>
      <c r="E130" s="1">
        <v>293.83100000000002</v>
      </c>
      <c r="F130" s="9">
        <v>0.221054</v>
      </c>
      <c r="G130" s="9">
        <v>21.948599999999999</v>
      </c>
      <c r="H130" s="1">
        <v>50.895499999999998</v>
      </c>
      <c r="I130" s="1">
        <v>58.320500000000003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498.16699999999997</v>
      </c>
      <c r="B131" s="1">
        <v>143.179</v>
      </c>
      <c r="C131" s="1">
        <v>52.192900000000002</v>
      </c>
      <c r="D131" s="1">
        <v>64.715800000000002</v>
      </c>
      <c r="E131" s="1">
        <v>281.76400000000001</v>
      </c>
      <c r="F131" s="9">
        <v>0.221054</v>
      </c>
      <c r="G131" s="9">
        <v>22.2256</v>
      </c>
      <c r="H131" s="1">
        <v>50.840600000000002</v>
      </c>
      <c r="I131" s="1">
        <v>57.967500000000001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503.25</v>
      </c>
      <c r="B132" s="1">
        <v>143.179</v>
      </c>
      <c r="C132" s="1">
        <v>52.058</v>
      </c>
      <c r="D132" s="1">
        <v>64.012900000000002</v>
      </c>
      <c r="E132" s="1">
        <v>270.51299999999998</v>
      </c>
      <c r="F132" s="9">
        <v>0.221054</v>
      </c>
      <c r="G132" s="9">
        <v>22.502500000000001</v>
      </c>
      <c r="H132" s="1">
        <v>50.789099999999998</v>
      </c>
      <c r="I132" s="1">
        <v>57.613700000000001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508.33300000000003</v>
      </c>
      <c r="B133" s="1">
        <v>143.179</v>
      </c>
      <c r="C133" s="1">
        <v>51.9315</v>
      </c>
      <c r="D133" s="1">
        <v>63.348300000000002</v>
      </c>
      <c r="E133" s="1">
        <v>260.21499999999997</v>
      </c>
      <c r="F133" s="9">
        <v>0.221054</v>
      </c>
      <c r="G133" s="9">
        <v>22.779399999999999</v>
      </c>
      <c r="H133" s="1">
        <v>50.7408</v>
      </c>
      <c r="I133" s="1">
        <v>57.293700000000001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>
        <v>514</v>
      </c>
      <c r="B134" s="1">
        <v>143.179</v>
      </c>
      <c r="C134" s="1">
        <v>51.799599999999998</v>
      </c>
      <c r="D134" s="1">
        <v>62.625799999999998</v>
      </c>
      <c r="E134" s="1">
        <v>249.31299999999999</v>
      </c>
      <c r="F134" s="9">
        <v>0.221054</v>
      </c>
      <c r="G134" s="9">
        <v>23.088100000000001</v>
      </c>
      <c r="H134" s="1">
        <v>50.690399999999997</v>
      </c>
      <c r="I134" s="1">
        <v>56.941299999999998</v>
      </c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/>
      <c r="B135" s="1"/>
      <c r="C135" s="1"/>
      <c r="D135" s="1"/>
      <c r="E135" s="1"/>
      <c r="F135" s="9"/>
      <c r="G135" s="9"/>
      <c r="H135" s="1"/>
      <c r="I135" s="1"/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/>
      <c r="B136" s="1"/>
      <c r="C136" s="1"/>
      <c r="D136" s="1"/>
      <c r="E136" s="1"/>
      <c r="F136" s="9"/>
      <c r="G136" s="9"/>
      <c r="H136" s="1"/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 t="s">
        <v>21</v>
      </c>
      <c r="B137" s="1" t="s">
        <v>12</v>
      </c>
      <c r="C137" s="1" t="s">
        <v>22</v>
      </c>
      <c r="D137" s="1" t="s">
        <v>12</v>
      </c>
      <c r="E137" s="1" t="s">
        <v>23</v>
      </c>
      <c r="F137" s="9" t="s">
        <v>24</v>
      </c>
      <c r="G137" s="9" t="s">
        <v>5</v>
      </c>
      <c r="H137" s="1">
        <v>92.116399999999999</v>
      </c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25</v>
      </c>
      <c r="B138" s="1" t="s">
        <v>26</v>
      </c>
      <c r="C138" s="1" t="s">
        <v>27</v>
      </c>
      <c r="D138" s="1" t="s">
        <v>28</v>
      </c>
      <c r="E138" s="1" t="s">
        <v>5</v>
      </c>
      <c r="F138" s="9">
        <v>409261</v>
      </c>
      <c r="G138" s="9"/>
      <c r="H138" s="1"/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29</v>
      </c>
      <c r="B139" s="1" t="s">
        <v>26</v>
      </c>
      <c r="C139" s="1" t="s">
        <v>30</v>
      </c>
      <c r="D139" s="1" t="s">
        <v>28</v>
      </c>
      <c r="E139" s="1" t="s">
        <v>5</v>
      </c>
      <c r="F139" s="9">
        <v>28425.7</v>
      </c>
      <c r="G139" s="9"/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25</v>
      </c>
      <c r="B140" s="1" t="s">
        <v>31</v>
      </c>
      <c r="C140" s="1" t="s">
        <v>32</v>
      </c>
      <c r="D140" s="1" t="s">
        <v>33</v>
      </c>
      <c r="E140" s="1" t="s">
        <v>28</v>
      </c>
      <c r="F140" s="9" t="s">
        <v>5</v>
      </c>
      <c r="G140" s="9">
        <v>405707</v>
      </c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34</v>
      </c>
      <c r="B141" s="1" t="s">
        <v>28</v>
      </c>
      <c r="C141" s="1" t="s">
        <v>5</v>
      </c>
      <c r="D141" s="1">
        <v>-24871.200000000001</v>
      </c>
      <c r="E141" s="1"/>
      <c r="F141" s="9"/>
      <c r="G141" s="9"/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 t="s">
        <v>35</v>
      </c>
      <c r="B142" s="1" t="s">
        <v>36</v>
      </c>
      <c r="C142" s="1" t="s">
        <v>5</v>
      </c>
      <c r="D142" s="1">
        <v>-6.0770999999999997</v>
      </c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/>
      <c r="B143" s="1"/>
      <c r="C143" s="1"/>
      <c r="D143" s="1"/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 t="s">
        <v>37</v>
      </c>
      <c r="B144" s="1">
        <v>1789</v>
      </c>
      <c r="C144" s="1" t="s">
        <v>38</v>
      </c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/>
      <c r="B145" s="1"/>
      <c r="C145" s="1"/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workbookViewId="0">
      <selection activeCell="D31" sqref="D31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2</v>
      </c>
      <c r="S17" t="s">
        <v>38</v>
      </c>
      <c r="AC17" s="1"/>
    </row>
    <row r="18" spans="1:42" x14ac:dyDescent="0.25">
      <c r="Q18" s="11" t="s">
        <v>41</v>
      </c>
      <c r="R18" s="9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0</v>
      </c>
      <c r="T21" t="s">
        <v>46</v>
      </c>
      <c r="AC21" s="1"/>
    </row>
    <row r="22" spans="1:42" x14ac:dyDescent="0.25">
      <c r="R22" s="11" t="s">
        <v>50</v>
      </c>
      <c r="S22" s="1" t="e">
        <f>F139/1000</f>
        <v>#VALUE!</v>
      </c>
      <c r="T22" t="s">
        <v>54</v>
      </c>
      <c r="AC22" s="1"/>
    </row>
    <row r="23" spans="1:42" x14ac:dyDescent="0.25">
      <c r="R23" s="11" t="s">
        <v>51</v>
      </c>
      <c r="S23" s="1">
        <f>F140/1000</f>
        <v>0</v>
      </c>
      <c r="T23" t="s">
        <v>54</v>
      </c>
      <c r="U23" s="13"/>
    </row>
    <row r="24" spans="1:42" x14ac:dyDescent="0.25">
      <c r="R24" s="11" t="s">
        <v>52</v>
      </c>
      <c r="S24" s="1">
        <f>G141/1000</f>
        <v>0</v>
      </c>
      <c r="T24" t="s">
        <v>54</v>
      </c>
    </row>
    <row r="25" spans="1:42" x14ac:dyDescent="0.25">
      <c r="R25" t="s">
        <v>53</v>
      </c>
      <c r="S25" s="1" t="e">
        <f>S22-S23-S24</f>
        <v>#VALUE!</v>
      </c>
      <c r="T25" t="s">
        <v>54</v>
      </c>
    </row>
    <row r="26" spans="1:42" x14ac:dyDescent="0.25">
      <c r="R26" s="11" t="s">
        <v>48</v>
      </c>
      <c r="S26" s="9">
        <f>D143</f>
        <v>0</v>
      </c>
      <c r="T26" t="s">
        <v>49</v>
      </c>
    </row>
    <row r="27" spans="1:42" ht="15" customHeight="1" x14ac:dyDescent="0.25">
      <c r="R27" s="11" t="s">
        <v>44</v>
      </c>
      <c r="S27" s="1">
        <f>B145</f>
        <v>395</v>
      </c>
      <c r="T27" t="s">
        <v>38</v>
      </c>
    </row>
    <row r="28" spans="1:42" ht="15" customHeight="1" x14ac:dyDescent="0.25">
      <c r="S28" s="9">
        <f>S27/60</f>
        <v>6.583333333333333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5.1333299999999999</v>
      </c>
      <c r="B34" s="1">
        <v>397.32900000000001</v>
      </c>
      <c r="C34" s="1">
        <v>430.375</v>
      </c>
      <c r="D34" s="1">
        <v>432.93900000000002</v>
      </c>
      <c r="E34" s="1">
        <v>433.35899999999998</v>
      </c>
      <c r="F34" s="9">
        <v>3</v>
      </c>
      <c r="G34" s="9">
        <v>0</v>
      </c>
      <c r="H34" s="1">
        <v>423.49599999999998</v>
      </c>
      <c r="I34" s="1">
        <v>430.40600000000001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10.2667</v>
      </c>
      <c r="B35" s="1">
        <v>397.22399999999999</v>
      </c>
      <c r="C35" s="1">
        <v>427.911</v>
      </c>
      <c r="D35" s="1">
        <v>432.64699999999999</v>
      </c>
      <c r="E35" s="1">
        <v>433.31700000000001</v>
      </c>
      <c r="F35" s="9">
        <v>3</v>
      </c>
      <c r="G35" s="9">
        <v>0</v>
      </c>
      <c r="H35" s="1">
        <v>421.11599999999999</v>
      </c>
      <c r="I35" s="1">
        <v>430.11700000000002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15.4</v>
      </c>
      <c r="B36" s="1">
        <v>397.12099999999998</v>
      </c>
      <c r="C36" s="1">
        <v>426.96699999999998</v>
      </c>
      <c r="D36" s="1">
        <v>432.37</v>
      </c>
      <c r="E36" s="1">
        <v>433.274</v>
      </c>
      <c r="F36" s="9">
        <v>3</v>
      </c>
      <c r="G36" s="9">
        <v>0</v>
      </c>
      <c r="H36" s="1">
        <v>420.20299999999997</v>
      </c>
      <c r="I36" s="1">
        <v>429.84300000000002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20.533300000000001</v>
      </c>
      <c r="B37" s="1">
        <v>397.02</v>
      </c>
      <c r="C37" s="1">
        <v>426.09399999999999</v>
      </c>
      <c r="D37" s="1">
        <v>432.09699999999998</v>
      </c>
      <c r="E37" s="1">
        <v>433.23</v>
      </c>
      <c r="F37" s="9">
        <v>3</v>
      </c>
      <c r="G37" s="9">
        <v>0</v>
      </c>
      <c r="H37" s="1">
        <v>419.36099999999999</v>
      </c>
      <c r="I37" s="1">
        <v>429.57299999999998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25.666699999999999</v>
      </c>
      <c r="B38" s="1">
        <v>396.91899999999998</v>
      </c>
      <c r="C38" s="1">
        <v>425.26799999999997</v>
      </c>
      <c r="D38" s="1">
        <v>431.82499999999999</v>
      </c>
      <c r="E38" s="1">
        <v>433.185</v>
      </c>
      <c r="F38" s="9">
        <v>3</v>
      </c>
      <c r="G38" s="9">
        <v>0</v>
      </c>
      <c r="H38" s="1">
        <v>418.56299999999999</v>
      </c>
      <c r="I38" s="1">
        <v>429.30399999999997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30.8</v>
      </c>
      <c r="B39" s="1">
        <v>321.25799999999998</v>
      </c>
      <c r="C39" s="1">
        <v>423.84800000000001</v>
      </c>
      <c r="D39" s="1">
        <v>431.52600000000001</v>
      </c>
      <c r="E39" s="1">
        <v>433.10300000000001</v>
      </c>
      <c r="F39" s="9">
        <v>10</v>
      </c>
      <c r="G39" s="9">
        <v>0</v>
      </c>
      <c r="H39" s="1">
        <v>411.05700000000002</v>
      </c>
      <c r="I39" s="1">
        <v>428.22699999999998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35.933300000000003</v>
      </c>
      <c r="B40" s="1">
        <v>321.04000000000002</v>
      </c>
      <c r="C40" s="1">
        <v>418.80099999999999</v>
      </c>
      <c r="D40" s="1">
        <v>431.13099999999997</v>
      </c>
      <c r="E40" s="1">
        <v>432.916</v>
      </c>
      <c r="F40" s="9">
        <v>10</v>
      </c>
      <c r="G40" s="9">
        <v>0</v>
      </c>
      <c r="H40" s="1">
        <v>406.33199999999999</v>
      </c>
      <c r="I40" s="1">
        <v>427.83499999999998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41.066699999999997</v>
      </c>
      <c r="B41" s="1">
        <v>320.851</v>
      </c>
      <c r="C41" s="1">
        <v>413.76400000000001</v>
      </c>
      <c r="D41" s="1">
        <v>430.74799999999999</v>
      </c>
      <c r="E41" s="1">
        <v>432.73500000000001</v>
      </c>
      <c r="F41" s="9">
        <v>10</v>
      </c>
      <c r="G41" s="9">
        <v>0</v>
      </c>
      <c r="H41" s="1">
        <v>401.70400000000001</v>
      </c>
      <c r="I41" s="1">
        <v>427.45800000000003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46.2</v>
      </c>
      <c r="B42" s="1">
        <v>320.666</v>
      </c>
      <c r="C42" s="1">
        <v>408.93</v>
      </c>
      <c r="D42" s="1">
        <v>430.36399999999998</v>
      </c>
      <c r="E42" s="1">
        <v>432.55500000000001</v>
      </c>
      <c r="F42" s="9">
        <v>10</v>
      </c>
      <c r="G42" s="9">
        <v>0</v>
      </c>
      <c r="H42" s="1">
        <v>397.08499999999998</v>
      </c>
      <c r="I42" s="1">
        <v>427.08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51.333300000000001</v>
      </c>
      <c r="B43" s="1">
        <v>320.49</v>
      </c>
      <c r="C43" s="1">
        <v>404.197</v>
      </c>
      <c r="D43" s="1">
        <v>429.98</v>
      </c>
      <c r="E43" s="1">
        <v>432.37400000000002</v>
      </c>
      <c r="F43" s="9">
        <v>10</v>
      </c>
      <c r="G43" s="9">
        <v>0</v>
      </c>
      <c r="H43" s="1">
        <v>392.65</v>
      </c>
      <c r="I43" s="1">
        <v>426.70100000000002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56.466700000000003</v>
      </c>
      <c r="B44" s="1">
        <v>320.31700000000001</v>
      </c>
      <c r="C44" s="1">
        <v>399.47500000000002</v>
      </c>
      <c r="D44" s="1">
        <v>429.59699999999998</v>
      </c>
      <c r="E44" s="1">
        <v>432.19400000000002</v>
      </c>
      <c r="F44" s="9">
        <v>10</v>
      </c>
      <c r="G44" s="9">
        <v>0</v>
      </c>
      <c r="H44" s="1">
        <v>388.30799999999999</v>
      </c>
      <c r="I44" s="1">
        <v>426.32400000000001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61.6</v>
      </c>
      <c r="B45" s="1">
        <v>320.14400000000001</v>
      </c>
      <c r="C45" s="1">
        <v>394.94200000000001</v>
      </c>
      <c r="D45" s="1">
        <v>429.214</v>
      </c>
      <c r="E45" s="1">
        <v>432.01400000000001</v>
      </c>
      <c r="F45" s="9">
        <v>10</v>
      </c>
      <c r="G45" s="9">
        <v>0</v>
      </c>
      <c r="H45" s="1">
        <v>383.97199999999998</v>
      </c>
      <c r="I45" s="1">
        <v>425.94600000000003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66.7333</v>
      </c>
      <c r="B46" s="1">
        <v>319.97300000000001</v>
      </c>
      <c r="C46" s="1">
        <v>390.50400000000002</v>
      </c>
      <c r="D46" s="1">
        <v>428.83300000000003</v>
      </c>
      <c r="E46" s="1">
        <v>431.83300000000003</v>
      </c>
      <c r="F46" s="9">
        <v>10</v>
      </c>
      <c r="G46" s="9">
        <v>0</v>
      </c>
      <c r="H46" s="1">
        <v>379.81099999999998</v>
      </c>
      <c r="I46" s="1">
        <v>425.56799999999998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71.866699999999994</v>
      </c>
      <c r="B47" s="1">
        <v>319.8</v>
      </c>
      <c r="C47" s="1">
        <v>386.07600000000002</v>
      </c>
      <c r="D47" s="1">
        <v>428.45100000000002</v>
      </c>
      <c r="E47" s="1">
        <v>431.65300000000002</v>
      </c>
      <c r="F47" s="9">
        <v>10</v>
      </c>
      <c r="G47" s="9">
        <v>0</v>
      </c>
      <c r="H47" s="1">
        <v>375.73500000000001</v>
      </c>
      <c r="I47" s="1">
        <v>425.19099999999997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77</v>
      </c>
      <c r="B48" s="1">
        <v>319.62900000000002</v>
      </c>
      <c r="C48" s="1">
        <v>381.82499999999999</v>
      </c>
      <c r="D48" s="1">
        <v>428.06900000000002</v>
      </c>
      <c r="E48" s="1">
        <v>431.47199999999998</v>
      </c>
      <c r="F48" s="9">
        <v>10</v>
      </c>
      <c r="G48" s="9">
        <v>0</v>
      </c>
      <c r="H48" s="1">
        <v>371.666</v>
      </c>
      <c r="I48" s="1">
        <v>424.815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82.133300000000006</v>
      </c>
      <c r="B49" s="1">
        <v>319.459</v>
      </c>
      <c r="C49" s="1">
        <v>377.66399999999999</v>
      </c>
      <c r="D49" s="1">
        <v>427.68799999999999</v>
      </c>
      <c r="E49" s="1">
        <v>431.29199999999997</v>
      </c>
      <c r="F49" s="9">
        <v>10</v>
      </c>
      <c r="G49" s="9">
        <v>0</v>
      </c>
      <c r="H49" s="1">
        <v>367.76100000000002</v>
      </c>
      <c r="I49" s="1">
        <v>424.44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87.2667</v>
      </c>
      <c r="B50" s="1">
        <v>319.28899999999999</v>
      </c>
      <c r="C50" s="1">
        <v>373.51100000000002</v>
      </c>
      <c r="D50" s="1">
        <v>427.30700000000002</v>
      </c>
      <c r="E50" s="1">
        <v>431.11200000000002</v>
      </c>
      <c r="F50" s="9">
        <v>10</v>
      </c>
      <c r="G50" s="9">
        <v>0</v>
      </c>
      <c r="H50" s="1">
        <v>363.93599999999998</v>
      </c>
      <c r="I50" s="1">
        <v>424.065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92.4</v>
      </c>
      <c r="B51" s="1">
        <v>319.12</v>
      </c>
      <c r="C51" s="1">
        <v>369.52499999999998</v>
      </c>
      <c r="D51" s="1">
        <v>426.92700000000002</v>
      </c>
      <c r="E51" s="1">
        <v>430.93200000000002</v>
      </c>
      <c r="F51" s="9">
        <v>10</v>
      </c>
      <c r="G51" s="9">
        <v>0</v>
      </c>
      <c r="H51" s="1">
        <v>360.11799999999999</v>
      </c>
      <c r="I51" s="1">
        <v>423.69099999999997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97.533299999999997</v>
      </c>
      <c r="B52" s="1">
        <v>318.94799999999998</v>
      </c>
      <c r="C52" s="1">
        <v>365.62299999999999</v>
      </c>
      <c r="D52" s="1">
        <v>426.54700000000003</v>
      </c>
      <c r="E52" s="1">
        <v>430.75099999999998</v>
      </c>
      <c r="F52" s="9">
        <v>10</v>
      </c>
      <c r="G52" s="9">
        <v>0</v>
      </c>
      <c r="H52" s="1">
        <v>356.45299999999997</v>
      </c>
      <c r="I52" s="1">
        <v>423.31700000000001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102.667</v>
      </c>
      <c r="B53" s="1">
        <v>318.77800000000002</v>
      </c>
      <c r="C53" s="1">
        <v>361.73</v>
      </c>
      <c r="D53" s="1">
        <v>426.16699999999997</v>
      </c>
      <c r="E53" s="1">
        <v>430.57100000000003</v>
      </c>
      <c r="F53" s="9">
        <v>10</v>
      </c>
      <c r="G53" s="9">
        <v>0</v>
      </c>
      <c r="H53" s="1">
        <v>352.86399999999998</v>
      </c>
      <c r="I53" s="1">
        <v>422.94299999999998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107.8</v>
      </c>
      <c r="B54" s="1">
        <v>318.608</v>
      </c>
      <c r="C54" s="1">
        <v>357.99200000000002</v>
      </c>
      <c r="D54" s="1">
        <v>425.78899999999999</v>
      </c>
      <c r="E54" s="1">
        <v>430.39100000000002</v>
      </c>
      <c r="F54" s="9">
        <v>10</v>
      </c>
      <c r="G54" s="9">
        <v>0</v>
      </c>
      <c r="H54" s="1">
        <v>349.28100000000001</v>
      </c>
      <c r="I54" s="1">
        <v>422.57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112.93300000000001</v>
      </c>
      <c r="B55" s="1">
        <v>318.43900000000002</v>
      </c>
      <c r="C55" s="1">
        <v>354.334</v>
      </c>
      <c r="D55" s="1">
        <v>425.41</v>
      </c>
      <c r="E55" s="1">
        <v>430.21100000000001</v>
      </c>
      <c r="F55" s="9">
        <v>10</v>
      </c>
      <c r="G55" s="9">
        <v>0</v>
      </c>
      <c r="H55" s="1">
        <v>345.84199999999998</v>
      </c>
      <c r="I55" s="1">
        <v>422.197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118.06699999999999</v>
      </c>
      <c r="B56" s="1">
        <v>318.27100000000002</v>
      </c>
      <c r="C56" s="1">
        <v>350.68299999999999</v>
      </c>
      <c r="D56" s="1">
        <v>425.03199999999998</v>
      </c>
      <c r="E56" s="1">
        <v>430.03100000000001</v>
      </c>
      <c r="F56" s="9">
        <v>10</v>
      </c>
      <c r="G56" s="9">
        <v>0</v>
      </c>
      <c r="H56" s="1">
        <v>342.47500000000002</v>
      </c>
      <c r="I56" s="1">
        <v>421.82499999999999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123.2</v>
      </c>
      <c r="B57" s="1">
        <v>318.10399999999998</v>
      </c>
      <c r="C57" s="1">
        <v>347.17899999999997</v>
      </c>
      <c r="D57" s="1">
        <v>424.654</v>
      </c>
      <c r="E57" s="1">
        <v>429.851</v>
      </c>
      <c r="F57" s="9">
        <v>10</v>
      </c>
      <c r="G57" s="9">
        <v>0</v>
      </c>
      <c r="H57" s="1">
        <v>339.11399999999998</v>
      </c>
      <c r="I57" s="1">
        <v>421.45299999999997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128.333</v>
      </c>
      <c r="B58" s="1">
        <v>317.93799999999999</v>
      </c>
      <c r="C58" s="1">
        <v>343.74900000000002</v>
      </c>
      <c r="D58" s="1">
        <v>424.27699999999999</v>
      </c>
      <c r="E58" s="1">
        <v>429.67099999999999</v>
      </c>
      <c r="F58" s="9">
        <v>10</v>
      </c>
      <c r="G58" s="9">
        <v>0</v>
      </c>
      <c r="H58" s="1">
        <v>335.887</v>
      </c>
      <c r="I58" s="1">
        <v>421.08199999999999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133.46700000000001</v>
      </c>
      <c r="B59" s="1">
        <v>-5506.3</v>
      </c>
      <c r="C59" s="1">
        <v>334.38400000000001</v>
      </c>
      <c r="D59" s="1">
        <v>424.00900000000001</v>
      </c>
      <c r="E59" s="1">
        <v>429.54199999999997</v>
      </c>
      <c r="F59" s="9">
        <v>7.8115299999999999E-2</v>
      </c>
      <c r="G59" s="9">
        <v>0.72409999999999997</v>
      </c>
      <c r="H59" s="1">
        <v>154.40199999999999</v>
      </c>
      <c r="I59" s="1">
        <v>423.99099999999999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138.6</v>
      </c>
      <c r="B60" s="1">
        <v>-5483.01</v>
      </c>
      <c r="C60" s="1">
        <v>308.73</v>
      </c>
      <c r="D60" s="1">
        <v>424.00900000000001</v>
      </c>
      <c r="E60" s="1">
        <v>429.54199999999997</v>
      </c>
      <c r="F60" s="9">
        <v>7.8405100000000005E-2</v>
      </c>
      <c r="G60" s="9">
        <v>1.7912999999999999</v>
      </c>
      <c r="H60" s="1">
        <v>147.30799999999999</v>
      </c>
      <c r="I60" s="1">
        <v>423.98599999999999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143.733</v>
      </c>
      <c r="B61" s="1">
        <v>-6218.85</v>
      </c>
      <c r="C61" s="1">
        <v>285.08600000000001</v>
      </c>
      <c r="D61" s="1">
        <v>424.00900000000001</v>
      </c>
      <c r="E61" s="1">
        <v>429.54199999999997</v>
      </c>
      <c r="F61" s="9">
        <v>5.6151300000000001E-2</v>
      </c>
      <c r="G61" s="9">
        <v>2.4068499999999999</v>
      </c>
      <c r="H61" s="1">
        <v>140.29</v>
      </c>
      <c r="I61" s="1">
        <v>423.99299999999999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148.86699999999999</v>
      </c>
      <c r="B62" s="1">
        <v>-5468.29</v>
      </c>
      <c r="C62" s="1">
        <v>263.12700000000001</v>
      </c>
      <c r="D62" s="1">
        <v>424.00900000000001</v>
      </c>
      <c r="E62" s="1">
        <v>429.54199999999997</v>
      </c>
      <c r="F62" s="9">
        <v>7.9148099999999999E-2</v>
      </c>
      <c r="G62" s="9">
        <v>2.8637800000000002</v>
      </c>
      <c r="H62" s="1">
        <v>133.74100000000001</v>
      </c>
      <c r="I62" s="1">
        <v>423.95800000000003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154</v>
      </c>
      <c r="B63" s="1">
        <v>-5461.22</v>
      </c>
      <c r="C63" s="1">
        <v>243.43700000000001</v>
      </c>
      <c r="D63" s="1">
        <v>424.00900000000001</v>
      </c>
      <c r="E63" s="1">
        <v>429.54199999999997</v>
      </c>
      <c r="F63" s="9">
        <v>7.9508200000000001E-2</v>
      </c>
      <c r="G63" s="9">
        <v>3.2425299999999999</v>
      </c>
      <c r="H63" s="1">
        <v>127.777</v>
      </c>
      <c r="I63" s="1">
        <v>423.92399999999998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159.13300000000001</v>
      </c>
      <c r="B64" s="1">
        <v>-5458.94</v>
      </c>
      <c r="C64" s="1">
        <v>226.28100000000001</v>
      </c>
      <c r="D64" s="1">
        <v>424.00900000000001</v>
      </c>
      <c r="E64" s="1">
        <v>429.54199999999997</v>
      </c>
      <c r="F64" s="9">
        <v>7.9625000000000001E-2</v>
      </c>
      <c r="G64" s="9">
        <v>3.56725</v>
      </c>
      <c r="H64" s="1">
        <v>122.29600000000001</v>
      </c>
      <c r="I64" s="1">
        <v>423.89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164.267</v>
      </c>
      <c r="B65" s="1">
        <v>-5438.92</v>
      </c>
      <c r="C65" s="1">
        <v>211.29300000000001</v>
      </c>
      <c r="D65" s="1">
        <v>423.97800000000001</v>
      </c>
      <c r="E65" s="1">
        <v>429.54199999999997</v>
      </c>
      <c r="F65" s="9">
        <v>8.0038499999999999E-2</v>
      </c>
      <c r="G65" s="9">
        <v>3.8566099999999999</v>
      </c>
      <c r="H65" s="1">
        <v>117.511</v>
      </c>
      <c r="I65" s="1">
        <v>423.69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169.4</v>
      </c>
      <c r="B66" s="1">
        <v>-5436.52</v>
      </c>
      <c r="C66" s="1">
        <v>197.89500000000001</v>
      </c>
      <c r="D66" s="1">
        <v>423.916</v>
      </c>
      <c r="E66" s="1">
        <v>429.54199999999997</v>
      </c>
      <c r="F66" s="9">
        <v>8.0162200000000003E-2</v>
      </c>
      <c r="G66" s="9">
        <v>4.1165099999999999</v>
      </c>
      <c r="H66" s="1">
        <v>112.96599999999999</v>
      </c>
      <c r="I66" s="1">
        <v>423.39800000000002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174.53299999999999</v>
      </c>
      <c r="B67" s="1">
        <v>-5433.78</v>
      </c>
      <c r="C67" s="1">
        <v>185.72200000000001</v>
      </c>
      <c r="D67" s="1">
        <v>423.79500000000002</v>
      </c>
      <c r="E67" s="1">
        <v>429.54199999999997</v>
      </c>
      <c r="F67" s="9">
        <v>8.0304E-2</v>
      </c>
      <c r="G67" s="9">
        <v>4.3554700000000004</v>
      </c>
      <c r="H67" s="1">
        <v>108.83199999999999</v>
      </c>
      <c r="I67" s="1">
        <v>422.69600000000003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179.667</v>
      </c>
      <c r="B68" s="1">
        <v>-5430.86</v>
      </c>
      <c r="C68" s="1">
        <v>174.43799999999999</v>
      </c>
      <c r="D68" s="1">
        <v>423.47800000000001</v>
      </c>
      <c r="E68" s="1">
        <v>429.54199999999997</v>
      </c>
      <c r="F68" s="9">
        <v>8.0455399999999996E-2</v>
      </c>
      <c r="G68" s="9">
        <v>4.5768800000000001</v>
      </c>
      <c r="H68" s="1">
        <v>104.958</v>
      </c>
      <c r="I68" s="1">
        <v>420.62200000000001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184.8</v>
      </c>
      <c r="B69" s="1">
        <v>-5427.61</v>
      </c>
      <c r="C69" s="1">
        <v>164.31100000000001</v>
      </c>
      <c r="D69" s="1">
        <v>423.44200000000001</v>
      </c>
      <c r="E69" s="1">
        <v>429.54199999999997</v>
      </c>
      <c r="F69" s="9">
        <v>8.0624500000000002E-2</v>
      </c>
      <c r="G69" s="9">
        <v>4.7834399999999997</v>
      </c>
      <c r="H69" s="1">
        <v>101.267</v>
      </c>
      <c r="I69" s="1">
        <v>417.06700000000001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189.93299999999999</v>
      </c>
      <c r="B70" s="1">
        <v>-5424.04</v>
      </c>
      <c r="C70" s="1">
        <v>155.08099999999999</v>
      </c>
      <c r="D70" s="1">
        <v>412.73700000000002</v>
      </c>
      <c r="E70" s="1">
        <v>429.54199999999997</v>
      </c>
      <c r="F70" s="9">
        <v>8.0810499999999993E-2</v>
      </c>
      <c r="G70" s="9">
        <v>4.9773699999999996</v>
      </c>
      <c r="H70" s="1">
        <v>97.906400000000005</v>
      </c>
      <c r="I70" s="1">
        <v>231.744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195.06700000000001</v>
      </c>
      <c r="B71" s="1">
        <v>424.608</v>
      </c>
      <c r="C71" s="1">
        <v>146.5</v>
      </c>
      <c r="D71" s="1">
        <v>389.65899999999999</v>
      </c>
      <c r="E71" s="1">
        <v>429.54199999999997</v>
      </c>
      <c r="F71" s="9">
        <v>8.1016500000000005E-2</v>
      </c>
      <c r="G71" s="9">
        <v>5.1546700000000003</v>
      </c>
      <c r="H71" s="1">
        <v>94.7547</v>
      </c>
      <c r="I71" s="1">
        <v>220.52799999999999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200.2</v>
      </c>
      <c r="B72" s="1">
        <v>429.04899999999998</v>
      </c>
      <c r="C72" s="1">
        <v>138.78200000000001</v>
      </c>
      <c r="D72" s="1">
        <v>368.08</v>
      </c>
      <c r="E72" s="1">
        <v>429.54199999999997</v>
      </c>
      <c r="F72" s="9">
        <v>0.20702300000000001</v>
      </c>
      <c r="G72" s="9">
        <v>5.2829499999999996</v>
      </c>
      <c r="H72" s="1">
        <v>91.749600000000001</v>
      </c>
      <c r="I72" s="1">
        <v>210.58600000000001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205.333</v>
      </c>
      <c r="B73" s="1">
        <v>214.15600000000001</v>
      </c>
      <c r="C73" s="1">
        <v>131.72900000000001</v>
      </c>
      <c r="D73" s="1">
        <v>347.93099999999998</v>
      </c>
      <c r="E73" s="1">
        <v>429.54199999999997</v>
      </c>
      <c r="F73" s="9">
        <v>28.461300000000001</v>
      </c>
      <c r="G73" s="9">
        <v>5.4299900000000001</v>
      </c>
      <c r="H73" s="1">
        <v>89.010400000000004</v>
      </c>
      <c r="I73" s="1">
        <v>201.31299999999999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210.46700000000001</v>
      </c>
      <c r="B74" s="1">
        <v>428.68599999999998</v>
      </c>
      <c r="C74" s="1">
        <v>125.15600000000001</v>
      </c>
      <c r="D74" s="1">
        <v>329.13499999999999</v>
      </c>
      <c r="E74" s="1">
        <v>429.54199999999997</v>
      </c>
      <c r="F74" s="9">
        <v>0.33438600000000002</v>
      </c>
      <c r="G74" s="9">
        <v>5.5131300000000003</v>
      </c>
      <c r="H74" s="1">
        <v>86.441199999999995</v>
      </c>
      <c r="I74" s="1">
        <v>192.654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215.6</v>
      </c>
      <c r="B75" s="1">
        <v>220.06899999999999</v>
      </c>
      <c r="C75" s="1">
        <v>119.23399999999999</v>
      </c>
      <c r="D75" s="1">
        <v>311.601</v>
      </c>
      <c r="E75" s="1">
        <v>429.54199999999997</v>
      </c>
      <c r="F75" s="9">
        <v>23.509499999999999</v>
      </c>
      <c r="G75" s="9">
        <v>5.6554599999999997</v>
      </c>
      <c r="H75" s="1">
        <v>83.990600000000001</v>
      </c>
      <c r="I75" s="1">
        <v>184.57300000000001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220.733</v>
      </c>
      <c r="B76" s="1">
        <v>428.46499999999997</v>
      </c>
      <c r="C76" s="1">
        <v>113.81100000000001</v>
      </c>
      <c r="D76" s="1">
        <v>295.35700000000003</v>
      </c>
      <c r="E76" s="1">
        <v>429.54</v>
      </c>
      <c r="F76" s="9">
        <v>0.38449800000000001</v>
      </c>
      <c r="G76" s="9">
        <v>5.73177</v>
      </c>
      <c r="H76" s="1">
        <v>81.755700000000004</v>
      </c>
      <c r="I76" s="1">
        <v>176.95500000000001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225.86699999999999</v>
      </c>
      <c r="B77" s="1">
        <v>269.42200000000003</v>
      </c>
      <c r="C77" s="1">
        <v>108.745</v>
      </c>
      <c r="D77" s="1">
        <v>279.94600000000003</v>
      </c>
      <c r="E77" s="1">
        <v>429.54</v>
      </c>
      <c r="F77" s="9">
        <v>10.1715</v>
      </c>
      <c r="G77" s="9">
        <v>5.8837400000000004</v>
      </c>
      <c r="H77" s="1">
        <v>79.659700000000001</v>
      </c>
      <c r="I77" s="1">
        <v>169.99299999999999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231</v>
      </c>
      <c r="B78" s="1">
        <v>427.88600000000002</v>
      </c>
      <c r="C78" s="1">
        <v>104.176</v>
      </c>
      <c r="D78" s="1">
        <v>265.75599999999997</v>
      </c>
      <c r="E78" s="1">
        <v>429.53899999999999</v>
      </c>
      <c r="F78" s="9">
        <v>0.48011100000000001</v>
      </c>
      <c r="G78" s="9">
        <v>5.9689899999999998</v>
      </c>
      <c r="H78" s="1">
        <v>77.660399999999996</v>
      </c>
      <c r="I78" s="1">
        <v>163.38800000000001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236.13300000000001</v>
      </c>
      <c r="B79" s="1">
        <v>427.51400000000001</v>
      </c>
      <c r="C79" s="1">
        <v>99.982799999999997</v>
      </c>
      <c r="D79" s="1">
        <v>252.60300000000001</v>
      </c>
      <c r="E79" s="1">
        <v>429.53899999999999</v>
      </c>
      <c r="F79" s="9">
        <v>0.52335900000000002</v>
      </c>
      <c r="G79" s="9">
        <v>6.1371900000000004</v>
      </c>
      <c r="H79" s="1">
        <v>75.836500000000001</v>
      </c>
      <c r="I79" s="1">
        <v>157.12899999999999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241.267</v>
      </c>
      <c r="B80" s="1">
        <v>427.43900000000002</v>
      </c>
      <c r="C80" s="1">
        <v>96.060100000000006</v>
      </c>
      <c r="D80" s="1">
        <v>240.30099999999999</v>
      </c>
      <c r="E80" s="1">
        <v>429.53899999999999</v>
      </c>
      <c r="F80" s="9">
        <v>0.52529700000000001</v>
      </c>
      <c r="G80" s="9">
        <v>6.2296100000000001</v>
      </c>
      <c r="H80" s="1">
        <v>74.126400000000004</v>
      </c>
      <c r="I80" s="1">
        <v>151.261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246.4</v>
      </c>
      <c r="B81" s="1">
        <v>425.52100000000002</v>
      </c>
      <c r="C81" s="1">
        <v>92.517099999999999</v>
      </c>
      <c r="D81" s="1">
        <v>228.80099999999999</v>
      </c>
      <c r="E81" s="1">
        <v>429.53899999999999</v>
      </c>
      <c r="F81" s="9">
        <v>0.47963299999999998</v>
      </c>
      <c r="G81" s="9">
        <v>6.4009400000000003</v>
      </c>
      <c r="H81" s="1">
        <v>72.4953</v>
      </c>
      <c r="I81" s="1">
        <v>145.756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251.53299999999999</v>
      </c>
      <c r="B82" s="1">
        <v>424.70699999999999</v>
      </c>
      <c r="C82" s="1">
        <v>89.261099999999999</v>
      </c>
      <c r="D82" s="1">
        <v>218.05199999999999</v>
      </c>
      <c r="E82" s="1">
        <v>429.53899999999999</v>
      </c>
      <c r="F82" s="9">
        <v>0.75016899999999997</v>
      </c>
      <c r="G82" s="9">
        <v>6.4822899999999999</v>
      </c>
      <c r="H82" s="1">
        <v>71.007300000000001</v>
      </c>
      <c r="I82" s="1">
        <v>140.58799999999999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256.66699999999997</v>
      </c>
      <c r="B83" s="1">
        <v>422.78100000000001</v>
      </c>
      <c r="C83" s="1">
        <v>86.210300000000004</v>
      </c>
      <c r="D83" s="1">
        <v>208.006</v>
      </c>
      <c r="E83" s="1">
        <v>429.53899999999999</v>
      </c>
      <c r="F83" s="9">
        <v>0.85692900000000005</v>
      </c>
      <c r="G83" s="9">
        <v>6.6547900000000002</v>
      </c>
      <c r="H83" s="1">
        <v>69.612499999999997</v>
      </c>
      <c r="I83" s="1">
        <v>135.73699999999999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261.8</v>
      </c>
      <c r="B84" s="1">
        <v>209.523</v>
      </c>
      <c r="C84" s="1">
        <v>83.451800000000006</v>
      </c>
      <c r="D84" s="1">
        <v>198.619</v>
      </c>
      <c r="E84" s="1">
        <v>429.53899999999999</v>
      </c>
      <c r="F84" s="9">
        <v>30</v>
      </c>
      <c r="G84" s="9">
        <v>6.7359</v>
      </c>
      <c r="H84" s="1">
        <v>68.282399999999996</v>
      </c>
      <c r="I84" s="1">
        <v>131.179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266.93299999999999</v>
      </c>
      <c r="B85" s="1">
        <v>429.25700000000001</v>
      </c>
      <c r="C85" s="1">
        <v>80.918599999999998</v>
      </c>
      <c r="D85" s="1">
        <v>189.679</v>
      </c>
      <c r="E85" s="1">
        <v>429.53899999999999</v>
      </c>
      <c r="F85" s="9">
        <v>0.10823099999999999</v>
      </c>
      <c r="G85" s="9">
        <v>6.9185400000000001</v>
      </c>
      <c r="H85" s="1">
        <v>66.885999999999996</v>
      </c>
      <c r="I85" s="1">
        <v>123.04900000000001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272.06700000000001</v>
      </c>
      <c r="B86" s="1">
        <v>428.90300000000002</v>
      </c>
      <c r="C86" s="1">
        <v>78.450699999999998</v>
      </c>
      <c r="D86" s="1">
        <v>180.71299999999999</v>
      </c>
      <c r="E86" s="1">
        <v>429.53899999999999</v>
      </c>
      <c r="F86" s="9">
        <v>0.25269200000000003</v>
      </c>
      <c r="G86" s="9">
        <v>7.0847899999999999</v>
      </c>
      <c r="H86" s="1">
        <v>65.710599999999999</v>
      </c>
      <c r="I86" s="1">
        <v>118.929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277.2</v>
      </c>
      <c r="B87" s="1">
        <v>203.703</v>
      </c>
      <c r="C87" s="1">
        <v>76.217600000000004</v>
      </c>
      <c r="D87" s="1">
        <v>172.39699999999999</v>
      </c>
      <c r="E87" s="1">
        <v>429.53899999999999</v>
      </c>
      <c r="F87" s="9">
        <v>31.713699999999999</v>
      </c>
      <c r="G87" s="9">
        <v>7.2529000000000003</v>
      </c>
      <c r="H87" s="1">
        <v>64.589799999999997</v>
      </c>
      <c r="I87" s="1">
        <v>115.123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282.33300000000003</v>
      </c>
      <c r="B88" s="1">
        <v>427.54500000000002</v>
      </c>
      <c r="C88" s="1">
        <v>74.160700000000006</v>
      </c>
      <c r="D88" s="1">
        <v>164.69499999999999</v>
      </c>
      <c r="E88" s="1">
        <v>429.53899999999999</v>
      </c>
      <c r="F88" s="9">
        <v>0.459866</v>
      </c>
      <c r="G88" s="9">
        <v>7.4494100000000003</v>
      </c>
      <c r="H88" s="1">
        <v>63.566899999999997</v>
      </c>
      <c r="I88" s="1">
        <v>111.556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287.46699999999998</v>
      </c>
      <c r="B89" s="1">
        <v>427.31</v>
      </c>
      <c r="C89" s="1">
        <v>72.229500000000002</v>
      </c>
      <c r="D89" s="1">
        <v>157.55099999999999</v>
      </c>
      <c r="E89" s="1">
        <v>429.53899999999999</v>
      </c>
      <c r="F89" s="9">
        <v>0.49698700000000001</v>
      </c>
      <c r="G89" s="9">
        <v>7.5761599999999998</v>
      </c>
      <c r="H89" s="1">
        <v>62.609499999999997</v>
      </c>
      <c r="I89" s="1">
        <v>108.214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292.60000000000002</v>
      </c>
      <c r="B90" s="1">
        <v>421.464</v>
      </c>
      <c r="C90" s="1">
        <v>70.481700000000004</v>
      </c>
      <c r="D90" s="1">
        <v>150.922</v>
      </c>
      <c r="E90" s="1">
        <v>429.53899999999999</v>
      </c>
      <c r="F90" s="9">
        <v>0.52139599999999997</v>
      </c>
      <c r="G90" s="9">
        <v>7.7724099999999998</v>
      </c>
      <c r="H90" s="1">
        <v>61.697200000000002</v>
      </c>
      <c r="I90" s="1">
        <v>105.081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297.733</v>
      </c>
      <c r="B91" s="1">
        <v>423.71300000000002</v>
      </c>
      <c r="C91" s="1">
        <v>68.8703</v>
      </c>
      <c r="D91" s="1">
        <v>144.768</v>
      </c>
      <c r="E91" s="1">
        <v>429.53899999999999</v>
      </c>
      <c r="F91" s="9">
        <v>0.73079300000000003</v>
      </c>
      <c r="G91" s="9">
        <v>7.9674100000000001</v>
      </c>
      <c r="H91" s="1">
        <v>60.864699999999999</v>
      </c>
      <c r="I91" s="1">
        <v>102.139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302.86700000000002</v>
      </c>
      <c r="B92" s="1">
        <v>421.63900000000001</v>
      </c>
      <c r="C92" s="1">
        <v>67.355900000000005</v>
      </c>
      <c r="D92" s="1">
        <v>139.048</v>
      </c>
      <c r="E92" s="1">
        <v>429.53899999999999</v>
      </c>
      <c r="F92" s="9">
        <v>0.82212300000000005</v>
      </c>
      <c r="G92" s="9">
        <v>8.1207200000000004</v>
      </c>
      <c r="H92" s="1">
        <v>60.085900000000002</v>
      </c>
      <c r="I92" s="1">
        <v>99.377499999999998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308</v>
      </c>
      <c r="B93" s="1">
        <v>202.56299999999999</v>
      </c>
      <c r="C93" s="1">
        <v>65.984499999999997</v>
      </c>
      <c r="D93" s="1">
        <v>133.72800000000001</v>
      </c>
      <c r="E93" s="1">
        <v>429.53899999999999</v>
      </c>
      <c r="F93" s="9">
        <v>27.9894</v>
      </c>
      <c r="G93" s="9">
        <v>8.3270900000000001</v>
      </c>
      <c r="H93" s="1">
        <v>59.344099999999997</v>
      </c>
      <c r="I93" s="1">
        <v>96.784000000000006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313.13299999999998</v>
      </c>
      <c r="B94" s="1">
        <v>416.03100000000001</v>
      </c>
      <c r="C94" s="1">
        <v>64.718999999999994</v>
      </c>
      <c r="D94" s="1">
        <v>128.779</v>
      </c>
      <c r="E94" s="1">
        <v>429.53899999999999</v>
      </c>
      <c r="F94" s="9">
        <v>1.0156499999999999</v>
      </c>
      <c r="G94" s="9">
        <v>8.5020100000000003</v>
      </c>
      <c r="H94" s="1">
        <v>58.667200000000001</v>
      </c>
      <c r="I94" s="1">
        <v>94.345100000000002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318.267</v>
      </c>
      <c r="B95" s="1">
        <v>414.45100000000002</v>
      </c>
      <c r="C95" s="1">
        <v>63.5289</v>
      </c>
      <c r="D95" s="1">
        <v>124.16800000000001</v>
      </c>
      <c r="E95" s="1">
        <v>429.53899999999999</v>
      </c>
      <c r="F95" s="9">
        <v>1.0562199999999999</v>
      </c>
      <c r="G95" s="9">
        <v>8.6461900000000007</v>
      </c>
      <c r="H95" s="1">
        <v>58.034300000000002</v>
      </c>
      <c r="I95" s="1">
        <v>92.052400000000006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323.39999999999998</v>
      </c>
      <c r="B96" s="1">
        <v>409.69400000000002</v>
      </c>
      <c r="C96" s="1">
        <v>62.450800000000001</v>
      </c>
      <c r="D96" s="1">
        <v>119.87</v>
      </c>
      <c r="E96" s="1">
        <v>429.53899999999999</v>
      </c>
      <c r="F96" s="9">
        <v>1.1938800000000001</v>
      </c>
      <c r="G96" s="9">
        <v>8.8524600000000007</v>
      </c>
      <c r="H96" s="1">
        <v>57.431899999999999</v>
      </c>
      <c r="I96" s="1">
        <v>89.895499999999998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328.53300000000002</v>
      </c>
      <c r="B97" s="1">
        <v>407.87</v>
      </c>
      <c r="C97" s="1">
        <v>61.455300000000001</v>
      </c>
      <c r="D97" s="1">
        <v>115.863</v>
      </c>
      <c r="E97" s="1">
        <v>429.53899999999999</v>
      </c>
      <c r="F97" s="9">
        <v>1.22502</v>
      </c>
      <c r="G97" s="9">
        <v>9.0136299999999991</v>
      </c>
      <c r="H97" s="1">
        <v>56.882399999999997</v>
      </c>
      <c r="I97" s="1">
        <v>87.864000000000004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333.66699999999997</v>
      </c>
      <c r="B98" s="1">
        <v>405.36700000000002</v>
      </c>
      <c r="C98" s="1">
        <v>60.518700000000003</v>
      </c>
      <c r="D98" s="1">
        <v>112.122</v>
      </c>
      <c r="E98" s="1">
        <v>429.53800000000001</v>
      </c>
      <c r="F98" s="9">
        <v>1.30131</v>
      </c>
      <c r="G98" s="9">
        <v>9.14846</v>
      </c>
      <c r="H98" s="1">
        <v>56.368899999999996</v>
      </c>
      <c r="I98" s="1">
        <v>85.951499999999996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338.8</v>
      </c>
      <c r="B99" s="1">
        <v>401.23700000000002</v>
      </c>
      <c r="C99" s="1">
        <v>59.67</v>
      </c>
      <c r="D99" s="1">
        <v>108.627</v>
      </c>
      <c r="E99" s="1">
        <v>429.53800000000001</v>
      </c>
      <c r="F99" s="9">
        <v>1.2576499999999999</v>
      </c>
      <c r="G99" s="9">
        <v>9.3473100000000002</v>
      </c>
      <c r="H99" s="1">
        <v>55.880499999999998</v>
      </c>
      <c r="I99" s="1">
        <v>84.1494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343.93299999999999</v>
      </c>
      <c r="B100" s="1">
        <v>399.35</v>
      </c>
      <c r="C100" s="1">
        <v>58.886299999999999</v>
      </c>
      <c r="D100" s="1">
        <v>105.361</v>
      </c>
      <c r="E100" s="1">
        <v>429.53800000000001</v>
      </c>
      <c r="F100" s="9">
        <v>1.42082</v>
      </c>
      <c r="G100" s="9">
        <v>9.5043100000000003</v>
      </c>
      <c r="H100" s="1">
        <v>55.435200000000002</v>
      </c>
      <c r="I100" s="1">
        <v>82.449799999999996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349.06700000000001</v>
      </c>
      <c r="B101" s="1">
        <v>397.16399999999999</v>
      </c>
      <c r="C101" s="1">
        <v>58.148899999999998</v>
      </c>
      <c r="D101" s="1">
        <v>102.306</v>
      </c>
      <c r="E101" s="1">
        <v>429.53699999999998</v>
      </c>
      <c r="F101" s="9">
        <v>1.4495800000000001</v>
      </c>
      <c r="G101" s="9">
        <v>9.6368100000000005</v>
      </c>
      <c r="H101" s="1">
        <v>55.0197</v>
      </c>
      <c r="I101" s="1">
        <v>80.847399999999993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354.2</v>
      </c>
      <c r="B102" s="1">
        <v>190.72900000000001</v>
      </c>
      <c r="C102" s="1">
        <v>57.480699999999999</v>
      </c>
      <c r="D102" s="1">
        <v>99.445800000000006</v>
      </c>
      <c r="E102" s="1">
        <v>429.53399999999999</v>
      </c>
      <c r="F102" s="9">
        <v>31.301400000000001</v>
      </c>
      <c r="G102" s="9">
        <v>9.8372799999999998</v>
      </c>
      <c r="H102" s="1">
        <v>54.6248</v>
      </c>
      <c r="I102" s="1">
        <v>79.335400000000007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359.33300000000003</v>
      </c>
      <c r="B103" s="1">
        <v>387.32499999999999</v>
      </c>
      <c r="C103" s="1">
        <v>56.863399999999999</v>
      </c>
      <c r="D103" s="1">
        <v>96.767899999999997</v>
      </c>
      <c r="E103" s="1">
        <v>429.53100000000001</v>
      </c>
      <c r="F103" s="9">
        <v>1.68211</v>
      </c>
      <c r="G103" s="9">
        <v>9.9870999999999999</v>
      </c>
      <c r="H103" s="1">
        <v>54.264800000000001</v>
      </c>
      <c r="I103" s="1">
        <v>77.907600000000002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364.46699999999998</v>
      </c>
      <c r="B104" s="1">
        <v>187.06299999999999</v>
      </c>
      <c r="C104" s="1">
        <v>56.282299999999999</v>
      </c>
      <c r="D104" s="1">
        <v>94.257499999999993</v>
      </c>
      <c r="E104" s="1">
        <v>429.53</v>
      </c>
      <c r="F104" s="9">
        <v>40</v>
      </c>
      <c r="G104" s="9">
        <v>10.1126</v>
      </c>
      <c r="H104" s="1">
        <v>53.929099999999998</v>
      </c>
      <c r="I104" s="1">
        <v>76.5595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369.6</v>
      </c>
      <c r="B105" s="1">
        <v>385.48399999999998</v>
      </c>
      <c r="C105" s="1">
        <v>55.755899999999997</v>
      </c>
      <c r="D105" s="1">
        <v>91.903099999999995</v>
      </c>
      <c r="E105" s="1">
        <v>429.524</v>
      </c>
      <c r="F105" s="9">
        <v>1.5558099999999999</v>
      </c>
      <c r="G105" s="9">
        <v>10.312200000000001</v>
      </c>
      <c r="H105" s="1">
        <v>53.610399999999998</v>
      </c>
      <c r="I105" s="1">
        <v>75.285799999999995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374.733</v>
      </c>
      <c r="B106" s="1">
        <v>382.62099999999998</v>
      </c>
      <c r="C106" s="1">
        <v>55.2697</v>
      </c>
      <c r="D106" s="1">
        <v>89.694400000000002</v>
      </c>
      <c r="E106" s="1">
        <v>429.52</v>
      </c>
      <c r="F106" s="9">
        <v>1.69102</v>
      </c>
      <c r="G106" s="9">
        <v>10.4542</v>
      </c>
      <c r="H106" s="1">
        <v>53.3202</v>
      </c>
      <c r="I106" s="1">
        <v>74.081500000000005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379.86700000000002</v>
      </c>
      <c r="B107" s="1">
        <v>254.39500000000001</v>
      </c>
      <c r="C107" s="1">
        <v>54.812600000000003</v>
      </c>
      <c r="D107" s="1">
        <v>87.619900000000001</v>
      </c>
      <c r="E107" s="1">
        <v>429.517</v>
      </c>
      <c r="F107" s="9">
        <v>7.6362699999999997</v>
      </c>
      <c r="G107" s="9">
        <v>10.5688</v>
      </c>
      <c r="H107" s="1">
        <v>53.050199999999997</v>
      </c>
      <c r="I107" s="1">
        <v>72.942999999999998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385</v>
      </c>
      <c r="B108" s="1">
        <v>354.47199999999998</v>
      </c>
      <c r="C108" s="1">
        <v>54.399000000000001</v>
      </c>
      <c r="D108" s="1">
        <v>85.6708</v>
      </c>
      <c r="E108" s="1">
        <v>429.51100000000002</v>
      </c>
      <c r="F108" s="9">
        <v>2.2837299999999998</v>
      </c>
      <c r="G108" s="9">
        <v>10.752800000000001</v>
      </c>
      <c r="H108" s="1">
        <v>52.7943</v>
      </c>
      <c r="I108" s="1">
        <v>71.866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390.13299999999998</v>
      </c>
      <c r="B109" s="1">
        <v>376.22399999999999</v>
      </c>
      <c r="C109" s="1">
        <v>54.017200000000003</v>
      </c>
      <c r="D109" s="1">
        <v>83.838899999999995</v>
      </c>
      <c r="E109" s="1">
        <v>429.505</v>
      </c>
      <c r="F109" s="9">
        <v>1.77067</v>
      </c>
      <c r="G109" s="9">
        <v>10.899699999999999</v>
      </c>
      <c r="H109" s="1">
        <v>52.561700000000002</v>
      </c>
      <c r="I109" s="1">
        <v>70.846500000000006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395.267</v>
      </c>
      <c r="B110" s="1">
        <v>427.82600000000002</v>
      </c>
      <c r="C110" s="1">
        <v>53.702100000000002</v>
      </c>
      <c r="D110" s="1">
        <v>81.782200000000003</v>
      </c>
      <c r="E110" s="1">
        <v>429.50200000000001</v>
      </c>
      <c r="F110" s="9">
        <v>0.30284499999999998</v>
      </c>
      <c r="G110" s="9">
        <v>11.4382</v>
      </c>
      <c r="H110" s="1">
        <v>51.775500000000001</v>
      </c>
      <c r="I110" s="1">
        <v>68.375399999999999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400.4</v>
      </c>
      <c r="B111" s="1">
        <v>426.89100000000002</v>
      </c>
      <c r="C111" s="1">
        <v>53.440300000000001</v>
      </c>
      <c r="D111" s="1">
        <v>79.643799999999999</v>
      </c>
      <c r="E111" s="1">
        <v>429.50200000000001</v>
      </c>
      <c r="F111" s="9">
        <v>0.338835</v>
      </c>
      <c r="G111" s="9">
        <v>12.186199999999999</v>
      </c>
      <c r="H111" s="1">
        <v>51.650700000000001</v>
      </c>
      <c r="I111" s="1">
        <v>67.266099999999994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405.53300000000002</v>
      </c>
      <c r="B112" s="1">
        <v>426.06700000000001</v>
      </c>
      <c r="C112" s="1">
        <v>53.197200000000002</v>
      </c>
      <c r="D112" s="1">
        <v>77.657899999999998</v>
      </c>
      <c r="E112" s="1">
        <v>429.50200000000001</v>
      </c>
      <c r="F112" s="9">
        <v>0.34006199999999998</v>
      </c>
      <c r="G112" s="9">
        <v>12.9429</v>
      </c>
      <c r="H112" s="1">
        <v>51.534799999999997</v>
      </c>
      <c r="I112" s="1">
        <v>66.246600000000001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410.66699999999997</v>
      </c>
      <c r="B113" s="1">
        <v>424.79500000000002</v>
      </c>
      <c r="C113" s="1">
        <v>52.971499999999999</v>
      </c>
      <c r="D113" s="1">
        <v>75.783500000000004</v>
      </c>
      <c r="E113" s="1">
        <v>429.50200000000001</v>
      </c>
      <c r="F113" s="9">
        <v>0.34123399999999998</v>
      </c>
      <c r="G113" s="9">
        <v>13.7035</v>
      </c>
      <c r="H113" s="1">
        <v>51.427</v>
      </c>
      <c r="I113" s="1">
        <v>65.288899999999998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415.8</v>
      </c>
      <c r="B114" s="1">
        <v>422.779</v>
      </c>
      <c r="C114" s="1">
        <v>52.761800000000001</v>
      </c>
      <c r="D114" s="1">
        <v>74.076300000000003</v>
      </c>
      <c r="E114" s="1">
        <v>429.50200000000001</v>
      </c>
      <c r="F114" s="9">
        <v>0.34236100000000003</v>
      </c>
      <c r="G114" s="9">
        <v>14.467700000000001</v>
      </c>
      <c r="H114" s="1">
        <v>51.326799999999999</v>
      </c>
      <c r="I114" s="1">
        <v>64.3733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420.93299999999999</v>
      </c>
      <c r="B115" s="1">
        <v>421.78699999999998</v>
      </c>
      <c r="C115" s="1">
        <v>52.567300000000003</v>
      </c>
      <c r="D115" s="1">
        <v>72.493399999999994</v>
      </c>
      <c r="E115" s="1">
        <v>429.50200000000001</v>
      </c>
      <c r="F115" s="9">
        <v>0.30602699999999999</v>
      </c>
      <c r="G115" s="9">
        <v>15.2354</v>
      </c>
      <c r="H115" s="1">
        <v>51.233899999999998</v>
      </c>
      <c r="I115" s="1">
        <v>63.533900000000003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426.06700000000001</v>
      </c>
      <c r="B116" s="1">
        <v>421.00599999999997</v>
      </c>
      <c r="C116" s="1">
        <v>52.387300000000003</v>
      </c>
      <c r="D116" s="1">
        <v>70.997</v>
      </c>
      <c r="E116" s="1">
        <v>429.50200000000001</v>
      </c>
      <c r="F116" s="9">
        <v>0.25547300000000001</v>
      </c>
      <c r="G116" s="9">
        <v>16.006499999999999</v>
      </c>
      <c r="H116" s="1">
        <v>51.1477</v>
      </c>
      <c r="I116" s="1">
        <v>62.745100000000001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431.2</v>
      </c>
      <c r="B117" s="1">
        <v>364.57900000000001</v>
      </c>
      <c r="C117" s="1">
        <v>52.22</v>
      </c>
      <c r="D117" s="1">
        <v>69.632400000000004</v>
      </c>
      <c r="E117" s="1">
        <v>429.50200000000001</v>
      </c>
      <c r="F117" s="9">
        <v>0.65375300000000003</v>
      </c>
      <c r="G117" s="9">
        <v>16.736799999999999</v>
      </c>
      <c r="H117" s="1">
        <v>51.067599999999999</v>
      </c>
      <c r="I117" s="1">
        <v>61.990499999999997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436.33300000000003</v>
      </c>
      <c r="B118" s="1">
        <v>263.63900000000001</v>
      </c>
      <c r="C118" s="1">
        <v>52.064399999999999</v>
      </c>
      <c r="D118" s="1">
        <v>68.365399999999994</v>
      </c>
      <c r="E118" s="1">
        <v>429.5</v>
      </c>
      <c r="F118" s="9">
        <v>1.4550099999999999</v>
      </c>
      <c r="G118" s="9">
        <v>17.4435</v>
      </c>
      <c r="H118" s="1">
        <v>50.993099999999998</v>
      </c>
      <c r="I118" s="1">
        <v>61.298400000000001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441.46699999999998</v>
      </c>
      <c r="B119" s="1">
        <v>218.81200000000001</v>
      </c>
      <c r="C119" s="1">
        <v>51.919800000000002</v>
      </c>
      <c r="D119" s="1">
        <v>67.165899999999993</v>
      </c>
      <c r="E119" s="1">
        <v>429.48599999999999</v>
      </c>
      <c r="F119" s="9">
        <v>1.8278700000000001</v>
      </c>
      <c r="G119" s="9">
        <v>18.109000000000002</v>
      </c>
      <c r="H119" s="1">
        <v>50.9238</v>
      </c>
      <c r="I119" s="1">
        <v>60.6477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446.6</v>
      </c>
      <c r="B120" s="1">
        <v>180.13399999999999</v>
      </c>
      <c r="C120" s="1">
        <v>51.785299999999999</v>
      </c>
      <c r="D120" s="1">
        <v>66.070899999999995</v>
      </c>
      <c r="E120" s="1">
        <v>429.41199999999998</v>
      </c>
      <c r="F120" s="9">
        <v>2.31352</v>
      </c>
      <c r="G120" s="9">
        <v>18.783200000000001</v>
      </c>
      <c r="H120" s="1">
        <v>50.859299999999998</v>
      </c>
      <c r="I120" s="1">
        <v>60.024900000000002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451.733</v>
      </c>
      <c r="B121" s="1">
        <v>143.179</v>
      </c>
      <c r="C121" s="1">
        <v>51.660299999999999</v>
      </c>
      <c r="D121" s="1">
        <v>65.052700000000002</v>
      </c>
      <c r="E121" s="1">
        <v>428.80799999999999</v>
      </c>
      <c r="F121" s="9">
        <v>2.5631699999999999</v>
      </c>
      <c r="G121" s="9">
        <v>19.465399999999999</v>
      </c>
      <c r="H121" s="1">
        <v>50.799300000000002</v>
      </c>
      <c r="I121" s="1">
        <v>59.453400000000002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456.86700000000002</v>
      </c>
      <c r="B122" s="1">
        <v>143.179</v>
      </c>
      <c r="C122" s="1">
        <v>51.543999999999997</v>
      </c>
      <c r="D122" s="1">
        <v>64.087500000000006</v>
      </c>
      <c r="E122" s="1">
        <v>414.18299999999999</v>
      </c>
      <c r="F122" s="9">
        <v>65.998699999999999</v>
      </c>
      <c r="G122" s="9">
        <v>19.795100000000001</v>
      </c>
      <c r="H122" s="1">
        <v>50.743499999999997</v>
      </c>
      <c r="I122" s="1">
        <v>58.915799999999997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462</v>
      </c>
      <c r="B123" s="1">
        <v>143.179</v>
      </c>
      <c r="C123" s="1">
        <v>51.435899999999997</v>
      </c>
      <c r="D123" s="1">
        <v>63.205300000000001</v>
      </c>
      <c r="E123" s="1">
        <v>404.59</v>
      </c>
      <c r="F123" s="9">
        <v>1.3331500000000001</v>
      </c>
      <c r="G123" s="9">
        <v>19.991599999999998</v>
      </c>
      <c r="H123" s="1">
        <v>50.691600000000001</v>
      </c>
      <c r="I123" s="1">
        <v>58.4009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467.13299999999998</v>
      </c>
      <c r="B124" s="1">
        <v>143.179</v>
      </c>
      <c r="C124" s="1">
        <v>51.3354</v>
      </c>
      <c r="D124" s="1">
        <v>62.383899999999997</v>
      </c>
      <c r="E124" s="1">
        <v>397.036</v>
      </c>
      <c r="F124" s="9">
        <v>29.0261</v>
      </c>
      <c r="G124" s="9">
        <v>20.1965</v>
      </c>
      <c r="H124" s="1">
        <v>50.643300000000004</v>
      </c>
      <c r="I124" s="1">
        <v>57.928100000000001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472.267</v>
      </c>
      <c r="B125" s="1">
        <v>143.179</v>
      </c>
      <c r="C125" s="1">
        <v>51.241999999999997</v>
      </c>
      <c r="D125" s="1">
        <v>61.604300000000002</v>
      </c>
      <c r="E125" s="1">
        <v>375.89499999999998</v>
      </c>
      <c r="F125" s="9">
        <v>0.221054</v>
      </c>
      <c r="G125" s="9">
        <v>20.4621</v>
      </c>
      <c r="H125" s="1">
        <v>50.598399999999998</v>
      </c>
      <c r="I125" s="1">
        <v>57.483199999999997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477.4</v>
      </c>
      <c r="B126" s="1">
        <v>143.179</v>
      </c>
      <c r="C126" s="1">
        <v>51.155000000000001</v>
      </c>
      <c r="D126" s="1">
        <v>60.890900000000002</v>
      </c>
      <c r="E126" s="1">
        <v>356.13799999999998</v>
      </c>
      <c r="F126" s="9">
        <v>0.221054</v>
      </c>
      <c r="G126" s="9">
        <v>20.741700000000002</v>
      </c>
      <c r="H126" s="1">
        <v>50.556600000000003</v>
      </c>
      <c r="I126" s="1">
        <v>57.056800000000003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482.53300000000002</v>
      </c>
      <c r="B127" s="1">
        <v>143.179</v>
      </c>
      <c r="C127" s="1">
        <v>51.074199999999998</v>
      </c>
      <c r="D127" s="1">
        <v>60.2258</v>
      </c>
      <c r="E127" s="1">
        <v>337.673</v>
      </c>
      <c r="F127" s="9">
        <v>0.221054</v>
      </c>
      <c r="G127" s="9">
        <v>21.0214</v>
      </c>
      <c r="H127" s="1">
        <v>50.517699999999998</v>
      </c>
      <c r="I127" s="1">
        <v>56.664900000000003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487.66699999999997</v>
      </c>
      <c r="B128" s="1">
        <v>143.179</v>
      </c>
      <c r="C128" s="1">
        <v>50.999099999999999</v>
      </c>
      <c r="D128" s="1">
        <v>59.593800000000002</v>
      </c>
      <c r="E128" s="1">
        <v>320.41399999999999</v>
      </c>
      <c r="F128" s="9">
        <v>0.221054</v>
      </c>
      <c r="G128" s="9">
        <v>21.300999999999998</v>
      </c>
      <c r="H128" s="1">
        <v>50.4816</v>
      </c>
      <c r="I128" s="1">
        <v>56.295900000000003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492.8</v>
      </c>
      <c r="B129" s="1">
        <v>143.179</v>
      </c>
      <c r="C129" s="1">
        <v>50.929099999999998</v>
      </c>
      <c r="D129" s="1">
        <v>59.014699999999998</v>
      </c>
      <c r="E129" s="1">
        <v>304.27999999999997</v>
      </c>
      <c r="F129" s="9">
        <v>0.221054</v>
      </c>
      <c r="G129" s="9">
        <v>21.5807</v>
      </c>
      <c r="H129" s="1">
        <v>50.448</v>
      </c>
      <c r="I129" s="1">
        <v>55.942100000000003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497.93299999999999</v>
      </c>
      <c r="B130" s="1">
        <v>143.179</v>
      </c>
      <c r="C130" s="1">
        <v>50.864100000000001</v>
      </c>
      <c r="D130" s="1">
        <v>58.474200000000003</v>
      </c>
      <c r="E130" s="1">
        <v>289.19900000000001</v>
      </c>
      <c r="F130" s="9">
        <v>0.221054</v>
      </c>
      <c r="G130" s="9">
        <v>21.860299999999999</v>
      </c>
      <c r="H130" s="1">
        <v>50.416699999999999</v>
      </c>
      <c r="I130" s="1">
        <v>55.616599999999998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503.06700000000001</v>
      </c>
      <c r="B131" s="1">
        <v>143.179</v>
      </c>
      <c r="C131" s="1">
        <v>50.803699999999999</v>
      </c>
      <c r="D131" s="1">
        <v>57.959800000000001</v>
      </c>
      <c r="E131" s="1">
        <v>274.95800000000003</v>
      </c>
      <c r="F131" s="9">
        <v>0.221054</v>
      </c>
      <c r="G131" s="9">
        <v>22.139900000000001</v>
      </c>
      <c r="H131" s="1">
        <v>50.387599999999999</v>
      </c>
      <c r="I131" s="1">
        <v>55.31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508.2</v>
      </c>
      <c r="B132" s="1">
        <v>143.179</v>
      </c>
      <c r="C132" s="1">
        <v>50.747500000000002</v>
      </c>
      <c r="D132" s="1">
        <v>57.488</v>
      </c>
      <c r="E132" s="1">
        <v>261.50900000000001</v>
      </c>
      <c r="F132" s="9">
        <v>0.221054</v>
      </c>
      <c r="G132" s="9">
        <v>22.419599999999999</v>
      </c>
      <c r="H132" s="1">
        <v>50.360500000000002</v>
      </c>
      <c r="I132" s="1">
        <v>55.015700000000002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514</v>
      </c>
      <c r="B133" s="1">
        <v>143.179</v>
      </c>
      <c r="C133" s="1">
        <v>50.690600000000003</v>
      </c>
      <c r="D133" s="1">
        <v>56.988799999999998</v>
      </c>
      <c r="E133" s="1">
        <v>247.845</v>
      </c>
      <c r="F133" s="9">
        <v>0.221054</v>
      </c>
      <c r="G133" s="9">
        <v>22.735499999999998</v>
      </c>
      <c r="H133" s="1">
        <v>50.333100000000002</v>
      </c>
      <c r="I133" s="1">
        <v>54.708500000000001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/>
      <c r="B134" s="1"/>
      <c r="C134" s="1"/>
      <c r="D134" s="1"/>
      <c r="E134" s="1"/>
      <c r="F134" s="9"/>
      <c r="G134" s="9"/>
      <c r="H134" s="1"/>
      <c r="I134" s="1"/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/>
      <c r="B135" s="1"/>
      <c r="C135" s="1"/>
      <c r="D135" s="1"/>
      <c r="E135" s="1"/>
      <c r="F135" s="9"/>
      <c r="G135" s="9"/>
      <c r="H135" s="1"/>
      <c r="I135" s="1"/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 t="s">
        <v>21</v>
      </c>
      <c r="B136" s="1" t="s">
        <v>12</v>
      </c>
      <c r="C136" s="1" t="s">
        <v>22</v>
      </c>
      <c r="D136" s="1" t="s">
        <v>12</v>
      </c>
      <c r="E136" s="1" t="s">
        <v>23</v>
      </c>
      <c r="F136" s="9" t="s">
        <v>24</v>
      </c>
      <c r="G136" s="9" t="s">
        <v>5</v>
      </c>
      <c r="H136" s="1">
        <v>127</v>
      </c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 t="s">
        <v>25</v>
      </c>
      <c r="B137" s="1" t="s">
        <v>26</v>
      </c>
      <c r="C137" s="1" t="s">
        <v>27</v>
      </c>
      <c r="D137" s="1" t="s">
        <v>28</v>
      </c>
      <c r="E137" s="1" t="s">
        <v>5</v>
      </c>
      <c r="F137" s="9">
        <v>409267</v>
      </c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29</v>
      </c>
      <c r="B138" s="1" t="s">
        <v>26</v>
      </c>
      <c r="C138" s="1" t="s">
        <v>30</v>
      </c>
      <c r="D138" s="1" t="s">
        <v>28</v>
      </c>
      <c r="E138" s="1" t="s">
        <v>5</v>
      </c>
      <c r="F138" s="9">
        <v>26498.6</v>
      </c>
      <c r="G138" s="9"/>
      <c r="H138" s="1"/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31</v>
      </c>
      <c r="C139" s="1" t="s">
        <v>32</v>
      </c>
      <c r="D139" s="1" t="s">
        <v>33</v>
      </c>
      <c r="E139" s="1" t="s">
        <v>28</v>
      </c>
      <c r="F139" s="9" t="s">
        <v>5</v>
      </c>
      <c r="G139" s="9">
        <v>409119</v>
      </c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34</v>
      </c>
      <c r="B140" s="1" t="s">
        <v>28</v>
      </c>
      <c r="C140" s="1" t="s">
        <v>5</v>
      </c>
      <c r="D140" s="1">
        <v>-26350.6</v>
      </c>
      <c r="E140" s="1"/>
      <c r="F140" s="9"/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35</v>
      </c>
      <c r="B141" s="1" t="s">
        <v>36</v>
      </c>
      <c r="C141" s="1" t="s">
        <v>5</v>
      </c>
      <c r="D141" s="1">
        <v>-6.4385000000000003</v>
      </c>
      <c r="E141" s="1"/>
      <c r="F141" s="9"/>
      <c r="G141" s="9"/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/>
      <c r="B142" s="1"/>
      <c r="C142" s="1"/>
      <c r="D142" s="1"/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37</v>
      </c>
      <c r="B143" s="1">
        <v>4514</v>
      </c>
      <c r="C143" s="1" t="s">
        <v>38</v>
      </c>
      <c r="D143" s="1"/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395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P1831"/>
  <sheetViews>
    <sheetView topLeftCell="A64" workbookViewId="0">
      <selection activeCell="A88" sqref="A88:XFD88"/>
    </sheetView>
  </sheetViews>
  <sheetFormatPr defaultRowHeight="15" x14ac:dyDescent="0.25"/>
  <cols>
    <col min="3" max="4" width="9.28515625" bestFit="1" customWidth="1"/>
    <col min="5" max="5" width="10.28515625" bestFit="1" customWidth="1"/>
    <col min="6" max="9" width="9.28515625" bestFit="1" customWidth="1"/>
    <col min="16" max="16" width="5.7109375" customWidth="1"/>
    <col min="17" max="17" width="9.5703125" bestFit="1" customWidth="1"/>
    <col min="18" max="19" width="10" customWidth="1"/>
    <col min="20" max="20" width="5.7109375" customWidth="1"/>
    <col min="21" max="21" width="7" bestFit="1" customWidth="1"/>
    <col min="22" max="23" width="8.7109375" bestFit="1" customWidth="1"/>
    <col min="24" max="24" width="9" bestFit="1" customWidth="1"/>
    <col min="25" max="25" width="7" bestFit="1" customWidth="1"/>
    <col min="26" max="26" width="8.7109375" bestFit="1" customWidth="1"/>
    <col min="27" max="27" width="9" bestFit="1" customWidth="1"/>
    <col min="28" max="28" width="5.7109375" customWidth="1"/>
    <col min="31" max="31" width="9.5703125" bestFit="1" customWidth="1"/>
  </cols>
  <sheetData>
    <row r="3" spans="17:29" x14ac:dyDescent="0.25">
      <c r="Q3" s="1" t="s">
        <v>0</v>
      </c>
      <c r="R3" s="1" t="s">
        <v>1</v>
      </c>
      <c r="S3" s="1" t="s">
        <v>2</v>
      </c>
      <c r="Y3" s="1"/>
      <c r="AC3" s="1"/>
    </row>
    <row r="4" spans="17:29" x14ac:dyDescent="0.25">
      <c r="Q4" s="1" t="s">
        <v>3</v>
      </c>
      <c r="R4" s="1" t="s">
        <v>39</v>
      </c>
      <c r="S4" s="1"/>
      <c r="Y4" s="1"/>
      <c r="AC4" s="1"/>
    </row>
    <row r="5" spans="17:29" x14ac:dyDescent="0.25">
      <c r="Q5" s="1" t="s">
        <v>4</v>
      </c>
      <c r="R5" s="1" t="s">
        <v>5</v>
      </c>
      <c r="S5" s="2">
        <v>3.5</v>
      </c>
      <c r="Y5" s="3"/>
      <c r="AC5" s="1"/>
    </row>
    <row r="6" spans="17:29" x14ac:dyDescent="0.25">
      <c r="Q6" s="1" t="s">
        <v>6</v>
      </c>
      <c r="R6" s="1" t="s">
        <v>5</v>
      </c>
      <c r="S6" s="2">
        <v>0.4</v>
      </c>
      <c r="Y6" s="3"/>
      <c r="AC6" s="1"/>
    </row>
    <row r="7" spans="17:29" x14ac:dyDescent="0.25">
      <c r="Q7" s="1" t="s">
        <v>7</v>
      </c>
      <c r="R7" s="1" t="s">
        <v>5</v>
      </c>
      <c r="S7" s="2">
        <v>10</v>
      </c>
      <c r="Y7" s="3"/>
      <c r="AC7" s="1"/>
    </row>
    <row r="8" spans="17:29" x14ac:dyDescent="0.25">
      <c r="Q8" s="1" t="s">
        <v>8</v>
      </c>
      <c r="R8" s="1" t="s">
        <v>5</v>
      </c>
      <c r="S8" s="2">
        <v>1</v>
      </c>
      <c r="Y8" s="3"/>
      <c r="AC8" s="1"/>
    </row>
    <row r="9" spans="17:29" x14ac:dyDescent="0.25">
      <c r="Q9" s="1" t="s">
        <v>9</v>
      </c>
      <c r="R9" s="1" t="s">
        <v>5</v>
      </c>
      <c r="S9" s="2">
        <v>1.3</v>
      </c>
      <c r="Y9" s="3"/>
      <c r="AC9" s="1"/>
    </row>
    <row r="10" spans="17:29" x14ac:dyDescent="0.25">
      <c r="Q10" s="1" t="s">
        <v>10</v>
      </c>
      <c r="R10" s="1" t="s">
        <v>5</v>
      </c>
      <c r="S10" s="2">
        <v>1</v>
      </c>
      <c r="Y10" s="3"/>
      <c r="AC10" s="1"/>
    </row>
    <row r="11" spans="17:29" x14ac:dyDescent="0.25">
      <c r="Q11" s="1" t="s">
        <v>11</v>
      </c>
      <c r="R11" s="1" t="s">
        <v>5</v>
      </c>
      <c r="S11" s="2">
        <v>2.8</v>
      </c>
      <c r="Y11" s="3"/>
      <c r="AC11" s="1"/>
    </row>
    <row r="12" spans="17:29" x14ac:dyDescent="0.25">
      <c r="V12" s="1"/>
      <c r="W12" s="1"/>
      <c r="X12" s="1"/>
      <c r="Y12" s="1"/>
      <c r="Z12" s="1"/>
      <c r="AC12" s="1"/>
    </row>
    <row r="13" spans="17:29" x14ac:dyDescent="0.25">
      <c r="V13" s="1"/>
      <c r="W13" s="1"/>
      <c r="X13" s="1"/>
      <c r="Y13" s="1"/>
      <c r="Z13" s="1"/>
      <c r="AC13" s="1"/>
    </row>
    <row r="14" spans="17:29" x14ac:dyDescent="0.25">
      <c r="AC14" s="1"/>
    </row>
    <row r="15" spans="17:29" x14ac:dyDescent="0.25">
      <c r="AC15" s="1"/>
    </row>
    <row r="16" spans="17:29" x14ac:dyDescent="0.25">
      <c r="Q16" s="11" t="s">
        <v>43</v>
      </c>
      <c r="R16" t="s">
        <v>56</v>
      </c>
      <c r="AC16" s="1"/>
    </row>
    <row r="17" spans="1:42" x14ac:dyDescent="0.25">
      <c r="Q17" s="11" t="s">
        <v>40</v>
      </c>
      <c r="R17">
        <v>1</v>
      </c>
      <c r="S17" t="s">
        <v>38</v>
      </c>
      <c r="AC17" s="1"/>
    </row>
    <row r="18" spans="1:42" x14ac:dyDescent="0.25">
      <c r="Q18" s="11" t="s">
        <v>41</v>
      </c>
      <c r="R18" s="10">
        <v>0.2</v>
      </c>
      <c r="S18" t="s">
        <v>42</v>
      </c>
      <c r="AC18" s="1"/>
    </row>
    <row r="19" spans="1:42" x14ac:dyDescent="0.25">
      <c r="AC19" s="1"/>
    </row>
    <row r="20" spans="1:42" x14ac:dyDescent="0.25">
      <c r="AC20" s="1"/>
    </row>
    <row r="21" spans="1:42" x14ac:dyDescent="0.25">
      <c r="R21" s="11" t="s">
        <v>47</v>
      </c>
      <c r="S21" s="1">
        <f>H138</f>
        <v>0</v>
      </c>
      <c r="T21" t="s">
        <v>46</v>
      </c>
      <c r="AC21" s="1"/>
    </row>
    <row r="22" spans="1:42" x14ac:dyDescent="0.25">
      <c r="R22" s="11" t="s">
        <v>50</v>
      </c>
      <c r="S22" s="1" t="e">
        <f>F139/1000</f>
        <v>#VALUE!</v>
      </c>
      <c r="T22" t="s">
        <v>54</v>
      </c>
      <c r="AC22" s="1"/>
    </row>
    <row r="23" spans="1:42" x14ac:dyDescent="0.25">
      <c r="R23" s="11" t="s">
        <v>51</v>
      </c>
      <c r="S23" s="1">
        <f>F140/1000</f>
        <v>0</v>
      </c>
      <c r="T23" t="s">
        <v>54</v>
      </c>
      <c r="U23" s="13"/>
    </row>
    <row r="24" spans="1:42" x14ac:dyDescent="0.25">
      <c r="R24" s="11" t="s">
        <v>52</v>
      </c>
      <c r="S24" s="1">
        <f>G141/1000</f>
        <v>0</v>
      </c>
      <c r="T24" t="s">
        <v>54</v>
      </c>
    </row>
    <row r="25" spans="1:42" x14ac:dyDescent="0.25">
      <c r="R25" t="s">
        <v>53</v>
      </c>
      <c r="S25" s="1" t="e">
        <f>S22-S23-S24</f>
        <v>#VALUE!</v>
      </c>
      <c r="T25" t="s">
        <v>54</v>
      </c>
    </row>
    <row r="26" spans="1:42" x14ac:dyDescent="0.25">
      <c r="R26" s="11" t="s">
        <v>48</v>
      </c>
      <c r="S26" s="9">
        <f>D143</f>
        <v>0</v>
      </c>
      <c r="T26" t="s">
        <v>49</v>
      </c>
    </row>
    <row r="27" spans="1:42" ht="15" customHeight="1" x14ac:dyDescent="0.25">
      <c r="R27" s="11" t="s">
        <v>44</v>
      </c>
      <c r="S27" s="1">
        <f>B145</f>
        <v>395</v>
      </c>
      <c r="T27" t="s">
        <v>38</v>
      </c>
    </row>
    <row r="28" spans="1:42" ht="15" customHeight="1" x14ac:dyDescent="0.25">
      <c r="S28" s="9">
        <f>S27/60</f>
        <v>6.583333333333333</v>
      </c>
      <c r="T28" t="s">
        <v>45</v>
      </c>
      <c r="U28" s="4"/>
      <c r="V28" s="4"/>
      <c r="W28" s="4"/>
      <c r="X28" s="4"/>
      <c r="Y28" s="4"/>
      <c r="Z28" s="4"/>
      <c r="AA28" s="4"/>
    </row>
    <row r="29" spans="1:42" x14ac:dyDescent="0.25">
      <c r="AF29" s="5"/>
      <c r="AG29" s="4"/>
      <c r="AH29" s="4"/>
      <c r="AI29" s="4"/>
      <c r="AJ29" s="4"/>
      <c r="AK29" s="4"/>
      <c r="AL29" s="4"/>
      <c r="AM29" s="4"/>
      <c r="AN29" s="4"/>
      <c r="AO29" s="4"/>
      <c r="AP29" s="4"/>
    </row>
    <row r="30" spans="1:42" x14ac:dyDescent="0.25">
      <c r="AF30" s="15"/>
      <c r="AG30" s="15"/>
      <c r="AH30" s="14"/>
      <c r="AI30" s="6"/>
    </row>
    <row r="31" spans="1:42" x14ac:dyDescent="0.25">
      <c r="Z31" s="16"/>
      <c r="AA31" s="16"/>
      <c r="AB31" s="16"/>
      <c r="AC31" s="16"/>
      <c r="AD31" s="16"/>
      <c r="AF31" s="7"/>
      <c r="AG31" s="7"/>
      <c r="AH31" s="7"/>
      <c r="AI31" s="7"/>
      <c r="AJ31" s="16"/>
      <c r="AK31" s="16"/>
      <c r="AL31" s="16"/>
      <c r="AM31" s="16"/>
      <c r="AN31" s="16"/>
      <c r="AO31" s="16"/>
      <c r="AP31" s="16"/>
    </row>
    <row r="32" spans="1:42" x14ac:dyDescent="0.25">
      <c r="A32" s="8" t="s">
        <v>13</v>
      </c>
      <c r="B32" t="s">
        <v>14</v>
      </c>
      <c r="C32" t="s">
        <v>15</v>
      </c>
      <c r="D32" t="s">
        <v>16</v>
      </c>
      <c r="E32" t="s">
        <v>17</v>
      </c>
      <c r="F32" t="s">
        <v>18</v>
      </c>
      <c r="G32" t="s">
        <v>19</v>
      </c>
      <c r="H32" t="s">
        <v>55</v>
      </c>
      <c r="I32" t="s">
        <v>20</v>
      </c>
      <c r="M32" s="9"/>
      <c r="N32" s="3"/>
      <c r="Q32" s="3"/>
      <c r="R32" s="3"/>
    </row>
    <row r="33" spans="1:42" x14ac:dyDescent="0.25">
      <c r="A33" s="1">
        <v>0</v>
      </c>
      <c r="B33" s="1">
        <v>398.29199999999997</v>
      </c>
      <c r="C33" s="1">
        <v>433.4</v>
      </c>
      <c r="D33" s="1">
        <v>433.4</v>
      </c>
      <c r="E33" s="1">
        <v>433.4</v>
      </c>
      <c r="F33" s="9">
        <v>3</v>
      </c>
      <c r="G33" s="9">
        <v>0</v>
      </c>
      <c r="H33" s="1">
        <v>433.4</v>
      </c>
      <c r="I33" s="1">
        <v>433.4</v>
      </c>
      <c r="J33" s="1"/>
      <c r="M33" s="9"/>
      <c r="N33" s="3"/>
      <c r="Q33" s="3"/>
      <c r="R33" s="3"/>
      <c r="AA33" s="9"/>
      <c r="AB33" s="9"/>
      <c r="AC33" s="9"/>
      <c r="AD33" s="9"/>
      <c r="AG33" s="9"/>
      <c r="AH33" s="9"/>
      <c r="AJ33" s="2"/>
      <c r="AK33" s="2"/>
      <c r="AL33" s="2"/>
      <c r="AM33" s="2"/>
      <c r="AN33" s="9"/>
      <c r="AO33" s="9"/>
      <c r="AP33" s="9"/>
    </row>
    <row r="34" spans="1:42" x14ac:dyDescent="0.25">
      <c r="A34" s="1">
        <v>5.1333299999999999</v>
      </c>
      <c r="B34" s="1">
        <v>397.44799999999998</v>
      </c>
      <c r="C34" s="1">
        <v>430.23700000000002</v>
      </c>
      <c r="D34" s="1">
        <v>433.03800000000001</v>
      </c>
      <c r="E34" s="1">
        <v>433.31799999999998</v>
      </c>
      <c r="F34" s="9">
        <v>3</v>
      </c>
      <c r="G34" s="9">
        <v>0</v>
      </c>
      <c r="H34" s="1">
        <v>424.98200000000003</v>
      </c>
      <c r="I34" s="1">
        <v>430.97300000000001</v>
      </c>
      <c r="J34" s="1"/>
      <c r="M34" s="9"/>
      <c r="N34" s="3"/>
      <c r="Q34" s="3"/>
      <c r="R34" s="3"/>
      <c r="AA34" s="9"/>
      <c r="AB34" s="9"/>
      <c r="AC34" s="9"/>
      <c r="AD34" s="9"/>
      <c r="AG34" s="9"/>
      <c r="AH34" s="9"/>
      <c r="AJ34" s="2"/>
      <c r="AK34" s="2"/>
      <c r="AL34" s="2"/>
      <c r="AM34" s="2"/>
      <c r="AN34" s="9"/>
      <c r="AO34" s="9"/>
      <c r="AP34" s="9"/>
    </row>
    <row r="35" spans="1:42" x14ac:dyDescent="0.25">
      <c r="A35" s="1">
        <v>10.2667</v>
      </c>
      <c r="B35" s="1">
        <v>397.30700000000002</v>
      </c>
      <c r="C35" s="1">
        <v>427.12200000000001</v>
      </c>
      <c r="D35" s="1">
        <v>432.76499999999999</v>
      </c>
      <c r="E35" s="1">
        <v>433.22399999999999</v>
      </c>
      <c r="F35" s="9">
        <v>3</v>
      </c>
      <c r="G35" s="9">
        <v>0</v>
      </c>
      <c r="H35" s="1">
        <v>421.91800000000001</v>
      </c>
      <c r="I35" s="1">
        <v>430.70100000000002</v>
      </c>
      <c r="J35" s="1"/>
      <c r="M35" s="9"/>
      <c r="N35" s="3"/>
      <c r="Q35" s="3"/>
      <c r="R35" s="3"/>
      <c r="AA35" s="9"/>
      <c r="AB35" s="9"/>
      <c r="AC35" s="9"/>
      <c r="AD35" s="9"/>
      <c r="AG35" s="9"/>
      <c r="AH35" s="9"/>
      <c r="AJ35" s="2"/>
      <c r="AK35" s="2"/>
      <c r="AL35" s="2"/>
      <c r="AM35" s="2"/>
      <c r="AN35" s="9"/>
      <c r="AO35" s="9"/>
      <c r="AP35" s="9"/>
    </row>
    <row r="36" spans="1:42" x14ac:dyDescent="0.25">
      <c r="A36" s="1">
        <v>15.4</v>
      </c>
      <c r="B36" s="1">
        <v>397.166</v>
      </c>
      <c r="C36" s="1">
        <v>424.01900000000001</v>
      </c>
      <c r="D36" s="1">
        <v>432.49299999999999</v>
      </c>
      <c r="E36" s="1">
        <v>433.09100000000001</v>
      </c>
      <c r="F36" s="9">
        <v>3</v>
      </c>
      <c r="G36" s="9">
        <v>0</v>
      </c>
      <c r="H36" s="1">
        <v>418.89499999999998</v>
      </c>
      <c r="I36" s="1">
        <v>430.43</v>
      </c>
      <c r="J36" s="1"/>
      <c r="M36" s="9"/>
      <c r="N36" s="3"/>
      <c r="Q36" s="3"/>
      <c r="R36" s="3"/>
      <c r="AA36" s="9"/>
      <c r="AB36" s="9"/>
      <c r="AC36" s="9"/>
      <c r="AD36" s="9"/>
      <c r="AG36" s="9"/>
      <c r="AH36" s="9"/>
      <c r="AJ36" s="2"/>
      <c r="AK36" s="2"/>
      <c r="AL36" s="2"/>
      <c r="AM36" s="2"/>
      <c r="AN36" s="9"/>
      <c r="AO36" s="9"/>
      <c r="AP36" s="9"/>
    </row>
    <row r="37" spans="1:42" x14ac:dyDescent="0.25">
      <c r="A37" s="1">
        <v>20.533300000000001</v>
      </c>
      <c r="B37" s="1">
        <v>397.02600000000001</v>
      </c>
      <c r="C37" s="1">
        <v>422.375</v>
      </c>
      <c r="D37" s="1">
        <v>432.22</v>
      </c>
      <c r="E37" s="1">
        <v>432.96</v>
      </c>
      <c r="F37" s="9">
        <v>3</v>
      </c>
      <c r="G37" s="9">
        <v>0</v>
      </c>
      <c r="H37" s="1">
        <v>417.29399999999998</v>
      </c>
      <c r="I37" s="1">
        <v>430.15899999999999</v>
      </c>
      <c r="J37" s="1"/>
      <c r="M37" s="9"/>
      <c r="N37" s="3"/>
      <c r="Q37" s="3"/>
      <c r="R37" s="3"/>
      <c r="AA37" s="9"/>
      <c r="AB37" s="9"/>
      <c r="AC37" s="9"/>
      <c r="AD37" s="9"/>
      <c r="AG37" s="9"/>
      <c r="AH37" s="9"/>
      <c r="AJ37" s="2"/>
      <c r="AK37" s="2"/>
      <c r="AL37" s="2"/>
      <c r="AM37" s="2"/>
      <c r="AN37" s="9"/>
      <c r="AO37" s="9"/>
      <c r="AP37" s="9"/>
    </row>
    <row r="38" spans="1:42" x14ac:dyDescent="0.25">
      <c r="A38" s="1">
        <v>25.666699999999999</v>
      </c>
      <c r="B38" s="1">
        <v>396.88600000000002</v>
      </c>
      <c r="C38" s="1">
        <v>421.56400000000002</v>
      </c>
      <c r="D38" s="1">
        <v>431.947</v>
      </c>
      <c r="E38" s="1">
        <v>432.82900000000001</v>
      </c>
      <c r="F38" s="9">
        <v>3</v>
      </c>
      <c r="G38" s="9">
        <v>0</v>
      </c>
      <c r="H38" s="1">
        <v>416.50400000000002</v>
      </c>
      <c r="I38" s="1">
        <v>429.88900000000001</v>
      </c>
      <c r="J38" s="1"/>
      <c r="M38" s="9"/>
      <c r="N38" s="3"/>
      <c r="Q38" s="3"/>
      <c r="R38" s="3"/>
      <c r="AA38" s="9"/>
      <c r="AB38" s="9"/>
      <c r="AC38" s="9"/>
      <c r="AD38" s="9"/>
      <c r="AG38" s="9"/>
      <c r="AH38" s="9"/>
      <c r="AJ38" s="2"/>
      <c r="AK38" s="2"/>
      <c r="AL38" s="2"/>
      <c r="AM38" s="2"/>
      <c r="AN38" s="9"/>
      <c r="AO38" s="9"/>
      <c r="AP38" s="9"/>
    </row>
    <row r="39" spans="1:42" x14ac:dyDescent="0.25">
      <c r="A39" s="1">
        <v>30.8</v>
      </c>
      <c r="B39" s="1">
        <v>321.411</v>
      </c>
      <c r="C39" s="1">
        <v>420.08199999999999</v>
      </c>
      <c r="D39" s="1">
        <v>431.65199999999999</v>
      </c>
      <c r="E39" s="1">
        <v>432.67899999999997</v>
      </c>
      <c r="F39" s="9">
        <v>10</v>
      </c>
      <c r="G39" s="9">
        <v>0</v>
      </c>
      <c r="H39" s="1">
        <v>410.04599999999999</v>
      </c>
      <c r="I39" s="1">
        <v>428.98700000000002</v>
      </c>
      <c r="J39" s="1"/>
      <c r="M39" s="9"/>
      <c r="N39" s="3"/>
      <c r="Q39" s="3"/>
      <c r="R39" s="3"/>
      <c r="AA39" s="9"/>
      <c r="AB39" s="9"/>
      <c r="AC39" s="9"/>
      <c r="AD39" s="9"/>
      <c r="AG39" s="9"/>
      <c r="AH39" s="9"/>
      <c r="AJ39" s="2"/>
      <c r="AK39" s="2"/>
      <c r="AL39" s="2"/>
      <c r="AM39" s="2"/>
      <c r="AN39" s="9"/>
      <c r="AO39" s="9"/>
      <c r="AP39" s="9"/>
    </row>
    <row r="40" spans="1:42" x14ac:dyDescent="0.25">
      <c r="A40" s="1">
        <v>35.933300000000003</v>
      </c>
      <c r="B40" s="1">
        <v>321.19</v>
      </c>
      <c r="C40" s="1">
        <v>414.79399999999998</v>
      </c>
      <c r="D40" s="1">
        <v>431.26299999999998</v>
      </c>
      <c r="E40" s="1">
        <v>432.49799999999999</v>
      </c>
      <c r="F40" s="9">
        <v>10</v>
      </c>
      <c r="G40" s="9">
        <v>0</v>
      </c>
      <c r="H40" s="1">
        <v>405.07600000000002</v>
      </c>
      <c r="I40" s="1">
        <v>428.601</v>
      </c>
      <c r="J40" s="1"/>
      <c r="M40" s="9"/>
      <c r="N40" s="3"/>
      <c r="Q40" s="3"/>
      <c r="R40" s="3"/>
      <c r="AA40" s="9"/>
      <c r="AB40" s="9"/>
      <c r="AC40" s="9"/>
      <c r="AD40" s="9"/>
      <c r="AG40" s="9"/>
      <c r="AH40" s="9"/>
      <c r="AJ40" s="2"/>
      <c r="AK40" s="2"/>
      <c r="AL40" s="2"/>
      <c r="AM40" s="2"/>
      <c r="AN40" s="9"/>
      <c r="AO40" s="9"/>
      <c r="AP40" s="9"/>
    </row>
    <row r="41" spans="1:42" x14ac:dyDescent="0.25">
      <c r="A41" s="1">
        <v>41.066699999999997</v>
      </c>
      <c r="B41" s="1">
        <v>320.98399999999998</v>
      </c>
      <c r="C41" s="1">
        <v>409.67599999999999</v>
      </c>
      <c r="D41" s="1">
        <v>430.88799999999998</v>
      </c>
      <c r="E41" s="1">
        <v>432.31700000000001</v>
      </c>
      <c r="F41" s="9">
        <v>10</v>
      </c>
      <c r="G41" s="9">
        <v>0</v>
      </c>
      <c r="H41" s="1">
        <v>400.16899999999998</v>
      </c>
      <c r="I41" s="1">
        <v>428.23</v>
      </c>
      <c r="J41" s="1"/>
      <c r="M41" s="9"/>
      <c r="N41" s="3"/>
      <c r="Q41" s="3"/>
      <c r="R41" s="3"/>
      <c r="AA41" s="9"/>
      <c r="AB41" s="9"/>
      <c r="AC41" s="9"/>
      <c r="AD41" s="9"/>
      <c r="AG41" s="9"/>
      <c r="AH41" s="9"/>
      <c r="AJ41" s="2"/>
      <c r="AK41" s="2"/>
      <c r="AL41" s="2"/>
      <c r="AM41" s="2"/>
      <c r="AN41" s="9"/>
      <c r="AO41" s="9"/>
      <c r="AP41" s="9"/>
    </row>
    <row r="42" spans="1:42" x14ac:dyDescent="0.25">
      <c r="A42" s="1">
        <v>46.2</v>
      </c>
      <c r="B42" s="1">
        <v>320.78500000000003</v>
      </c>
      <c r="C42" s="1">
        <v>404.62400000000002</v>
      </c>
      <c r="D42" s="1">
        <v>430.51499999999999</v>
      </c>
      <c r="E42" s="1">
        <v>432.13600000000002</v>
      </c>
      <c r="F42" s="9">
        <v>10</v>
      </c>
      <c r="G42" s="9">
        <v>0</v>
      </c>
      <c r="H42" s="1">
        <v>395.37099999999998</v>
      </c>
      <c r="I42" s="1">
        <v>427.858</v>
      </c>
      <c r="J42" s="1"/>
      <c r="M42" s="9"/>
      <c r="N42" s="3"/>
      <c r="Q42" s="3"/>
      <c r="R42" s="3"/>
      <c r="AA42" s="9"/>
      <c r="AB42" s="9"/>
      <c r="AC42" s="9"/>
      <c r="AD42" s="9"/>
      <c r="AG42" s="9"/>
      <c r="AH42" s="9"/>
      <c r="AJ42" s="2"/>
      <c r="AK42" s="2"/>
      <c r="AL42" s="2"/>
      <c r="AM42" s="2"/>
      <c r="AN42" s="9"/>
      <c r="AO42" s="9"/>
      <c r="AP42" s="9"/>
    </row>
    <row r="43" spans="1:42" x14ac:dyDescent="0.25">
      <c r="A43" s="1">
        <v>51.333300000000001</v>
      </c>
      <c r="B43" s="1">
        <v>320.58600000000001</v>
      </c>
      <c r="C43" s="1">
        <v>399.68700000000001</v>
      </c>
      <c r="D43" s="1">
        <v>429.71899999999999</v>
      </c>
      <c r="E43" s="1">
        <v>431.95400000000001</v>
      </c>
      <c r="F43" s="9">
        <v>10</v>
      </c>
      <c r="G43" s="9">
        <v>0</v>
      </c>
      <c r="H43" s="1">
        <v>390.72699999999998</v>
      </c>
      <c r="I43" s="1">
        <v>427.072</v>
      </c>
      <c r="J43" s="1"/>
      <c r="M43" s="9"/>
      <c r="N43" s="3"/>
      <c r="Q43" s="3"/>
      <c r="R43" s="3"/>
      <c r="AA43" s="9"/>
      <c r="AB43" s="9"/>
      <c r="AC43" s="9"/>
      <c r="AD43" s="9"/>
      <c r="AG43" s="9"/>
      <c r="AH43" s="9"/>
      <c r="AJ43" s="2"/>
      <c r="AK43" s="2"/>
      <c r="AL43" s="2"/>
      <c r="AM43" s="2"/>
      <c r="AN43" s="9"/>
      <c r="AO43" s="9"/>
      <c r="AP43" s="9"/>
    </row>
    <row r="44" spans="1:42" x14ac:dyDescent="0.25">
      <c r="A44" s="1">
        <v>56.466700000000003</v>
      </c>
      <c r="B44" s="1">
        <v>320.38299999999998</v>
      </c>
      <c r="C44" s="1">
        <v>394.90800000000002</v>
      </c>
      <c r="D44" s="1">
        <v>428.81900000000002</v>
      </c>
      <c r="E44" s="1">
        <v>431.77300000000002</v>
      </c>
      <c r="F44" s="9">
        <v>10</v>
      </c>
      <c r="G44" s="9">
        <v>0</v>
      </c>
      <c r="H44" s="1">
        <v>386.14100000000002</v>
      </c>
      <c r="I44" s="1">
        <v>426.19299999999998</v>
      </c>
      <c r="J44" s="1"/>
      <c r="M44" s="9"/>
      <c r="N44" s="3"/>
      <c r="Q44" s="3"/>
      <c r="R44" s="3"/>
      <c r="AA44" s="9"/>
      <c r="AB44" s="9"/>
      <c r="AC44" s="9"/>
      <c r="AD44" s="9"/>
      <c r="AG44" s="9"/>
      <c r="AH44" s="9"/>
      <c r="AJ44" s="2"/>
      <c r="AK44" s="2"/>
      <c r="AL44" s="2"/>
      <c r="AM44" s="2"/>
      <c r="AN44" s="9"/>
      <c r="AO44" s="9"/>
      <c r="AP44" s="9"/>
    </row>
    <row r="45" spans="1:42" x14ac:dyDescent="0.25">
      <c r="A45" s="1">
        <v>61.6</v>
      </c>
      <c r="B45" s="1">
        <v>320.18299999999999</v>
      </c>
      <c r="C45" s="1">
        <v>390.19</v>
      </c>
      <c r="D45" s="1">
        <v>427.93200000000002</v>
      </c>
      <c r="E45" s="1">
        <v>431.59199999999998</v>
      </c>
      <c r="F45" s="9">
        <v>10</v>
      </c>
      <c r="G45" s="9">
        <v>0</v>
      </c>
      <c r="H45" s="1">
        <v>381.65800000000002</v>
      </c>
      <c r="I45" s="1">
        <v>425.30900000000003</v>
      </c>
      <c r="J45" s="1"/>
      <c r="M45" s="9"/>
      <c r="N45" s="3"/>
      <c r="Q45" s="3"/>
      <c r="R45" s="3"/>
      <c r="AA45" s="9"/>
      <c r="AB45" s="9"/>
      <c r="AC45" s="9"/>
      <c r="AD45" s="9"/>
      <c r="AG45" s="9"/>
      <c r="AH45" s="9"/>
      <c r="AJ45" s="2"/>
      <c r="AK45" s="2"/>
      <c r="AL45" s="2"/>
      <c r="AM45" s="2"/>
      <c r="AN45" s="9"/>
      <c r="AO45" s="9"/>
      <c r="AP45" s="9"/>
    </row>
    <row r="46" spans="1:42" x14ac:dyDescent="0.25">
      <c r="A46" s="1">
        <v>66.7333</v>
      </c>
      <c r="B46" s="1">
        <v>319.983</v>
      </c>
      <c r="C46" s="1">
        <v>385.57900000000001</v>
      </c>
      <c r="D46" s="1">
        <v>427.03800000000001</v>
      </c>
      <c r="E46" s="1">
        <v>431.411</v>
      </c>
      <c r="F46" s="9">
        <v>10</v>
      </c>
      <c r="G46" s="9">
        <v>0</v>
      </c>
      <c r="H46" s="1">
        <v>377.31799999999998</v>
      </c>
      <c r="I46" s="1">
        <v>424.428</v>
      </c>
      <c r="J46" s="1"/>
      <c r="M46" s="9"/>
      <c r="N46" s="3"/>
      <c r="Q46" s="3"/>
      <c r="R46" s="3"/>
      <c r="AA46" s="9"/>
      <c r="AB46" s="9"/>
      <c r="AC46" s="9"/>
      <c r="AD46" s="9"/>
      <c r="AG46" s="9"/>
      <c r="AH46" s="9"/>
      <c r="AJ46" s="2"/>
      <c r="AK46" s="2"/>
      <c r="AL46" s="2"/>
      <c r="AM46" s="2"/>
      <c r="AN46" s="9"/>
      <c r="AO46" s="9"/>
      <c r="AP46" s="9"/>
    </row>
    <row r="47" spans="1:42" x14ac:dyDescent="0.25">
      <c r="A47" s="1">
        <v>71.866699999999994</v>
      </c>
      <c r="B47" s="1">
        <v>319.78899999999999</v>
      </c>
      <c r="C47" s="1">
        <v>381.11599999999999</v>
      </c>
      <c r="D47" s="1">
        <v>426.53</v>
      </c>
      <c r="E47" s="1">
        <v>431.21899999999999</v>
      </c>
      <c r="F47" s="9">
        <v>10</v>
      </c>
      <c r="G47" s="9">
        <v>0</v>
      </c>
      <c r="H47" s="1">
        <v>373.03199999999998</v>
      </c>
      <c r="I47" s="1">
        <v>423.92399999999998</v>
      </c>
      <c r="J47" s="1"/>
      <c r="M47" s="9"/>
      <c r="N47" s="3"/>
      <c r="Q47" s="3"/>
      <c r="R47" s="3"/>
      <c r="AA47" s="9"/>
      <c r="AB47" s="9"/>
      <c r="AC47" s="9"/>
      <c r="AD47" s="9"/>
      <c r="AG47" s="9"/>
      <c r="AH47" s="9"/>
      <c r="AJ47" s="2"/>
      <c r="AK47" s="2"/>
      <c r="AL47" s="2"/>
      <c r="AM47" s="2"/>
      <c r="AN47" s="9"/>
      <c r="AO47" s="9"/>
      <c r="AP47" s="9"/>
    </row>
    <row r="48" spans="1:42" x14ac:dyDescent="0.25">
      <c r="A48" s="1">
        <v>77</v>
      </c>
      <c r="B48" s="1">
        <v>319.596</v>
      </c>
      <c r="C48" s="1">
        <v>376.71</v>
      </c>
      <c r="D48" s="1">
        <v>426.13400000000001</v>
      </c>
      <c r="E48" s="1">
        <v>431.03699999999998</v>
      </c>
      <c r="F48" s="9">
        <v>10</v>
      </c>
      <c r="G48" s="9">
        <v>0</v>
      </c>
      <c r="H48" s="1">
        <v>368.84300000000002</v>
      </c>
      <c r="I48" s="1">
        <v>423.53300000000002</v>
      </c>
      <c r="J48" s="1"/>
      <c r="M48" s="9"/>
      <c r="N48" s="3"/>
      <c r="Q48" s="3"/>
      <c r="R48" s="3"/>
      <c r="AA48" s="9"/>
      <c r="AB48" s="9"/>
      <c r="AC48" s="9"/>
      <c r="AD48" s="9"/>
      <c r="AG48" s="9"/>
      <c r="AH48" s="9"/>
      <c r="AJ48" s="2"/>
      <c r="AK48" s="2"/>
      <c r="AL48" s="2"/>
      <c r="AM48" s="2"/>
      <c r="AN48" s="9"/>
      <c r="AO48" s="9"/>
      <c r="AP48" s="9"/>
    </row>
    <row r="49" spans="1:42" x14ac:dyDescent="0.25">
      <c r="A49" s="1">
        <v>82.133300000000006</v>
      </c>
      <c r="B49" s="1">
        <v>319.40199999999999</v>
      </c>
      <c r="C49" s="1">
        <v>372.404</v>
      </c>
      <c r="D49" s="1">
        <v>425.74099999999999</v>
      </c>
      <c r="E49" s="1">
        <v>430.85599999999999</v>
      </c>
      <c r="F49" s="9">
        <v>10</v>
      </c>
      <c r="G49" s="9">
        <v>0</v>
      </c>
      <c r="H49" s="1">
        <v>364.786</v>
      </c>
      <c r="I49" s="1">
        <v>423.14499999999998</v>
      </c>
      <c r="J49" s="1"/>
      <c r="M49" s="9"/>
      <c r="N49" s="3"/>
      <c r="Q49" s="3"/>
      <c r="R49" s="3"/>
      <c r="AA49" s="9"/>
      <c r="AB49" s="9"/>
      <c r="AC49" s="9"/>
      <c r="AD49" s="9"/>
      <c r="AG49" s="9"/>
      <c r="AH49" s="9"/>
      <c r="AJ49" s="2"/>
      <c r="AK49" s="2"/>
      <c r="AL49" s="2"/>
      <c r="AM49" s="2"/>
      <c r="AN49" s="9"/>
      <c r="AO49" s="9"/>
      <c r="AP49" s="9"/>
    </row>
    <row r="50" spans="1:42" x14ac:dyDescent="0.25">
      <c r="A50" s="1">
        <v>87.2667</v>
      </c>
      <c r="B50" s="1">
        <v>319.20499999999998</v>
      </c>
      <c r="C50" s="1">
        <v>368.23500000000001</v>
      </c>
      <c r="D50" s="1">
        <v>425.34500000000003</v>
      </c>
      <c r="E50" s="1">
        <v>430.67500000000001</v>
      </c>
      <c r="F50" s="9">
        <v>10</v>
      </c>
      <c r="G50" s="9">
        <v>0</v>
      </c>
      <c r="H50" s="1">
        <v>360.78100000000001</v>
      </c>
      <c r="I50" s="1">
        <v>422.75299999999999</v>
      </c>
      <c r="J50" s="1"/>
      <c r="M50" s="9"/>
      <c r="N50" s="3"/>
      <c r="Q50" s="3"/>
      <c r="R50" s="3"/>
      <c r="AA50" s="9"/>
      <c r="AB50" s="9"/>
      <c r="AC50" s="9"/>
      <c r="AD50" s="9"/>
      <c r="AG50" s="9"/>
      <c r="AH50" s="9"/>
      <c r="AJ50" s="2"/>
      <c r="AK50" s="2"/>
      <c r="AL50" s="2"/>
      <c r="AM50" s="2"/>
      <c r="AN50" s="9"/>
      <c r="AO50" s="9"/>
      <c r="AP50" s="9"/>
    </row>
    <row r="51" spans="1:42" x14ac:dyDescent="0.25">
      <c r="A51" s="1">
        <v>92.4</v>
      </c>
      <c r="B51" s="1">
        <v>319.00599999999997</v>
      </c>
      <c r="C51" s="1">
        <v>364.12</v>
      </c>
      <c r="D51" s="1">
        <v>424.94900000000001</v>
      </c>
      <c r="E51" s="1">
        <v>430.49299999999999</v>
      </c>
      <c r="F51" s="9">
        <v>10</v>
      </c>
      <c r="G51" s="9">
        <v>0</v>
      </c>
      <c r="H51" s="1">
        <v>356.86599999999999</v>
      </c>
      <c r="I51" s="1">
        <v>422.36099999999999</v>
      </c>
      <c r="J51" s="1"/>
      <c r="M51" s="9"/>
      <c r="N51" s="3"/>
      <c r="Q51" s="3"/>
      <c r="R51" s="3"/>
      <c r="AA51" s="9"/>
      <c r="AB51" s="9"/>
      <c r="AC51" s="9"/>
      <c r="AD51" s="9"/>
      <c r="AG51" s="9"/>
      <c r="AH51" s="9"/>
      <c r="AJ51" s="2"/>
      <c r="AK51" s="2"/>
      <c r="AL51" s="2"/>
      <c r="AM51" s="2"/>
      <c r="AN51" s="9"/>
      <c r="AO51" s="9"/>
      <c r="AP51" s="9"/>
    </row>
    <row r="52" spans="1:42" x14ac:dyDescent="0.25">
      <c r="A52" s="1">
        <v>97.533299999999997</v>
      </c>
      <c r="B52" s="1">
        <v>318.81200000000001</v>
      </c>
      <c r="C52" s="1">
        <v>360.09899999999999</v>
      </c>
      <c r="D52" s="1">
        <v>424.553</v>
      </c>
      <c r="E52" s="1">
        <v>430.31200000000001</v>
      </c>
      <c r="F52" s="9">
        <v>10</v>
      </c>
      <c r="G52" s="9">
        <v>0</v>
      </c>
      <c r="H52" s="1">
        <v>353.07499999999999</v>
      </c>
      <c r="I52" s="1">
        <v>421.97</v>
      </c>
      <c r="J52" s="1"/>
      <c r="M52" s="9"/>
      <c r="N52" s="3"/>
      <c r="Q52" s="3"/>
      <c r="R52" s="3"/>
      <c r="AA52" s="9"/>
      <c r="AB52" s="9"/>
      <c r="AC52" s="9"/>
      <c r="AD52" s="9"/>
      <c r="AG52" s="9"/>
      <c r="AH52" s="9"/>
      <c r="AJ52" s="2"/>
      <c r="AK52" s="2"/>
      <c r="AL52" s="2"/>
      <c r="AM52" s="2"/>
      <c r="AN52" s="9"/>
      <c r="AO52" s="9"/>
      <c r="AP52" s="9"/>
    </row>
    <row r="53" spans="1:42" x14ac:dyDescent="0.25">
      <c r="A53" s="1">
        <v>102.667</v>
      </c>
      <c r="B53" s="1">
        <v>318.61900000000003</v>
      </c>
      <c r="C53" s="1">
        <v>356.20499999999998</v>
      </c>
      <c r="D53" s="1">
        <v>424.15899999999999</v>
      </c>
      <c r="E53" s="1">
        <v>430.13099999999997</v>
      </c>
      <c r="F53" s="9">
        <v>10</v>
      </c>
      <c r="G53" s="9">
        <v>0</v>
      </c>
      <c r="H53" s="1">
        <v>349.33199999999999</v>
      </c>
      <c r="I53" s="1">
        <v>421.58</v>
      </c>
      <c r="J53" s="1"/>
      <c r="M53" s="9"/>
      <c r="N53" s="3"/>
      <c r="Q53" s="3"/>
      <c r="R53" s="3"/>
      <c r="AA53" s="9"/>
      <c r="AB53" s="9"/>
      <c r="AC53" s="9"/>
      <c r="AD53" s="9"/>
      <c r="AG53" s="9"/>
      <c r="AH53" s="9"/>
      <c r="AJ53" s="2"/>
      <c r="AK53" s="2"/>
      <c r="AL53" s="2"/>
      <c r="AM53" s="2"/>
      <c r="AN53" s="9"/>
      <c r="AO53" s="9"/>
      <c r="AP53" s="9"/>
    </row>
    <row r="54" spans="1:42" x14ac:dyDescent="0.25">
      <c r="A54" s="1">
        <v>107.8</v>
      </c>
      <c r="B54" s="1">
        <v>318.42899999999997</v>
      </c>
      <c r="C54" s="1">
        <v>352.36200000000002</v>
      </c>
      <c r="D54" s="1">
        <v>423.76499999999999</v>
      </c>
      <c r="E54" s="1">
        <v>429.94900000000001</v>
      </c>
      <c r="F54" s="9">
        <v>10</v>
      </c>
      <c r="G54" s="9">
        <v>0</v>
      </c>
      <c r="H54" s="1">
        <v>345.673</v>
      </c>
      <c r="I54" s="1">
        <v>421.19099999999997</v>
      </c>
      <c r="J54" s="1"/>
      <c r="M54" s="9"/>
      <c r="N54" s="3"/>
      <c r="Q54" s="3"/>
      <c r="R54" s="3"/>
      <c r="AA54" s="9"/>
      <c r="AB54" s="9"/>
      <c r="AC54" s="9"/>
      <c r="AD54" s="9"/>
      <c r="AG54" s="9"/>
      <c r="AH54" s="9"/>
      <c r="AJ54" s="2"/>
      <c r="AK54" s="2"/>
      <c r="AL54" s="2"/>
      <c r="AM54" s="2"/>
      <c r="AN54" s="9"/>
      <c r="AO54" s="9"/>
      <c r="AP54" s="9"/>
    </row>
    <row r="55" spans="1:42" x14ac:dyDescent="0.25">
      <c r="A55" s="1">
        <v>112.93300000000001</v>
      </c>
      <c r="B55" s="1">
        <v>318.24400000000003</v>
      </c>
      <c r="C55" s="1">
        <v>348.60700000000003</v>
      </c>
      <c r="D55" s="1">
        <v>423.37200000000001</v>
      </c>
      <c r="E55" s="1">
        <v>429.76799999999997</v>
      </c>
      <c r="F55" s="9">
        <v>10</v>
      </c>
      <c r="G55" s="9">
        <v>0</v>
      </c>
      <c r="H55" s="1">
        <v>342.13099999999997</v>
      </c>
      <c r="I55" s="1">
        <v>420.803</v>
      </c>
      <c r="J55" s="1"/>
      <c r="M55" s="9"/>
      <c r="N55" s="3"/>
      <c r="Q55" s="3"/>
      <c r="R55" s="3"/>
      <c r="AA55" s="9"/>
      <c r="AB55" s="9"/>
      <c r="AC55" s="9"/>
      <c r="AD55" s="9"/>
      <c r="AG55" s="9"/>
      <c r="AH55" s="9"/>
      <c r="AJ55" s="2"/>
      <c r="AK55" s="2"/>
      <c r="AL55" s="2"/>
      <c r="AM55" s="2"/>
      <c r="AN55" s="9"/>
      <c r="AO55" s="9"/>
      <c r="AP55" s="9"/>
    </row>
    <row r="56" spans="1:42" x14ac:dyDescent="0.25">
      <c r="A56" s="1">
        <v>118.06699999999999</v>
      </c>
      <c r="B56" s="1">
        <v>318.05500000000001</v>
      </c>
      <c r="C56" s="1">
        <v>344.971</v>
      </c>
      <c r="D56" s="1">
        <v>422.98</v>
      </c>
      <c r="E56" s="1">
        <v>429.58600000000001</v>
      </c>
      <c r="F56" s="9">
        <v>10</v>
      </c>
      <c r="G56" s="9">
        <v>0</v>
      </c>
      <c r="H56" s="1">
        <v>338.63299999999998</v>
      </c>
      <c r="I56" s="1">
        <v>420.41500000000002</v>
      </c>
      <c r="J56" s="1"/>
      <c r="M56" s="9"/>
      <c r="N56" s="3"/>
      <c r="Q56" s="3"/>
      <c r="R56" s="3"/>
      <c r="AA56" s="9"/>
      <c r="AB56" s="9"/>
      <c r="AC56" s="9"/>
      <c r="AD56" s="9"/>
      <c r="AG56" s="9"/>
      <c r="AH56" s="9"/>
      <c r="AJ56" s="2"/>
      <c r="AK56" s="2"/>
      <c r="AL56" s="2"/>
      <c r="AM56" s="2"/>
      <c r="AN56" s="9"/>
      <c r="AO56" s="9"/>
      <c r="AP56" s="9"/>
    </row>
    <row r="57" spans="1:42" x14ac:dyDescent="0.25">
      <c r="A57" s="1">
        <v>123.2</v>
      </c>
      <c r="B57" s="1">
        <v>317.86700000000002</v>
      </c>
      <c r="C57" s="1">
        <v>341.38200000000001</v>
      </c>
      <c r="D57" s="1">
        <v>422.34199999999998</v>
      </c>
      <c r="E57" s="1">
        <v>429.40499999999997</v>
      </c>
      <c r="F57" s="9">
        <v>10</v>
      </c>
      <c r="G57" s="9">
        <v>0</v>
      </c>
      <c r="H57" s="1">
        <v>335.214</v>
      </c>
      <c r="I57" s="1">
        <v>419.78300000000002</v>
      </c>
      <c r="J57" s="1"/>
      <c r="M57" s="9"/>
      <c r="N57" s="3"/>
      <c r="Q57" s="3"/>
      <c r="R57" s="3"/>
      <c r="AA57" s="9"/>
      <c r="AB57" s="9"/>
      <c r="AC57" s="9"/>
      <c r="AD57" s="9"/>
      <c r="AG57" s="9"/>
      <c r="AH57" s="9"/>
      <c r="AJ57" s="2"/>
      <c r="AK57" s="2"/>
      <c r="AL57" s="2"/>
      <c r="AM57" s="2"/>
      <c r="AN57" s="9"/>
      <c r="AO57" s="9"/>
      <c r="AP57" s="9"/>
    </row>
    <row r="58" spans="1:42" x14ac:dyDescent="0.25">
      <c r="A58" s="1">
        <v>128.333</v>
      </c>
      <c r="B58" s="1">
        <v>317.67899999999997</v>
      </c>
      <c r="C58" s="1">
        <v>337.87400000000002</v>
      </c>
      <c r="D58" s="1">
        <v>421.452</v>
      </c>
      <c r="E58" s="1">
        <v>429.22300000000001</v>
      </c>
      <c r="F58" s="9">
        <v>10</v>
      </c>
      <c r="G58" s="9">
        <v>0</v>
      </c>
      <c r="H58" s="1">
        <v>331.904</v>
      </c>
      <c r="I58" s="1">
        <v>418.90499999999997</v>
      </c>
      <c r="J58" s="1"/>
      <c r="M58" s="9"/>
      <c r="N58" s="3"/>
      <c r="Q58" s="3"/>
      <c r="R58" s="3"/>
      <c r="AA58" s="9"/>
      <c r="AB58" s="9"/>
      <c r="AC58" s="9"/>
      <c r="AD58" s="9"/>
      <c r="AG58" s="9"/>
      <c r="AH58" s="9"/>
      <c r="AJ58" s="2"/>
      <c r="AK58" s="2"/>
      <c r="AL58" s="2"/>
      <c r="AM58" s="2"/>
      <c r="AN58" s="9"/>
      <c r="AO58" s="9"/>
      <c r="AP58" s="9"/>
    </row>
    <row r="59" spans="1:42" x14ac:dyDescent="0.25">
      <c r="A59" s="1">
        <v>133.46700000000001</v>
      </c>
      <c r="B59" s="1" t="s">
        <v>57</v>
      </c>
      <c r="C59" s="1">
        <v>327.40300000000002</v>
      </c>
      <c r="D59" s="1">
        <v>420.827</v>
      </c>
      <c r="E59" s="1">
        <v>429.09399999999999</v>
      </c>
      <c r="F59" s="9">
        <v>7.0644100000000001E-2</v>
      </c>
      <c r="G59" s="9">
        <v>0.70521800000000001</v>
      </c>
      <c r="H59" s="1">
        <v>161.68600000000001</v>
      </c>
      <c r="I59" s="1">
        <v>420.822</v>
      </c>
      <c r="J59" s="1"/>
      <c r="M59" s="9"/>
      <c r="N59" s="3"/>
      <c r="Q59" s="3"/>
      <c r="R59" s="3"/>
      <c r="AA59" s="9"/>
      <c r="AB59" s="9"/>
      <c r="AC59" s="9"/>
      <c r="AD59" s="9"/>
      <c r="AG59" s="9"/>
      <c r="AH59" s="9"/>
      <c r="AJ59" s="2"/>
      <c r="AK59" s="2"/>
      <c r="AL59" s="2"/>
      <c r="AM59" s="2"/>
      <c r="AN59" s="9"/>
      <c r="AO59" s="9"/>
      <c r="AP59" s="9"/>
    </row>
    <row r="60" spans="1:42" x14ac:dyDescent="0.25">
      <c r="A60" s="1">
        <v>138.6</v>
      </c>
      <c r="B60" s="1" t="s">
        <v>57</v>
      </c>
      <c r="C60" s="1">
        <v>298.87</v>
      </c>
      <c r="D60" s="1">
        <v>420.827</v>
      </c>
      <c r="E60" s="1">
        <v>429.09399999999999</v>
      </c>
      <c r="F60" s="9">
        <v>7.8425300000000003E-2</v>
      </c>
      <c r="G60" s="9">
        <v>1.7701800000000001</v>
      </c>
      <c r="H60" s="1">
        <v>152.78100000000001</v>
      </c>
      <c r="I60" s="1">
        <v>420.81299999999999</v>
      </c>
      <c r="J60" s="1"/>
      <c r="M60" s="9"/>
      <c r="N60" s="3"/>
      <c r="Q60" s="3"/>
      <c r="R60" s="3"/>
      <c r="AA60" s="9"/>
      <c r="AB60" s="9"/>
      <c r="AC60" s="9"/>
      <c r="AD60" s="9"/>
      <c r="AG60" s="9"/>
      <c r="AH60" s="9"/>
      <c r="AJ60" s="2"/>
      <c r="AK60" s="2"/>
      <c r="AL60" s="2"/>
      <c r="AM60" s="2"/>
      <c r="AN60" s="9"/>
      <c r="AO60" s="9"/>
      <c r="AP60" s="9"/>
    </row>
    <row r="61" spans="1:42" x14ac:dyDescent="0.25">
      <c r="A61" s="1">
        <v>143.733</v>
      </c>
      <c r="B61" s="1" t="s">
        <v>57</v>
      </c>
      <c r="C61" s="1">
        <v>275.053</v>
      </c>
      <c r="D61" s="1">
        <v>420.827</v>
      </c>
      <c r="E61" s="1">
        <v>429.09399999999999</v>
      </c>
      <c r="F61" s="9">
        <v>7.8762399999999996E-2</v>
      </c>
      <c r="G61" s="9">
        <v>2.3845100000000001</v>
      </c>
      <c r="H61" s="1">
        <v>145.13499999999999</v>
      </c>
      <c r="I61" s="1">
        <v>420.80599999999998</v>
      </c>
      <c r="J61" s="1"/>
      <c r="M61" s="9"/>
      <c r="N61" s="3"/>
      <c r="Q61" s="3"/>
      <c r="R61" s="3"/>
      <c r="AA61" s="9"/>
      <c r="AB61" s="9"/>
      <c r="AC61" s="9"/>
      <c r="AD61" s="9"/>
      <c r="AG61" s="9"/>
      <c r="AH61" s="9"/>
      <c r="AJ61" s="2"/>
      <c r="AK61" s="2"/>
      <c r="AL61" s="2"/>
      <c r="AM61" s="2"/>
      <c r="AN61" s="9"/>
      <c r="AO61" s="9"/>
      <c r="AP61" s="9"/>
    </row>
    <row r="62" spans="1:42" x14ac:dyDescent="0.25">
      <c r="A62" s="1">
        <v>148.86699999999999</v>
      </c>
      <c r="B62" s="1" t="s">
        <v>57</v>
      </c>
      <c r="C62" s="1">
        <v>253.863</v>
      </c>
      <c r="D62" s="1">
        <v>420.827</v>
      </c>
      <c r="E62" s="1">
        <v>429.09399999999999</v>
      </c>
      <c r="F62" s="9">
        <v>7.9270400000000005E-2</v>
      </c>
      <c r="G62" s="9">
        <v>2.84592</v>
      </c>
      <c r="H62" s="1">
        <v>138.19300000000001</v>
      </c>
      <c r="I62" s="1">
        <v>420.78899999999999</v>
      </c>
      <c r="J62" s="1"/>
      <c r="M62" s="9"/>
      <c r="N62" s="3"/>
      <c r="Q62" s="3"/>
      <c r="R62" s="3"/>
      <c r="AA62" s="9"/>
      <c r="AB62" s="9"/>
      <c r="AC62" s="9"/>
      <c r="AD62" s="9"/>
      <c r="AG62" s="9"/>
      <c r="AH62" s="9"/>
      <c r="AJ62" s="2"/>
      <c r="AK62" s="2"/>
      <c r="AL62" s="2"/>
      <c r="AM62" s="2"/>
      <c r="AN62" s="9"/>
      <c r="AO62" s="9"/>
      <c r="AP62" s="9"/>
    </row>
    <row r="63" spans="1:42" x14ac:dyDescent="0.25">
      <c r="A63" s="1">
        <v>154</v>
      </c>
      <c r="B63" s="1" t="s">
        <v>57</v>
      </c>
      <c r="C63" s="1">
        <v>235.04499999999999</v>
      </c>
      <c r="D63" s="1">
        <v>420.827</v>
      </c>
      <c r="E63" s="1">
        <v>429.09399999999999</v>
      </c>
      <c r="F63" s="9">
        <v>7.9675399999999993E-2</v>
      </c>
      <c r="G63" s="9">
        <v>3.2262900000000001</v>
      </c>
      <c r="H63" s="1">
        <v>131.739</v>
      </c>
      <c r="I63" s="1">
        <v>420.76100000000002</v>
      </c>
      <c r="J63" s="1"/>
      <c r="M63" s="9"/>
      <c r="N63" s="3"/>
      <c r="Q63" s="3"/>
      <c r="R63" s="3"/>
      <c r="AA63" s="9"/>
      <c r="AB63" s="9"/>
      <c r="AC63" s="9"/>
      <c r="AD63" s="9"/>
      <c r="AG63" s="9"/>
      <c r="AH63" s="9"/>
      <c r="AJ63" s="2"/>
      <c r="AK63" s="2"/>
      <c r="AL63" s="2"/>
      <c r="AM63" s="2"/>
      <c r="AN63" s="9"/>
      <c r="AO63" s="9"/>
      <c r="AP63" s="9"/>
    </row>
    <row r="64" spans="1:42" x14ac:dyDescent="0.25">
      <c r="A64" s="1">
        <v>159.13300000000001</v>
      </c>
      <c r="B64" s="1" t="s">
        <v>57</v>
      </c>
      <c r="C64" s="1">
        <v>217.994</v>
      </c>
      <c r="D64" s="1">
        <v>420.827</v>
      </c>
      <c r="E64" s="1">
        <v>429.09399999999999</v>
      </c>
      <c r="F64" s="9">
        <v>7.9802999999999999E-2</v>
      </c>
      <c r="G64" s="9">
        <v>3.5522900000000002</v>
      </c>
      <c r="H64" s="1">
        <v>125.764</v>
      </c>
      <c r="I64" s="1">
        <v>420.73200000000003</v>
      </c>
      <c r="J64" s="1"/>
      <c r="M64" s="9"/>
      <c r="N64" s="3"/>
      <c r="Q64" s="3"/>
      <c r="R64" s="3"/>
      <c r="AA64" s="9"/>
      <c r="AB64" s="9"/>
      <c r="AC64" s="9"/>
      <c r="AD64" s="9"/>
      <c r="AG64" s="9"/>
      <c r="AH64" s="9"/>
      <c r="AJ64" s="2"/>
      <c r="AK64" s="2"/>
      <c r="AL64" s="2"/>
      <c r="AM64" s="2"/>
      <c r="AN64" s="9"/>
      <c r="AO64" s="9"/>
      <c r="AP64" s="9"/>
    </row>
    <row r="65" spans="1:42" x14ac:dyDescent="0.25">
      <c r="A65" s="1">
        <v>164.267</v>
      </c>
      <c r="B65" s="1" t="s">
        <v>57</v>
      </c>
      <c r="C65" s="1">
        <v>202.66300000000001</v>
      </c>
      <c r="D65" s="1">
        <v>420.827</v>
      </c>
      <c r="E65" s="1">
        <v>429.09399999999999</v>
      </c>
      <c r="F65" s="9">
        <v>8.0232300000000006E-2</v>
      </c>
      <c r="G65" s="9">
        <v>3.8428800000000001</v>
      </c>
      <c r="H65" s="1">
        <v>120.30500000000001</v>
      </c>
      <c r="I65" s="1">
        <v>420.59100000000001</v>
      </c>
      <c r="J65" s="1"/>
      <c r="M65" s="9"/>
      <c r="N65" s="3"/>
      <c r="Q65" s="3"/>
      <c r="R65" s="3"/>
      <c r="AA65" s="9"/>
      <c r="AB65" s="9"/>
      <c r="AC65" s="9"/>
      <c r="AD65" s="9"/>
      <c r="AG65" s="9"/>
      <c r="AH65" s="9"/>
      <c r="AJ65" s="2"/>
      <c r="AK65" s="2"/>
      <c r="AL65" s="2"/>
      <c r="AM65" s="2"/>
      <c r="AN65" s="9"/>
      <c r="AO65" s="9"/>
      <c r="AP65" s="9"/>
    </row>
    <row r="66" spans="1:42" x14ac:dyDescent="0.25">
      <c r="A66" s="1">
        <v>169.4</v>
      </c>
      <c r="B66" s="1" t="s">
        <v>57</v>
      </c>
      <c r="C66" s="1">
        <v>188.94800000000001</v>
      </c>
      <c r="D66" s="1">
        <v>420.78500000000003</v>
      </c>
      <c r="E66" s="1">
        <v>429.09399999999999</v>
      </c>
      <c r="F66" s="9">
        <v>8.0367599999999997E-2</v>
      </c>
      <c r="G66" s="9">
        <v>4.1039199999999996</v>
      </c>
      <c r="H66" s="1">
        <v>115.197</v>
      </c>
      <c r="I66" s="1">
        <v>420.35700000000003</v>
      </c>
      <c r="J66" s="1"/>
      <c r="M66" s="9"/>
      <c r="N66" s="3"/>
      <c r="Q66" s="3"/>
      <c r="R66" s="3"/>
      <c r="AA66" s="9"/>
      <c r="AB66" s="9"/>
      <c r="AC66" s="9"/>
      <c r="AD66" s="9"/>
      <c r="AG66" s="9"/>
      <c r="AH66" s="9"/>
      <c r="AJ66" s="2"/>
      <c r="AK66" s="2"/>
      <c r="AL66" s="2"/>
      <c r="AM66" s="2"/>
      <c r="AN66" s="9"/>
      <c r="AO66" s="9"/>
      <c r="AP66" s="9"/>
    </row>
    <row r="67" spans="1:42" x14ac:dyDescent="0.25">
      <c r="A67" s="1">
        <v>174.53299999999999</v>
      </c>
      <c r="B67" s="1" t="s">
        <v>57</v>
      </c>
      <c r="C67" s="1">
        <v>176.45599999999999</v>
      </c>
      <c r="D67" s="1">
        <v>420.66</v>
      </c>
      <c r="E67" s="1">
        <v>429.09399999999999</v>
      </c>
      <c r="F67" s="9">
        <v>8.0514799999999997E-2</v>
      </c>
      <c r="G67" s="9">
        <v>4.3440000000000003</v>
      </c>
      <c r="H67" s="1">
        <v>110.455</v>
      </c>
      <c r="I67" s="1">
        <v>419.767</v>
      </c>
      <c r="J67" s="1"/>
      <c r="M67" s="9"/>
      <c r="N67" s="3"/>
      <c r="Q67" s="3"/>
      <c r="R67" s="3"/>
      <c r="AA67" s="9"/>
      <c r="AB67" s="9"/>
      <c r="AC67" s="9"/>
      <c r="AD67" s="9"/>
      <c r="AG67" s="9"/>
      <c r="AH67" s="9"/>
      <c r="AJ67" s="2"/>
      <c r="AK67" s="2"/>
      <c r="AL67" s="2"/>
      <c r="AM67" s="2"/>
      <c r="AN67" s="9"/>
      <c r="AO67" s="9"/>
      <c r="AP67" s="9"/>
    </row>
    <row r="68" spans="1:42" x14ac:dyDescent="0.25">
      <c r="A68" s="1">
        <v>179.667</v>
      </c>
      <c r="B68" s="1" t="s">
        <v>57</v>
      </c>
      <c r="C68" s="1">
        <v>165.178</v>
      </c>
      <c r="D68" s="1">
        <v>420.19499999999999</v>
      </c>
      <c r="E68" s="1">
        <v>429.09399999999999</v>
      </c>
      <c r="F68" s="9">
        <v>8.0676999999999999E-2</v>
      </c>
      <c r="G68" s="9">
        <v>4.5664400000000001</v>
      </c>
      <c r="H68" s="1">
        <v>106.114</v>
      </c>
      <c r="I68" s="1">
        <v>417.90100000000001</v>
      </c>
      <c r="J68" s="1"/>
      <c r="M68" s="9"/>
      <c r="N68" s="3"/>
      <c r="Q68" s="3"/>
      <c r="R68" s="3"/>
      <c r="AA68" s="9"/>
      <c r="AB68" s="9"/>
      <c r="AC68" s="9"/>
      <c r="AD68" s="9"/>
      <c r="AG68" s="9"/>
      <c r="AH68" s="9"/>
      <c r="AJ68" s="2"/>
      <c r="AK68" s="2"/>
      <c r="AL68" s="2"/>
      <c r="AM68" s="2"/>
      <c r="AN68" s="9"/>
      <c r="AO68" s="9"/>
      <c r="AP68" s="9"/>
    </row>
    <row r="69" spans="1:42" x14ac:dyDescent="0.25">
      <c r="A69" s="1">
        <v>184.8</v>
      </c>
      <c r="B69" s="1" t="s">
        <v>57</v>
      </c>
      <c r="C69" s="1">
        <v>155.053</v>
      </c>
      <c r="D69" s="1">
        <v>420.113</v>
      </c>
      <c r="E69" s="1">
        <v>429.09399999999999</v>
      </c>
      <c r="F69" s="9">
        <v>8.0852400000000005E-2</v>
      </c>
      <c r="G69" s="9">
        <v>4.7739399999999996</v>
      </c>
      <c r="H69" s="1">
        <v>102.045</v>
      </c>
      <c r="I69" s="1">
        <v>414.98200000000003</v>
      </c>
      <c r="J69" s="1"/>
      <c r="M69" s="9"/>
      <c r="N69" s="3"/>
      <c r="Q69" s="3"/>
      <c r="R69" s="3"/>
      <c r="AA69" s="9"/>
      <c r="AB69" s="9"/>
      <c r="AC69" s="9"/>
      <c r="AD69" s="9"/>
      <c r="AG69" s="9"/>
      <c r="AH69" s="9"/>
      <c r="AJ69" s="2"/>
      <c r="AK69" s="2"/>
      <c r="AL69" s="2"/>
      <c r="AM69" s="2"/>
      <c r="AN69" s="9"/>
      <c r="AO69" s="9"/>
      <c r="AP69" s="9"/>
    </row>
    <row r="70" spans="1:42" x14ac:dyDescent="0.25">
      <c r="A70" s="1">
        <v>189.93299999999999</v>
      </c>
      <c r="B70" s="1" t="s">
        <v>57</v>
      </c>
      <c r="C70" s="1">
        <v>145.797</v>
      </c>
      <c r="D70" s="1">
        <v>418.05900000000003</v>
      </c>
      <c r="E70" s="1">
        <v>429.09399999999999</v>
      </c>
      <c r="F70" s="9">
        <v>0.313892</v>
      </c>
      <c r="G70" s="9">
        <v>4.9550200000000002</v>
      </c>
      <c r="H70" s="1">
        <v>98.263000000000005</v>
      </c>
      <c r="I70" s="1">
        <v>302.495</v>
      </c>
      <c r="J70" s="1"/>
      <c r="M70" s="9"/>
      <c r="N70" s="3"/>
      <c r="Q70" s="3"/>
      <c r="R70" s="3"/>
      <c r="AA70" s="9"/>
      <c r="AB70" s="9"/>
      <c r="AC70" s="9"/>
      <c r="AD70" s="9"/>
      <c r="AG70" s="9"/>
      <c r="AH70" s="9"/>
      <c r="AJ70" s="2"/>
      <c r="AK70" s="2"/>
      <c r="AL70" s="2"/>
      <c r="AM70" s="2"/>
      <c r="AN70" s="9"/>
      <c r="AO70" s="9"/>
      <c r="AP70" s="9"/>
    </row>
    <row r="71" spans="1:42" x14ac:dyDescent="0.25">
      <c r="A71" s="1">
        <v>195.06700000000001</v>
      </c>
      <c r="B71" s="1" t="s">
        <v>57</v>
      </c>
      <c r="C71" s="1">
        <v>137.41300000000001</v>
      </c>
      <c r="D71" s="1">
        <v>412.10399999999998</v>
      </c>
      <c r="E71" s="1">
        <v>429.09399999999999</v>
      </c>
      <c r="F71" s="9">
        <v>0.235374</v>
      </c>
      <c r="G71" s="9">
        <v>5.0666900000000004</v>
      </c>
      <c r="H71" s="1">
        <v>94.796199999999999</v>
      </c>
      <c r="I71" s="1">
        <v>240.47</v>
      </c>
      <c r="J71" s="1"/>
      <c r="M71" s="9"/>
      <c r="N71" s="3"/>
      <c r="Q71" s="3"/>
      <c r="R71" s="3"/>
      <c r="AA71" s="9"/>
      <c r="AB71" s="9"/>
      <c r="AC71" s="9"/>
      <c r="AD71" s="9"/>
      <c r="AG71" s="9"/>
      <c r="AH71" s="9"/>
      <c r="AJ71" s="2"/>
      <c r="AK71" s="2"/>
      <c r="AL71" s="2"/>
      <c r="AM71" s="2"/>
      <c r="AN71" s="9"/>
      <c r="AO71" s="9"/>
      <c r="AP71" s="9"/>
    </row>
    <row r="72" spans="1:42" x14ac:dyDescent="0.25">
      <c r="A72" s="1">
        <v>200.2</v>
      </c>
      <c r="B72" s="1" t="s">
        <v>57</v>
      </c>
      <c r="C72" s="1">
        <v>129.86500000000001</v>
      </c>
      <c r="D72" s="1">
        <v>386.56900000000002</v>
      </c>
      <c r="E72" s="1">
        <v>429.09399999999999</v>
      </c>
      <c r="F72" s="9">
        <v>0.34154800000000002</v>
      </c>
      <c r="G72" s="9">
        <v>5.2442500000000001</v>
      </c>
      <c r="H72" s="1">
        <v>91.543300000000002</v>
      </c>
      <c r="I72" s="1">
        <v>228.262</v>
      </c>
      <c r="J72" s="1"/>
      <c r="M72" s="9"/>
      <c r="N72" s="3"/>
      <c r="Q72" s="3"/>
      <c r="R72" s="3"/>
      <c r="AA72" s="9"/>
      <c r="AB72" s="9"/>
      <c r="AC72" s="9"/>
      <c r="AD72" s="9"/>
      <c r="AG72" s="9"/>
      <c r="AH72" s="9"/>
      <c r="AJ72" s="2"/>
      <c r="AK72" s="2"/>
      <c r="AL72" s="2"/>
      <c r="AM72" s="2"/>
      <c r="AN72" s="9"/>
      <c r="AO72" s="9"/>
      <c r="AP72" s="9"/>
    </row>
    <row r="73" spans="1:42" x14ac:dyDescent="0.25">
      <c r="A73" s="1">
        <v>205.333</v>
      </c>
      <c r="B73" s="1" t="s">
        <v>57</v>
      </c>
      <c r="C73" s="1">
        <v>122.94499999999999</v>
      </c>
      <c r="D73" s="1">
        <v>362.97300000000001</v>
      </c>
      <c r="E73" s="1">
        <v>429.09399999999999</v>
      </c>
      <c r="F73" s="9">
        <v>0.39245200000000002</v>
      </c>
      <c r="G73" s="9">
        <v>5.3236499999999998</v>
      </c>
      <c r="H73" s="1">
        <v>88.519199999999998</v>
      </c>
      <c r="I73" s="1">
        <v>216.94200000000001</v>
      </c>
      <c r="J73" s="1"/>
      <c r="M73" s="9"/>
      <c r="N73" s="3"/>
      <c r="Q73" s="3"/>
      <c r="R73" s="3"/>
      <c r="AA73" s="9"/>
      <c r="AB73" s="9"/>
      <c r="AC73" s="9"/>
      <c r="AD73" s="9"/>
      <c r="AG73" s="9"/>
      <c r="AH73" s="9"/>
      <c r="AJ73" s="2"/>
      <c r="AK73" s="2"/>
      <c r="AL73" s="2"/>
      <c r="AM73" s="2"/>
      <c r="AN73" s="9"/>
      <c r="AO73" s="9"/>
      <c r="AP73" s="9"/>
    </row>
    <row r="74" spans="1:42" x14ac:dyDescent="0.25">
      <c r="A74" s="1">
        <v>210.46700000000001</v>
      </c>
      <c r="B74" s="1" t="s">
        <v>57</v>
      </c>
      <c r="C74" s="1">
        <v>116.66</v>
      </c>
      <c r="D74" s="1">
        <v>341.17200000000003</v>
      </c>
      <c r="E74" s="1">
        <v>429.09399999999999</v>
      </c>
      <c r="F74" s="9">
        <v>0.55667500000000003</v>
      </c>
      <c r="G74" s="9">
        <v>5.4991099999999999</v>
      </c>
      <c r="H74" s="1">
        <v>85.7453</v>
      </c>
      <c r="I74" s="1">
        <v>206.44399999999999</v>
      </c>
      <c r="J74" s="1"/>
      <c r="M74" s="9"/>
      <c r="N74" s="3"/>
      <c r="Q74" s="3"/>
      <c r="R74" s="3"/>
      <c r="AA74" s="9"/>
      <c r="AB74" s="9"/>
      <c r="AC74" s="9"/>
      <c r="AD74" s="9"/>
      <c r="AG74" s="9"/>
      <c r="AH74" s="9"/>
      <c r="AJ74" s="2"/>
      <c r="AK74" s="2"/>
      <c r="AL74" s="2"/>
      <c r="AM74" s="2"/>
      <c r="AN74" s="9"/>
      <c r="AO74" s="9"/>
      <c r="AP74" s="9"/>
    </row>
    <row r="75" spans="1:42" x14ac:dyDescent="0.25">
      <c r="A75" s="1">
        <v>215.6</v>
      </c>
      <c r="B75" s="1" t="s">
        <v>57</v>
      </c>
      <c r="C75" s="1">
        <v>110.989</v>
      </c>
      <c r="D75" s="1">
        <v>320.99900000000002</v>
      </c>
      <c r="E75" s="1">
        <v>429.09399999999999</v>
      </c>
      <c r="F75" s="9">
        <v>0.50206799999999996</v>
      </c>
      <c r="G75" s="9">
        <v>5.6063099999999997</v>
      </c>
      <c r="H75" s="1">
        <v>83.141800000000003</v>
      </c>
      <c r="I75" s="1">
        <v>196.72399999999999</v>
      </c>
      <c r="J75" s="1"/>
      <c r="M75" s="9"/>
      <c r="N75" s="3"/>
      <c r="Q75" s="3"/>
      <c r="R75" s="3"/>
      <c r="AA75" s="9"/>
      <c r="AB75" s="9"/>
      <c r="AC75" s="9"/>
      <c r="AD75" s="9"/>
      <c r="AG75" s="9"/>
      <c r="AH75" s="9"/>
      <c r="AJ75" s="2"/>
      <c r="AK75" s="2"/>
      <c r="AL75" s="2"/>
      <c r="AM75" s="2"/>
      <c r="AN75" s="9"/>
      <c r="AO75" s="9"/>
      <c r="AP75" s="9"/>
    </row>
    <row r="76" spans="1:42" x14ac:dyDescent="0.25">
      <c r="A76" s="1">
        <v>220.733</v>
      </c>
      <c r="B76" s="1" t="s">
        <v>57</v>
      </c>
      <c r="C76" s="1">
        <v>105.77800000000001</v>
      </c>
      <c r="D76" s="1">
        <v>302.387</v>
      </c>
      <c r="E76" s="1">
        <v>429.09399999999999</v>
      </c>
      <c r="F76" s="9">
        <v>0.75340200000000002</v>
      </c>
      <c r="G76" s="9">
        <v>5.77942</v>
      </c>
      <c r="H76" s="1">
        <v>80.721800000000002</v>
      </c>
      <c r="I76" s="1">
        <v>187.69</v>
      </c>
      <c r="J76" s="1"/>
      <c r="M76" s="9"/>
      <c r="N76" s="3"/>
      <c r="Q76" s="3"/>
      <c r="R76" s="3"/>
      <c r="AA76" s="9"/>
      <c r="AB76" s="9"/>
      <c r="AC76" s="9"/>
      <c r="AD76" s="9"/>
      <c r="AG76" s="9"/>
      <c r="AH76" s="9"/>
      <c r="AJ76" s="2"/>
      <c r="AK76" s="2"/>
      <c r="AL76" s="2"/>
      <c r="AM76" s="2"/>
      <c r="AN76" s="9"/>
      <c r="AO76" s="9"/>
      <c r="AP76" s="9"/>
    </row>
    <row r="77" spans="1:42" x14ac:dyDescent="0.25">
      <c r="A77" s="1">
        <v>225.86699999999999</v>
      </c>
      <c r="B77" s="1" t="s">
        <v>57</v>
      </c>
      <c r="C77" s="1">
        <v>101.035</v>
      </c>
      <c r="D77" s="1">
        <v>285.38499999999999</v>
      </c>
      <c r="E77" s="1">
        <v>429.09399999999999</v>
      </c>
      <c r="F77" s="9">
        <v>0.93240299999999998</v>
      </c>
      <c r="G77" s="9">
        <v>5.8888699999999998</v>
      </c>
      <c r="H77" s="1">
        <v>78.501499999999993</v>
      </c>
      <c r="I77" s="1">
        <v>179.143</v>
      </c>
      <c r="J77" s="1"/>
      <c r="M77" s="9"/>
      <c r="N77" s="3"/>
      <c r="Q77" s="3"/>
      <c r="R77" s="3"/>
      <c r="AA77" s="9"/>
      <c r="AB77" s="9"/>
      <c r="AC77" s="9"/>
      <c r="AD77" s="9"/>
      <c r="AG77" s="9"/>
      <c r="AH77" s="9"/>
      <c r="AJ77" s="2"/>
      <c r="AK77" s="2"/>
      <c r="AL77" s="2"/>
      <c r="AM77" s="2"/>
      <c r="AN77" s="9"/>
      <c r="AO77" s="9"/>
      <c r="AP77" s="9"/>
    </row>
    <row r="78" spans="1:42" x14ac:dyDescent="0.25">
      <c r="A78" s="1">
        <v>231</v>
      </c>
      <c r="B78" s="1" t="s">
        <v>57</v>
      </c>
      <c r="C78" s="1">
        <v>96.748099999999994</v>
      </c>
      <c r="D78" s="1">
        <v>269.23200000000003</v>
      </c>
      <c r="E78" s="1">
        <v>429.09399999999999</v>
      </c>
      <c r="F78" s="9">
        <v>0.92194699999999996</v>
      </c>
      <c r="G78" s="9">
        <v>6.0545499999999999</v>
      </c>
      <c r="H78" s="1">
        <v>76.4178</v>
      </c>
      <c r="I78" s="1">
        <v>171.471</v>
      </c>
      <c r="J78" s="1"/>
      <c r="M78" s="9"/>
      <c r="N78" s="3"/>
      <c r="Q78" s="3"/>
      <c r="R78" s="3"/>
      <c r="AA78" s="9"/>
      <c r="AB78" s="9"/>
      <c r="AC78" s="9"/>
      <c r="AD78" s="9"/>
      <c r="AG78" s="9"/>
      <c r="AH78" s="9"/>
      <c r="AJ78" s="2"/>
      <c r="AK78" s="2"/>
      <c r="AL78" s="2"/>
      <c r="AM78" s="2"/>
      <c r="AN78" s="9"/>
      <c r="AO78" s="9"/>
      <c r="AP78" s="9"/>
    </row>
    <row r="79" spans="1:42" x14ac:dyDescent="0.25">
      <c r="A79" s="1">
        <v>236.13300000000001</v>
      </c>
      <c r="B79" s="1" t="s">
        <v>57</v>
      </c>
      <c r="C79" s="1">
        <v>92.801100000000005</v>
      </c>
      <c r="D79" s="1">
        <v>254.566</v>
      </c>
      <c r="E79" s="1">
        <v>429.09399999999999</v>
      </c>
      <c r="F79" s="9">
        <v>1.09216</v>
      </c>
      <c r="G79" s="9">
        <v>6.1706599999999998</v>
      </c>
      <c r="H79" s="1">
        <v>74.481300000000005</v>
      </c>
      <c r="I79" s="1">
        <v>164.154</v>
      </c>
      <c r="J79" s="1"/>
      <c r="M79" s="9"/>
      <c r="N79" s="3"/>
      <c r="Q79" s="3"/>
      <c r="R79" s="3"/>
      <c r="AA79" s="9"/>
      <c r="AB79" s="9"/>
      <c r="AC79" s="9"/>
      <c r="AD79" s="9"/>
      <c r="AG79" s="9"/>
      <c r="AH79" s="9"/>
      <c r="AJ79" s="2"/>
      <c r="AK79" s="2"/>
      <c r="AL79" s="2"/>
      <c r="AM79" s="2"/>
      <c r="AN79" s="9"/>
      <c r="AO79" s="9"/>
      <c r="AP79" s="9"/>
    </row>
    <row r="80" spans="1:42" x14ac:dyDescent="0.25">
      <c r="A80" s="1">
        <v>241.267</v>
      </c>
      <c r="B80" s="1" t="s">
        <v>57</v>
      </c>
      <c r="C80" s="1">
        <v>89.201999999999998</v>
      </c>
      <c r="D80" s="1">
        <v>240.929</v>
      </c>
      <c r="E80" s="1">
        <v>429.09399999999999</v>
      </c>
      <c r="F80" s="9">
        <v>1.07267</v>
      </c>
      <c r="G80" s="9">
        <v>6.3209200000000001</v>
      </c>
      <c r="H80" s="1">
        <v>72.704800000000006</v>
      </c>
      <c r="I80" s="1">
        <v>157.34399999999999</v>
      </c>
      <c r="J80" s="1"/>
      <c r="M80" s="9"/>
      <c r="N80" s="3"/>
      <c r="Q80" s="3"/>
      <c r="R80" s="3"/>
      <c r="AA80" s="9"/>
      <c r="AB80" s="9"/>
      <c r="AC80" s="9"/>
      <c r="AD80" s="9"/>
      <c r="AG80" s="9"/>
      <c r="AH80" s="9"/>
      <c r="AJ80" s="2"/>
      <c r="AK80" s="2"/>
      <c r="AL80" s="2"/>
      <c r="AM80" s="2"/>
      <c r="AN80" s="9"/>
      <c r="AO80" s="9"/>
      <c r="AP80" s="9"/>
    </row>
    <row r="81" spans="1:42" x14ac:dyDescent="0.25">
      <c r="A81" s="1">
        <v>246.4</v>
      </c>
      <c r="B81" s="1" t="s">
        <v>57</v>
      </c>
      <c r="C81" s="1">
        <v>85.944299999999998</v>
      </c>
      <c r="D81" s="1">
        <v>228.285</v>
      </c>
      <c r="E81" s="1">
        <v>429.09399999999999</v>
      </c>
      <c r="F81" s="9">
        <v>1.40683</v>
      </c>
      <c r="G81" s="9">
        <v>6.4378399999999996</v>
      </c>
      <c r="H81" s="1">
        <v>71.037999999999997</v>
      </c>
      <c r="I81" s="1">
        <v>150.99700000000001</v>
      </c>
      <c r="J81" s="1"/>
      <c r="M81" s="9"/>
      <c r="N81" s="3"/>
      <c r="Q81" s="3"/>
      <c r="R81" s="3"/>
      <c r="AA81" s="9"/>
      <c r="AB81" s="9"/>
      <c r="AC81" s="9"/>
      <c r="AD81" s="9"/>
      <c r="AG81" s="9"/>
      <c r="AH81" s="9"/>
      <c r="AJ81" s="2"/>
      <c r="AK81" s="2"/>
      <c r="AL81" s="2"/>
      <c r="AM81" s="2"/>
      <c r="AN81" s="9"/>
      <c r="AO81" s="9"/>
      <c r="AP81" s="9"/>
    </row>
    <row r="82" spans="1:42" x14ac:dyDescent="0.25">
      <c r="A82" s="1">
        <v>251.53299999999999</v>
      </c>
      <c r="B82" s="1" t="s">
        <v>57</v>
      </c>
      <c r="C82" s="1">
        <v>82.940100000000001</v>
      </c>
      <c r="D82" s="1">
        <v>216.56800000000001</v>
      </c>
      <c r="E82" s="1">
        <v>429.09399999999999</v>
      </c>
      <c r="F82" s="9">
        <v>1.2709600000000001</v>
      </c>
      <c r="G82" s="9">
        <v>6.5790100000000002</v>
      </c>
      <c r="H82" s="1">
        <v>69.489599999999996</v>
      </c>
      <c r="I82" s="1">
        <v>145.07499999999999</v>
      </c>
      <c r="J82" s="1"/>
      <c r="M82" s="9"/>
      <c r="N82" s="3"/>
      <c r="Q82" s="3"/>
      <c r="R82" s="3"/>
      <c r="AA82" s="9"/>
      <c r="AB82" s="9"/>
      <c r="AC82" s="9"/>
      <c r="AD82" s="9"/>
      <c r="AG82" s="9"/>
      <c r="AH82" s="9"/>
      <c r="AJ82" s="2"/>
      <c r="AK82" s="2"/>
      <c r="AL82" s="2"/>
      <c r="AM82" s="2"/>
      <c r="AN82" s="9"/>
      <c r="AO82" s="9"/>
      <c r="AP82" s="9"/>
    </row>
    <row r="83" spans="1:42" x14ac:dyDescent="0.25">
      <c r="A83" s="1">
        <v>256.66699999999997</v>
      </c>
      <c r="B83" s="1" t="s">
        <v>57</v>
      </c>
      <c r="C83" s="1">
        <v>80.196100000000001</v>
      </c>
      <c r="D83" s="1">
        <v>205.702</v>
      </c>
      <c r="E83" s="1">
        <v>429.09399999999999</v>
      </c>
      <c r="F83" s="9">
        <v>1.32474</v>
      </c>
      <c r="G83" s="9">
        <v>6.6982799999999996</v>
      </c>
      <c r="H83" s="1">
        <v>68.069199999999995</v>
      </c>
      <c r="I83" s="1">
        <v>139.55000000000001</v>
      </c>
      <c r="J83" s="1"/>
      <c r="M83" s="9"/>
      <c r="N83" s="3"/>
      <c r="Q83" s="3"/>
      <c r="R83" s="3"/>
      <c r="AA83" s="9"/>
      <c r="AB83" s="9"/>
      <c r="AC83" s="9"/>
      <c r="AD83" s="9"/>
      <c r="AG83" s="9"/>
      <c r="AH83" s="9"/>
      <c r="AJ83" s="2"/>
      <c r="AK83" s="2"/>
      <c r="AL83" s="2"/>
      <c r="AM83" s="2"/>
      <c r="AN83" s="9"/>
      <c r="AO83" s="9"/>
      <c r="AP83" s="9"/>
    </row>
    <row r="84" spans="1:42" x14ac:dyDescent="0.25">
      <c r="A84" s="1">
        <v>261.8</v>
      </c>
      <c r="B84" s="1" t="s">
        <v>57</v>
      </c>
      <c r="C84" s="1">
        <v>77.709400000000002</v>
      </c>
      <c r="D84" s="1">
        <v>195.62799999999999</v>
      </c>
      <c r="E84" s="1">
        <v>429.09399999999999</v>
      </c>
      <c r="F84" s="9">
        <v>1.2805200000000001</v>
      </c>
      <c r="G84" s="9">
        <v>6.8312200000000001</v>
      </c>
      <c r="H84" s="1">
        <v>66.736900000000006</v>
      </c>
      <c r="I84" s="1">
        <v>134.38999999999999</v>
      </c>
      <c r="J84" s="1"/>
      <c r="M84" s="9"/>
      <c r="N84" s="3"/>
      <c r="Q84" s="3"/>
      <c r="R84" s="3"/>
      <c r="AA84" s="9"/>
      <c r="AB84" s="9"/>
      <c r="AC84" s="9"/>
      <c r="AD84" s="9"/>
      <c r="AG84" s="9"/>
      <c r="AH84" s="9"/>
      <c r="AJ84" s="2"/>
      <c r="AK84" s="2"/>
      <c r="AL84" s="2"/>
      <c r="AM84" s="2"/>
      <c r="AN84" s="9"/>
      <c r="AO84" s="9"/>
      <c r="AP84" s="9"/>
    </row>
    <row r="85" spans="1:42" x14ac:dyDescent="0.25">
      <c r="A85" s="1">
        <v>266.93299999999999</v>
      </c>
      <c r="B85" s="1" t="s">
        <v>57</v>
      </c>
      <c r="C85" s="1">
        <v>75.476399999999998</v>
      </c>
      <c r="D85" s="1">
        <v>186.09800000000001</v>
      </c>
      <c r="E85" s="1">
        <v>429.09399999999999</v>
      </c>
      <c r="F85" s="9">
        <v>0.54669900000000005</v>
      </c>
      <c r="G85" s="9">
        <v>6.9743300000000001</v>
      </c>
      <c r="H85" s="1">
        <v>65.367500000000007</v>
      </c>
      <c r="I85" s="1">
        <v>126.018</v>
      </c>
      <c r="J85" s="1"/>
      <c r="M85" s="9"/>
      <c r="N85" s="3"/>
      <c r="Q85" s="3"/>
      <c r="R85" s="3"/>
      <c r="AA85" s="9"/>
      <c r="AB85" s="9"/>
      <c r="AC85" s="9"/>
      <c r="AD85" s="9"/>
      <c r="AG85" s="9"/>
      <c r="AH85" s="9"/>
      <c r="AJ85" s="2"/>
      <c r="AK85" s="2"/>
      <c r="AL85" s="2"/>
      <c r="AM85" s="2"/>
      <c r="AN85" s="9"/>
      <c r="AO85" s="9"/>
      <c r="AP85" s="9"/>
    </row>
    <row r="86" spans="1:42" x14ac:dyDescent="0.25">
      <c r="A86" s="1">
        <v>272.06700000000001</v>
      </c>
      <c r="B86" s="1" t="s">
        <v>57</v>
      </c>
      <c r="C86" s="1">
        <v>73.286299999999997</v>
      </c>
      <c r="D86" s="1">
        <v>176.61799999999999</v>
      </c>
      <c r="E86" s="1">
        <v>429.09399999999999</v>
      </c>
      <c r="F86" s="9">
        <v>0.76670799999999995</v>
      </c>
      <c r="G86" s="9">
        <v>7.1676000000000002</v>
      </c>
      <c r="H86" s="1">
        <v>64.187899999999999</v>
      </c>
      <c r="I86" s="1">
        <v>121.38200000000001</v>
      </c>
      <c r="J86" s="1"/>
      <c r="M86" s="9"/>
      <c r="N86" s="3"/>
      <c r="Q86" s="3"/>
      <c r="R86" s="3"/>
      <c r="AA86" s="9"/>
      <c r="AB86" s="9"/>
      <c r="AC86" s="9"/>
      <c r="AD86" s="9"/>
      <c r="AG86" s="9"/>
      <c r="AH86" s="9"/>
      <c r="AJ86" s="2"/>
      <c r="AK86" s="2"/>
      <c r="AL86" s="2"/>
      <c r="AM86" s="2"/>
      <c r="AN86" s="9"/>
      <c r="AO86" s="9"/>
      <c r="AP86" s="9"/>
    </row>
    <row r="87" spans="1:42" x14ac:dyDescent="0.25">
      <c r="A87" s="1">
        <v>277.2</v>
      </c>
      <c r="B87" s="1" t="s">
        <v>57</v>
      </c>
      <c r="C87" s="1">
        <v>71.300600000000003</v>
      </c>
      <c r="D87" s="1">
        <v>167.935</v>
      </c>
      <c r="E87" s="1">
        <v>429.09399999999999</v>
      </c>
      <c r="F87" s="9">
        <v>0.87234199999999995</v>
      </c>
      <c r="G87" s="9">
        <v>7.3424899999999997</v>
      </c>
      <c r="H87" s="1">
        <v>63.0822</v>
      </c>
      <c r="I87" s="1">
        <v>117.09699999999999</v>
      </c>
      <c r="J87" s="1"/>
      <c r="M87" s="9"/>
      <c r="N87" s="3"/>
      <c r="Q87" s="3"/>
      <c r="R87" s="3"/>
      <c r="AA87" s="9"/>
      <c r="AB87" s="9"/>
      <c r="AC87" s="9"/>
      <c r="AD87" s="9"/>
      <c r="AG87" s="9"/>
      <c r="AH87" s="9"/>
      <c r="AJ87" s="2"/>
      <c r="AK87" s="2"/>
      <c r="AL87" s="2"/>
      <c r="AM87" s="2"/>
      <c r="AN87" s="9"/>
      <c r="AO87" s="9"/>
      <c r="AP87" s="9"/>
    </row>
    <row r="88" spans="1:42" x14ac:dyDescent="0.25">
      <c r="A88" s="1">
        <v>282.33300000000003</v>
      </c>
      <c r="B88" s="1" t="s">
        <v>57</v>
      </c>
      <c r="C88" s="1">
        <v>69.465599999999995</v>
      </c>
      <c r="D88" s="1">
        <v>159.93899999999999</v>
      </c>
      <c r="E88" s="1">
        <v>429.09399999999999</v>
      </c>
      <c r="F88" s="9">
        <v>9.0705500000000008</v>
      </c>
      <c r="G88" s="9">
        <v>7.5514000000000001</v>
      </c>
      <c r="H88" s="1">
        <v>62.056399999999996</v>
      </c>
      <c r="I88" s="1">
        <v>113.10899999999999</v>
      </c>
      <c r="J88" s="1"/>
      <c r="M88" s="9"/>
      <c r="N88" s="3"/>
      <c r="Q88" s="3"/>
      <c r="R88" s="3"/>
      <c r="AA88" s="9"/>
      <c r="AB88" s="9"/>
      <c r="AC88" s="9"/>
      <c r="AD88" s="9"/>
      <c r="AG88" s="9"/>
      <c r="AH88" s="9"/>
      <c r="AJ88" s="2"/>
      <c r="AK88" s="2"/>
      <c r="AL88" s="2"/>
      <c r="AM88" s="2"/>
      <c r="AN88" s="9"/>
      <c r="AO88" s="9"/>
      <c r="AP88" s="9"/>
    </row>
    <row r="89" spans="1:42" x14ac:dyDescent="0.25">
      <c r="A89" s="1">
        <v>287.46699999999998</v>
      </c>
      <c r="B89" s="1" t="s">
        <v>57</v>
      </c>
      <c r="C89" s="1">
        <v>67.786600000000007</v>
      </c>
      <c r="D89" s="1">
        <v>152.57499999999999</v>
      </c>
      <c r="E89" s="1">
        <v>429.09399999999999</v>
      </c>
      <c r="F89" s="9" t="s">
        <v>57</v>
      </c>
      <c r="G89" s="9">
        <v>7.7394999999999996</v>
      </c>
      <c r="H89" s="1">
        <v>61.115900000000003</v>
      </c>
      <c r="I89" s="1">
        <v>109.39</v>
      </c>
      <c r="J89" s="1"/>
      <c r="M89" s="9"/>
      <c r="N89" s="3"/>
      <c r="Q89" s="3"/>
      <c r="R89" s="3"/>
      <c r="AA89" s="9"/>
      <c r="AB89" s="9"/>
      <c r="AC89" s="9"/>
      <c r="AD89" s="9"/>
      <c r="AG89" s="9"/>
      <c r="AH89" s="9"/>
      <c r="AJ89" s="2"/>
      <c r="AK89" s="2"/>
      <c r="AL89" s="2"/>
      <c r="AM89" s="2"/>
      <c r="AN89" s="9"/>
      <c r="AO89" s="9"/>
      <c r="AP89" s="9"/>
    </row>
    <row r="90" spans="1:42" x14ac:dyDescent="0.25">
      <c r="A90" s="1">
        <v>292.60000000000002</v>
      </c>
      <c r="B90" s="1" t="s">
        <v>57</v>
      </c>
      <c r="C90" s="1">
        <v>66.263099999999994</v>
      </c>
      <c r="D90" s="1">
        <v>145.77799999999999</v>
      </c>
      <c r="E90" s="1">
        <v>429.09399999999999</v>
      </c>
      <c r="F90" s="9" t="s">
        <v>57</v>
      </c>
      <c r="G90" s="9">
        <v>7.9053399999999998</v>
      </c>
      <c r="H90" s="1">
        <v>60.234900000000003</v>
      </c>
      <c r="I90" s="1">
        <v>105.926</v>
      </c>
      <c r="J90" s="1"/>
      <c r="M90" s="9"/>
      <c r="N90" s="3"/>
      <c r="Q90" s="3"/>
      <c r="R90" s="3"/>
      <c r="AA90" s="9"/>
      <c r="AB90" s="9"/>
      <c r="AC90" s="9"/>
      <c r="AD90" s="9"/>
      <c r="AG90" s="9"/>
      <c r="AH90" s="9"/>
      <c r="AJ90" s="2"/>
      <c r="AK90" s="2"/>
      <c r="AL90" s="2"/>
      <c r="AM90" s="2"/>
      <c r="AN90" s="9"/>
      <c r="AO90" s="9"/>
      <c r="AP90" s="9"/>
    </row>
    <row r="91" spans="1:42" x14ac:dyDescent="0.25">
      <c r="A91" s="1">
        <v>297.733</v>
      </c>
      <c r="B91" s="1" t="s">
        <v>57</v>
      </c>
      <c r="C91" s="1">
        <v>65.659700000000001</v>
      </c>
      <c r="D91" s="1">
        <v>143.09</v>
      </c>
      <c r="E91" s="1">
        <v>429.09399999999999</v>
      </c>
      <c r="F91" s="9" t="s">
        <v>57</v>
      </c>
      <c r="G91" s="9">
        <v>0</v>
      </c>
      <c r="H91" s="1" t="s">
        <v>57</v>
      </c>
      <c r="I91" s="1" t="s">
        <v>57</v>
      </c>
      <c r="J91" s="1"/>
      <c r="M91" s="9"/>
      <c r="N91" s="3"/>
      <c r="Q91" s="3"/>
      <c r="R91" s="3"/>
      <c r="AA91" s="9"/>
      <c r="AB91" s="9"/>
      <c r="AC91" s="9"/>
      <c r="AD91" s="9"/>
      <c r="AG91" s="9"/>
      <c r="AH91" s="9"/>
      <c r="AJ91" s="2"/>
      <c r="AK91" s="2"/>
      <c r="AL91" s="2"/>
      <c r="AM91" s="2"/>
      <c r="AN91" s="9"/>
      <c r="AO91" s="9"/>
      <c r="AP91" s="9"/>
    </row>
    <row r="92" spans="1:42" x14ac:dyDescent="0.25">
      <c r="A92" s="1">
        <v>302.86700000000002</v>
      </c>
      <c r="B92" s="1" t="s">
        <v>57</v>
      </c>
      <c r="C92" s="1">
        <v>65.659700000000001</v>
      </c>
      <c r="D92" s="1">
        <v>143.09</v>
      </c>
      <c r="E92" s="1">
        <v>429.09399999999999</v>
      </c>
      <c r="F92" s="9" t="s">
        <v>57</v>
      </c>
      <c r="G92" s="9">
        <v>0</v>
      </c>
      <c r="H92" s="1" t="s">
        <v>57</v>
      </c>
      <c r="I92" s="1" t="s">
        <v>57</v>
      </c>
      <c r="J92" s="1"/>
      <c r="M92" s="9"/>
      <c r="N92" s="3"/>
      <c r="Q92" s="3"/>
      <c r="R92" s="3"/>
      <c r="AA92" s="9"/>
      <c r="AB92" s="9"/>
      <c r="AC92" s="9"/>
      <c r="AD92" s="9"/>
      <c r="AG92" s="9"/>
      <c r="AH92" s="9"/>
      <c r="AJ92" s="2"/>
      <c r="AK92" s="2"/>
      <c r="AL92" s="2"/>
      <c r="AM92" s="2"/>
      <c r="AN92" s="9"/>
      <c r="AO92" s="9"/>
      <c r="AP92" s="9"/>
    </row>
    <row r="93" spans="1:42" x14ac:dyDescent="0.25">
      <c r="A93" s="1">
        <v>308</v>
      </c>
      <c r="B93" s="1" t="s">
        <v>57</v>
      </c>
      <c r="C93" s="1">
        <v>65.659700000000001</v>
      </c>
      <c r="D93" s="1">
        <v>143.09</v>
      </c>
      <c r="E93" s="1">
        <v>429.09399999999999</v>
      </c>
      <c r="F93" s="9" t="s">
        <v>57</v>
      </c>
      <c r="G93" s="9">
        <v>0</v>
      </c>
      <c r="H93" s="1" t="s">
        <v>57</v>
      </c>
      <c r="I93" s="1" t="s">
        <v>57</v>
      </c>
      <c r="J93" s="1"/>
      <c r="M93" s="9"/>
      <c r="N93" s="3"/>
      <c r="Q93" s="3"/>
      <c r="R93" s="3"/>
      <c r="AA93" s="9"/>
      <c r="AB93" s="9"/>
      <c r="AC93" s="9"/>
      <c r="AD93" s="9"/>
      <c r="AG93" s="9"/>
      <c r="AH93" s="9"/>
      <c r="AJ93" s="2"/>
      <c r="AK93" s="2"/>
      <c r="AL93" s="2"/>
      <c r="AM93" s="2"/>
      <c r="AN93" s="9"/>
      <c r="AO93" s="9"/>
      <c r="AP93" s="9"/>
    </row>
    <row r="94" spans="1:42" x14ac:dyDescent="0.25">
      <c r="A94" s="1">
        <v>313.13299999999998</v>
      </c>
      <c r="B94" s="1" t="s">
        <v>57</v>
      </c>
      <c r="C94" s="1">
        <v>65.659700000000001</v>
      </c>
      <c r="D94" s="1">
        <v>143.09</v>
      </c>
      <c r="E94" s="1">
        <v>429.09399999999999</v>
      </c>
      <c r="F94" s="9" t="s">
        <v>57</v>
      </c>
      <c r="G94" s="9">
        <v>0</v>
      </c>
      <c r="H94" s="1" t="s">
        <v>57</v>
      </c>
      <c r="I94" s="1" t="s">
        <v>57</v>
      </c>
      <c r="J94" s="1"/>
      <c r="M94" s="9"/>
      <c r="N94" s="3"/>
      <c r="Q94" s="3"/>
      <c r="R94" s="3"/>
      <c r="AA94" s="9"/>
      <c r="AB94" s="9"/>
      <c r="AC94" s="9"/>
      <c r="AD94" s="9"/>
      <c r="AG94" s="9"/>
      <c r="AH94" s="9"/>
      <c r="AJ94" s="2"/>
      <c r="AK94" s="2"/>
      <c r="AL94" s="2"/>
      <c r="AM94" s="2"/>
      <c r="AN94" s="9"/>
      <c r="AO94" s="9"/>
      <c r="AP94" s="9"/>
    </row>
    <row r="95" spans="1:42" x14ac:dyDescent="0.25">
      <c r="A95" s="1">
        <v>318.267</v>
      </c>
      <c r="B95" s="1" t="s">
        <v>57</v>
      </c>
      <c r="C95" s="1">
        <v>65.659700000000001</v>
      </c>
      <c r="D95" s="1">
        <v>143.09</v>
      </c>
      <c r="E95" s="1">
        <v>429.09399999999999</v>
      </c>
      <c r="F95" s="9" t="s">
        <v>57</v>
      </c>
      <c r="G95" s="9">
        <v>0</v>
      </c>
      <c r="H95" s="1" t="s">
        <v>57</v>
      </c>
      <c r="I95" s="1" t="s">
        <v>57</v>
      </c>
      <c r="J95" s="1"/>
      <c r="M95" s="9"/>
      <c r="N95" s="3"/>
      <c r="Q95" s="3"/>
      <c r="R95" s="3"/>
      <c r="AA95" s="9"/>
      <c r="AB95" s="9"/>
      <c r="AC95" s="9"/>
      <c r="AD95" s="9"/>
      <c r="AG95" s="9"/>
      <c r="AH95" s="9"/>
      <c r="AJ95" s="2"/>
      <c r="AK95" s="2"/>
      <c r="AL95" s="2"/>
      <c r="AM95" s="2"/>
      <c r="AN95" s="9"/>
      <c r="AO95" s="9"/>
      <c r="AP95" s="9"/>
    </row>
    <row r="96" spans="1:42" x14ac:dyDescent="0.25">
      <c r="A96" s="1">
        <v>323.39999999999998</v>
      </c>
      <c r="B96" s="1" t="s">
        <v>57</v>
      </c>
      <c r="C96" s="1">
        <v>65.659700000000001</v>
      </c>
      <c r="D96" s="1">
        <v>143.09</v>
      </c>
      <c r="E96" s="1">
        <v>429.09399999999999</v>
      </c>
      <c r="F96" s="9" t="s">
        <v>57</v>
      </c>
      <c r="G96" s="9">
        <v>0</v>
      </c>
      <c r="H96" s="1" t="s">
        <v>57</v>
      </c>
      <c r="I96" s="1" t="s">
        <v>57</v>
      </c>
      <c r="J96" s="1"/>
      <c r="M96" s="9"/>
      <c r="N96" s="3"/>
      <c r="Q96" s="3"/>
      <c r="R96" s="3"/>
      <c r="AA96" s="9"/>
      <c r="AB96" s="9"/>
      <c r="AC96" s="9"/>
      <c r="AD96" s="9"/>
      <c r="AG96" s="9"/>
      <c r="AH96" s="9"/>
      <c r="AJ96" s="2"/>
      <c r="AK96" s="2"/>
      <c r="AL96" s="2"/>
      <c r="AM96" s="2"/>
      <c r="AN96" s="9"/>
      <c r="AO96" s="9"/>
      <c r="AP96" s="9"/>
    </row>
    <row r="97" spans="1:42" x14ac:dyDescent="0.25">
      <c r="A97" s="1">
        <v>328.53300000000002</v>
      </c>
      <c r="B97" s="1" t="s">
        <v>57</v>
      </c>
      <c r="C97" s="1">
        <v>65.659700000000001</v>
      </c>
      <c r="D97" s="1">
        <v>143.09</v>
      </c>
      <c r="E97" s="1">
        <v>429.09399999999999</v>
      </c>
      <c r="F97" s="9" t="s">
        <v>57</v>
      </c>
      <c r="G97" s="9">
        <v>0</v>
      </c>
      <c r="H97" s="1" t="s">
        <v>57</v>
      </c>
      <c r="I97" s="1" t="s">
        <v>57</v>
      </c>
      <c r="J97" s="1"/>
      <c r="M97" s="9"/>
      <c r="N97" s="3"/>
      <c r="Q97" s="3"/>
      <c r="R97" s="3"/>
      <c r="AA97" s="9"/>
      <c r="AB97" s="9"/>
      <c r="AC97" s="9"/>
      <c r="AD97" s="9"/>
      <c r="AG97" s="9"/>
      <c r="AH97" s="9"/>
      <c r="AJ97" s="2"/>
      <c r="AK97" s="2"/>
      <c r="AL97" s="2"/>
      <c r="AM97" s="2"/>
      <c r="AN97" s="9"/>
      <c r="AO97" s="9"/>
      <c r="AP97" s="9"/>
    </row>
    <row r="98" spans="1:42" x14ac:dyDescent="0.25">
      <c r="A98" s="1">
        <v>333.66699999999997</v>
      </c>
      <c r="B98" s="1" t="s">
        <v>57</v>
      </c>
      <c r="C98" s="1">
        <v>65.659700000000001</v>
      </c>
      <c r="D98" s="1">
        <v>143.09</v>
      </c>
      <c r="E98" s="1">
        <v>429.09399999999999</v>
      </c>
      <c r="F98" s="9" t="s">
        <v>57</v>
      </c>
      <c r="G98" s="9">
        <v>0</v>
      </c>
      <c r="H98" s="1" t="s">
        <v>57</v>
      </c>
      <c r="I98" s="1" t="s">
        <v>57</v>
      </c>
      <c r="J98" s="1"/>
      <c r="M98" s="9"/>
      <c r="N98" s="3"/>
      <c r="Q98" s="3"/>
      <c r="R98" s="3"/>
      <c r="AA98" s="9"/>
      <c r="AB98" s="9"/>
      <c r="AC98" s="9"/>
      <c r="AD98" s="9"/>
      <c r="AG98" s="9"/>
      <c r="AH98" s="9"/>
      <c r="AJ98" s="2"/>
      <c r="AK98" s="2"/>
      <c r="AL98" s="2"/>
      <c r="AM98" s="2"/>
      <c r="AN98" s="9"/>
      <c r="AO98" s="9"/>
      <c r="AP98" s="9"/>
    </row>
    <row r="99" spans="1:42" x14ac:dyDescent="0.25">
      <c r="A99" s="1">
        <v>338.8</v>
      </c>
      <c r="B99" s="1" t="s">
        <v>57</v>
      </c>
      <c r="C99" s="1">
        <v>65.659700000000001</v>
      </c>
      <c r="D99" s="1">
        <v>143.09</v>
      </c>
      <c r="E99" s="1">
        <v>429.09399999999999</v>
      </c>
      <c r="F99" s="9" t="s">
        <v>57</v>
      </c>
      <c r="G99" s="9">
        <v>0</v>
      </c>
      <c r="H99" s="1" t="s">
        <v>57</v>
      </c>
      <c r="I99" s="1" t="s">
        <v>57</v>
      </c>
      <c r="J99" s="1"/>
      <c r="M99" s="9"/>
      <c r="N99" s="3"/>
      <c r="Q99" s="3"/>
      <c r="R99" s="3"/>
      <c r="AA99" s="9"/>
      <c r="AB99" s="9"/>
      <c r="AC99" s="9"/>
      <c r="AD99" s="9"/>
      <c r="AG99" s="9"/>
      <c r="AH99" s="9"/>
      <c r="AJ99" s="2"/>
      <c r="AK99" s="2"/>
      <c r="AL99" s="2"/>
      <c r="AM99" s="2"/>
      <c r="AN99" s="9"/>
      <c r="AO99" s="9"/>
      <c r="AP99" s="9"/>
    </row>
    <row r="100" spans="1:42" x14ac:dyDescent="0.25">
      <c r="A100" s="1">
        <v>343.93299999999999</v>
      </c>
      <c r="B100" s="1" t="s">
        <v>57</v>
      </c>
      <c r="C100" s="1">
        <v>65.659700000000001</v>
      </c>
      <c r="D100" s="1">
        <v>143.09</v>
      </c>
      <c r="E100" s="1">
        <v>429.09399999999999</v>
      </c>
      <c r="F100" s="9" t="s">
        <v>57</v>
      </c>
      <c r="G100" s="9">
        <v>0</v>
      </c>
      <c r="H100" s="1" t="s">
        <v>57</v>
      </c>
      <c r="I100" s="1" t="s">
        <v>57</v>
      </c>
      <c r="J100" s="1"/>
      <c r="M100" s="9"/>
      <c r="N100" s="3"/>
      <c r="Q100" s="3"/>
      <c r="R100" s="3"/>
      <c r="AA100" s="9"/>
      <c r="AB100" s="9"/>
      <c r="AC100" s="9"/>
      <c r="AD100" s="9"/>
      <c r="AG100" s="9"/>
      <c r="AH100" s="9"/>
      <c r="AJ100" s="2"/>
      <c r="AK100" s="2"/>
      <c r="AL100" s="2"/>
      <c r="AM100" s="2"/>
      <c r="AN100" s="9"/>
      <c r="AO100" s="9"/>
      <c r="AP100" s="9"/>
    </row>
    <row r="101" spans="1:42" x14ac:dyDescent="0.25">
      <c r="A101" s="1">
        <v>349.06700000000001</v>
      </c>
      <c r="B101" s="1" t="s">
        <v>57</v>
      </c>
      <c r="C101" s="1">
        <v>65.659700000000001</v>
      </c>
      <c r="D101" s="1">
        <v>143.09</v>
      </c>
      <c r="E101" s="1">
        <v>429.09399999999999</v>
      </c>
      <c r="F101" s="9" t="s">
        <v>57</v>
      </c>
      <c r="G101" s="9">
        <v>0</v>
      </c>
      <c r="H101" s="1" t="s">
        <v>57</v>
      </c>
      <c r="I101" s="1" t="s">
        <v>57</v>
      </c>
      <c r="J101" s="1"/>
      <c r="M101" s="9"/>
      <c r="N101" s="3"/>
      <c r="Q101" s="3"/>
      <c r="R101" s="3"/>
      <c r="AA101" s="9"/>
      <c r="AB101" s="9"/>
      <c r="AC101" s="9"/>
      <c r="AD101" s="9"/>
      <c r="AG101" s="9"/>
      <c r="AH101" s="9"/>
      <c r="AJ101" s="2"/>
      <c r="AK101" s="2"/>
      <c r="AL101" s="2"/>
      <c r="AM101" s="2"/>
      <c r="AN101" s="9"/>
      <c r="AO101" s="9"/>
      <c r="AP101" s="9"/>
    </row>
    <row r="102" spans="1:42" x14ac:dyDescent="0.25">
      <c r="A102" s="1">
        <v>354.2</v>
      </c>
      <c r="B102" s="1" t="s">
        <v>57</v>
      </c>
      <c r="C102" s="1">
        <v>65.659700000000001</v>
      </c>
      <c r="D102" s="1">
        <v>143.09</v>
      </c>
      <c r="E102" s="1">
        <v>429.09399999999999</v>
      </c>
      <c r="F102" s="9" t="s">
        <v>57</v>
      </c>
      <c r="G102" s="9">
        <v>0</v>
      </c>
      <c r="H102" s="1" t="s">
        <v>57</v>
      </c>
      <c r="I102" s="1" t="s">
        <v>57</v>
      </c>
      <c r="J102" s="1"/>
      <c r="M102" s="9"/>
      <c r="N102" s="3"/>
      <c r="Q102" s="3"/>
      <c r="R102" s="3"/>
      <c r="AA102" s="9"/>
      <c r="AB102" s="9"/>
      <c r="AC102" s="9"/>
      <c r="AD102" s="9"/>
      <c r="AG102" s="9"/>
      <c r="AH102" s="9"/>
      <c r="AJ102" s="2"/>
      <c r="AK102" s="2"/>
      <c r="AL102" s="2"/>
      <c r="AM102" s="2"/>
      <c r="AN102" s="9"/>
      <c r="AO102" s="9"/>
      <c r="AP102" s="9"/>
    </row>
    <row r="103" spans="1:42" x14ac:dyDescent="0.25">
      <c r="A103" s="1">
        <v>359.33300000000003</v>
      </c>
      <c r="B103" s="1" t="s">
        <v>57</v>
      </c>
      <c r="C103" s="1">
        <v>65.659700000000001</v>
      </c>
      <c r="D103" s="1">
        <v>143.09</v>
      </c>
      <c r="E103" s="1">
        <v>429.09399999999999</v>
      </c>
      <c r="F103" s="9" t="s">
        <v>57</v>
      </c>
      <c r="G103" s="9">
        <v>0</v>
      </c>
      <c r="H103" s="1" t="s">
        <v>57</v>
      </c>
      <c r="I103" s="1" t="s">
        <v>57</v>
      </c>
      <c r="J103" s="1"/>
      <c r="M103" s="9"/>
      <c r="N103" s="3"/>
      <c r="Q103" s="3"/>
      <c r="R103" s="3"/>
      <c r="AA103" s="9"/>
      <c r="AB103" s="9"/>
      <c r="AC103" s="9"/>
      <c r="AD103" s="9"/>
      <c r="AG103" s="9"/>
      <c r="AH103" s="9"/>
      <c r="AJ103" s="2"/>
      <c r="AK103" s="2"/>
      <c r="AL103" s="2"/>
      <c r="AM103" s="2"/>
      <c r="AN103" s="9"/>
      <c r="AO103" s="9"/>
      <c r="AP103" s="9"/>
    </row>
    <row r="104" spans="1:42" x14ac:dyDescent="0.25">
      <c r="A104" s="1">
        <v>364.46699999999998</v>
      </c>
      <c r="B104" s="1" t="s">
        <v>57</v>
      </c>
      <c r="C104" s="1">
        <v>65.659700000000001</v>
      </c>
      <c r="D104" s="1">
        <v>143.09</v>
      </c>
      <c r="E104" s="1">
        <v>429.09399999999999</v>
      </c>
      <c r="F104" s="9" t="s">
        <v>57</v>
      </c>
      <c r="G104" s="9">
        <v>0</v>
      </c>
      <c r="H104" s="1" t="s">
        <v>57</v>
      </c>
      <c r="I104" s="1" t="s">
        <v>57</v>
      </c>
      <c r="J104" s="1"/>
      <c r="M104" s="9"/>
      <c r="N104" s="3"/>
      <c r="Q104" s="3"/>
      <c r="R104" s="3"/>
      <c r="AA104" s="9"/>
      <c r="AB104" s="9"/>
      <c r="AC104" s="9"/>
      <c r="AD104" s="9"/>
      <c r="AG104" s="9"/>
      <c r="AH104" s="9"/>
      <c r="AJ104" s="2"/>
      <c r="AK104" s="2"/>
      <c r="AL104" s="2"/>
      <c r="AM104" s="2"/>
      <c r="AN104" s="9"/>
      <c r="AO104" s="9"/>
      <c r="AP104" s="9"/>
    </row>
    <row r="105" spans="1:42" x14ac:dyDescent="0.25">
      <c r="A105" s="1">
        <v>369.6</v>
      </c>
      <c r="B105" s="1" t="s">
        <v>57</v>
      </c>
      <c r="C105" s="1">
        <v>65.659700000000001</v>
      </c>
      <c r="D105" s="1">
        <v>143.09</v>
      </c>
      <c r="E105" s="1">
        <v>429.09399999999999</v>
      </c>
      <c r="F105" s="9" t="s">
        <v>57</v>
      </c>
      <c r="G105" s="9">
        <v>0</v>
      </c>
      <c r="H105" s="1" t="s">
        <v>57</v>
      </c>
      <c r="I105" s="1" t="s">
        <v>57</v>
      </c>
      <c r="J105" s="1"/>
      <c r="M105" s="9"/>
      <c r="N105" s="3"/>
      <c r="Q105" s="3"/>
      <c r="R105" s="3"/>
      <c r="AA105" s="9"/>
      <c r="AB105" s="9"/>
      <c r="AC105" s="9"/>
      <c r="AD105" s="9"/>
      <c r="AG105" s="9"/>
      <c r="AH105" s="9"/>
      <c r="AJ105" s="2"/>
      <c r="AK105" s="2"/>
      <c r="AL105" s="2"/>
      <c r="AM105" s="2"/>
      <c r="AN105" s="9"/>
      <c r="AO105" s="9"/>
      <c r="AP105" s="9"/>
    </row>
    <row r="106" spans="1:42" x14ac:dyDescent="0.25">
      <c r="A106" s="1">
        <v>374.733</v>
      </c>
      <c r="B106" s="1" t="s">
        <v>57</v>
      </c>
      <c r="C106" s="1">
        <v>65.659700000000001</v>
      </c>
      <c r="D106" s="1">
        <v>143.09</v>
      </c>
      <c r="E106" s="1">
        <v>429.09399999999999</v>
      </c>
      <c r="F106" s="9" t="s">
        <v>57</v>
      </c>
      <c r="G106" s="9">
        <v>0</v>
      </c>
      <c r="H106" s="1" t="s">
        <v>57</v>
      </c>
      <c r="I106" s="1" t="s">
        <v>57</v>
      </c>
      <c r="J106" s="1"/>
      <c r="M106" s="9"/>
      <c r="N106" s="3"/>
      <c r="Q106" s="3"/>
      <c r="R106" s="3"/>
      <c r="AA106" s="9"/>
      <c r="AB106" s="9"/>
      <c r="AC106" s="9"/>
      <c r="AD106" s="9"/>
      <c r="AG106" s="9"/>
      <c r="AH106" s="9"/>
      <c r="AJ106" s="2"/>
      <c r="AK106" s="2"/>
      <c r="AL106" s="2"/>
      <c r="AM106" s="2"/>
      <c r="AN106" s="9"/>
      <c r="AO106" s="9"/>
      <c r="AP106" s="9"/>
    </row>
    <row r="107" spans="1:42" x14ac:dyDescent="0.25">
      <c r="A107" s="1">
        <v>379.86700000000002</v>
      </c>
      <c r="B107" s="1" t="s">
        <v>57</v>
      </c>
      <c r="C107" s="1">
        <v>65.659700000000001</v>
      </c>
      <c r="D107" s="1">
        <v>143.09</v>
      </c>
      <c r="E107" s="1">
        <v>429.09399999999999</v>
      </c>
      <c r="F107" s="9" t="s">
        <v>57</v>
      </c>
      <c r="G107" s="9">
        <v>0</v>
      </c>
      <c r="H107" s="1" t="s">
        <v>57</v>
      </c>
      <c r="I107" s="1" t="s">
        <v>57</v>
      </c>
      <c r="J107" s="1"/>
      <c r="M107" s="9"/>
      <c r="N107" s="3"/>
      <c r="Q107" s="3"/>
      <c r="R107" s="3"/>
      <c r="AA107" s="9"/>
      <c r="AB107" s="9"/>
      <c r="AC107" s="9"/>
      <c r="AD107" s="9"/>
      <c r="AG107" s="9"/>
      <c r="AH107" s="9"/>
      <c r="AJ107" s="2"/>
      <c r="AK107" s="2"/>
      <c r="AL107" s="2"/>
      <c r="AM107" s="2"/>
      <c r="AN107" s="9"/>
      <c r="AO107" s="9"/>
      <c r="AP107" s="9"/>
    </row>
    <row r="108" spans="1:42" x14ac:dyDescent="0.25">
      <c r="A108" s="1">
        <v>385</v>
      </c>
      <c r="B108" s="1" t="s">
        <v>57</v>
      </c>
      <c r="C108" s="1">
        <v>65.659700000000001</v>
      </c>
      <c r="D108" s="1">
        <v>143.09</v>
      </c>
      <c r="E108" s="1">
        <v>429.09399999999999</v>
      </c>
      <c r="F108" s="9" t="s">
        <v>57</v>
      </c>
      <c r="G108" s="9">
        <v>0</v>
      </c>
      <c r="H108" s="1" t="s">
        <v>57</v>
      </c>
      <c r="I108" s="1" t="s">
        <v>57</v>
      </c>
      <c r="J108" s="1"/>
      <c r="M108" s="9"/>
      <c r="N108" s="3"/>
      <c r="Q108" s="3"/>
      <c r="R108" s="3"/>
      <c r="AA108" s="9"/>
      <c r="AB108" s="9"/>
      <c r="AC108" s="9"/>
      <c r="AD108" s="9"/>
      <c r="AG108" s="9"/>
      <c r="AH108" s="9"/>
      <c r="AJ108" s="2"/>
      <c r="AK108" s="2"/>
      <c r="AL108" s="2"/>
      <c r="AM108" s="2"/>
      <c r="AN108" s="9"/>
      <c r="AO108" s="9"/>
      <c r="AP108" s="9"/>
    </row>
    <row r="109" spans="1:42" x14ac:dyDescent="0.25">
      <c r="A109" s="1">
        <v>390.13299999999998</v>
      </c>
      <c r="B109" s="1" t="s">
        <v>57</v>
      </c>
      <c r="C109" s="1">
        <v>65.659700000000001</v>
      </c>
      <c r="D109" s="1">
        <v>143.09</v>
      </c>
      <c r="E109" s="1">
        <v>429.09399999999999</v>
      </c>
      <c r="F109" s="9" t="s">
        <v>57</v>
      </c>
      <c r="G109" s="9">
        <v>0</v>
      </c>
      <c r="H109" s="1" t="s">
        <v>57</v>
      </c>
      <c r="I109" s="1" t="s">
        <v>57</v>
      </c>
      <c r="J109" s="1"/>
      <c r="M109" s="9"/>
      <c r="N109" s="3"/>
      <c r="Q109" s="3"/>
      <c r="R109" s="3"/>
      <c r="AA109" s="9"/>
      <c r="AB109" s="9"/>
      <c r="AC109" s="9"/>
      <c r="AD109" s="9"/>
      <c r="AG109" s="9"/>
      <c r="AH109" s="9"/>
      <c r="AJ109" s="2"/>
      <c r="AK109" s="2"/>
      <c r="AL109" s="2"/>
      <c r="AM109" s="2"/>
      <c r="AN109" s="9"/>
      <c r="AO109" s="9"/>
      <c r="AP109" s="9"/>
    </row>
    <row r="110" spans="1:42" x14ac:dyDescent="0.25">
      <c r="A110" s="1">
        <v>395.267</v>
      </c>
      <c r="B110" s="1" t="s">
        <v>57</v>
      </c>
      <c r="C110" s="1">
        <v>65.659700000000001</v>
      </c>
      <c r="D110" s="1">
        <v>143.09</v>
      </c>
      <c r="E110" s="1">
        <v>429.09399999999999</v>
      </c>
      <c r="F110" s="9" t="s">
        <v>57</v>
      </c>
      <c r="G110" s="9">
        <v>0</v>
      </c>
      <c r="H110" s="1" t="s">
        <v>57</v>
      </c>
      <c r="I110" s="1" t="s">
        <v>57</v>
      </c>
      <c r="J110" s="1"/>
      <c r="M110" s="9"/>
      <c r="N110" s="3"/>
      <c r="Q110" s="3"/>
      <c r="R110" s="3"/>
      <c r="AA110" s="9"/>
      <c r="AB110" s="9"/>
      <c r="AC110" s="9"/>
      <c r="AD110" s="9"/>
      <c r="AG110" s="9"/>
      <c r="AH110" s="9"/>
      <c r="AJ110" s="2"/>
      <c r="AK110" s="2"/>
      <c r="AL110" s="2"/>
      <c r="AM110" s="2"/>
      <c r="AN110" s="9"/>
      <c r="AO110" s="9"/>
      <c r="AP110" s="9"/>
    </row>
    <row r="111" spans="1:42" x14ac:dyDescent="0.25">
      <c r="A111" s="1">
        <v>400.4</v>
      </c>
      <c r="B111" s="1" t="s">
        <v>57</v>
      </c>
      <c r="C111" s="1">
        <v>65.659700000000001</v>
      </c>
      <c r="D111" s="1">
        <v>143.09</v>
      </c>
      <c r="E111" s="1">
        <v>429.09399999999999</v>
      </c>
      <c r="F111" s="9" t="s">
        <v>57</v>
      </c>
      <c r="G111" s="9">
        <v>0</v>
      </c>
      <c r="H111" s="1" t="s">
        <v>57</v>
      </c>
      <c r="I111" s="1" t="s">
        <v>57</v>
      </c>
      <c r="J111" s="1"/>
      <c r="M111" s="9"/>
      <c r="N111" s="3"/>
      <c r="Q111" s="3"/>
      <c r="R111" s="3"/>
      <c r="AA111" s="9"/>
      <c r="AB111" s="9"/>
      <c r="AC111" s="9"/>
      <c r="AD111" s="9"/>
      <c r="AG111" s="9"/>
      <c r="AH111" s="9"/>
      <c r="AJ111" s="2"/>
      <c r="AK111" s="2"/>
      <c r="AL111" s="2"/>
      <c r="AM111" s="2"/>
      <c r="AN111" s="9"/>
      <c r="AO111" s="9"/>
      <c r="AP111" s="9"/>
    </row>
    <row r="112" spans="1:42" x14ac:dyDescent="0.25">
      <c r="A112" s="1">
        <v>405.53300000000002</v>
      </c>
      <c r="B112" s="1" t="s">
        <v>57</v>
      </c>
      <c r="C112" s="1">
        <v>65.659700000000001</v>
      </c>
      <c r="D112" s="1">
        <v>143.09</v>
      </c>
      <c r="E112" s="1">
        <v>429.09399999999999</v>
      </c>
      <c r="F112" s="9" t="s">
        <v>57</v>
      </c>
      <c r="G112" s="9">
        <v>0</v>
      </c>
      <c r="H112" s="1" t="s">
        <v>57</v>
      </c>
      <c r="I112" s="1" t="s">
        <v>57</v>
      </c>
      <c r="J112" s="1"/>
      <c r="M112" s="9"/>
      <c r="N112" s="3"/>
      <c r="Q112" s="3"/>
      <c r="R112" s="3"/>
      <c r="AA112" s="9"/>
      <c r="AB112" s="9"/>
      <c r="AC112" s="9"/>
      <c r="AD112" s="9"/>
      <c r="AG112" s="9"/>
      <c r="AH112" s="9"/>
      <c r="AJ112" s="2"/>
      <c r="AK112" s="2"/>
      <c r="AL112" s="2"/>
      <c r="AM112" s="2"/>
      <c r="AN112" s="9"/>
      <c r="AO112" s="9"/>
      <c r="AP112" s="9"/>
    </row>
    <row r="113" spans="1:42" x14ac:dyDescent="0.25">
      <c r="A113" s="1">
        <v>410.66699999999997</v>
      </c>
      <c r="B113" s="1" t="s">
        <v>57</v>
      </c>
      <c r="C113" s="1">
        <v>65.659700000000001</v>
      </c>
      <c r="D113" s="1">
        <v>143.09</v>
      </c>
      <c r="E113" s="1">
        <v>429.09399999999999</v>
      </c>
      <c r="F113" s="9" t="s">
        <v>57</v>
      </c>
      <c r="G113" s="9">
        <v>0</v>
      </c>
      <c r="H113" s="1" t="s">
        <v>57</v>
      </c>
      <c r="I113" s="1" t="s">
        <v>57</v>
      </c>
      <c r="J113" s="1"/>
      <c r="M113" s="9"/>
      <c r="N113" s="3"/>
      <c r="Q113" s="3"/>
      <c r="R113" s="3"/>
      <c r="AA113" s="9"/>
      <c r="AB113" s="9"/>
      <c r="AC113" s="9"/>
      <c r="AD113" s="9"/>
      <c r="AG113" s="9"/>
      <c r="AH113" s="9"/>
      <c r="AJ113" s="2"/>
      <c r="AK113" s="2"/>
      <c r="AL113" s="2"/>
      <c r="AM113" s="2"/>
      <c r="AN113" s="9"/>
      <c r="AO113" s="9"/>
      <c r="AP113" s="9"/>
    </row>
    <row r="114" spans="1:42" x14ac:dyDescent="0.25">
      <c r="A114" s="1">
        <v>415.8</v>
      </c>
      <c r="B114" s="1" t="s">
        <v>57</v>
      </c>
      <c r="C114" s="1">
        <v>65.659700000000001</v>
      </c>
      <c r="D114" s="1">
        <v>143.09</v>
      </c>
      <c r="E114" s="1">
        <v>429.09399999999999</v>
      </c>
      <c r="F114" s="9" t="s">
        <v>57</v>
      </c>
      <c r="G114" s="9">
        <v>0</v>
      </c>
      <c r="H114" s="1" t="s">
        <v>57</v>
      </c>
      <c r="I114" s="1" t="s">
        <v>57</v>
      </c>
      <c r="J114" s="1"/>
      <c r="M114" s="9"/>
      <c r="N114" s="3"/>
      <c r="Q114" s="3"/>
      <c r="R114" s="3"/>
      <c r="AA114" s="9"/>
      <c r="AB114" s="9"/>
      <c r="AC114" s="9"/>
      <c r="AD114" s="9"/>
      <c r="AG114" s="9"/>
      <c r="AH114" s="9"/>
      <c r="AJ114" s="2"/>
      <c r="AK114" s="2"/>
      <c r="AL114" s="2"/>
      <c r="AM114" s="2"/>
      <c r="AN114" s="9"/>
      <c r="AO114" s="9"/>
      <c r="AP114" s="9"/>
    </row>
    <row r="115" spans="1:42" x14ac:dyDescent="0.25">
      <c r="A115" s="1">
        <v>420.93299999999999</v>
      </c>
      <c r="B115" s="1" t="s">
        <v>57</v>
      </c>
      <c r="C115" s="1">
        <v>65.659700000000001</v>
      </c>
      <c r="D115" s="1">
        <v>143.09</v>
      </c>
      <c r="E115" s="1">
        <v>429.09399999999999</v>
      </c>
      <c r="F115" s="9" t="s">
        <v>57</v>
      </c>
      <c r="G115" s="9">
        <v>0</v>
      </c>
      <c r="H115" s="1" t="s">
        <v>57</v>
      </c>
      <c r="I115" s="1" t="s">
        <v>57</v>
      </c>
      <c r="J115" s="1"/>
      <c r="M115" s="9"/>
      <c r="N115" s="3"/>
      <c r="Q115" s="3"/>
      <c r="R115" s="3"/>
      <c r="AA115" s="9"/>
      <c r="AB115" s="9"/>
      <c r="AC115" s="9"/>
      <c r="AD115" s="9"/>
      <c r="AG115" s="9"/>
      <c r="AH115" s="9"/>
      <c r="AJ115" s="2"/>
      <c r="AK115" s="2"/>
      <c r="AL115" s="2"/>
      <c r="AM115" s="2"/>
      <c r="AN115" s="9"/>
      <c r="AO115" s="9"/>
      <c r="AP115" s="9"/>
    </row>
    <row r="116" spans="1:42" x14ac:dyDescent="0.25">
      <c r="A116" s="1">
        <v>426.06700000000001</v>
      </c>
      <c r="B116" s="1" t="s">
        <v>57</v>
      </c>
      <c r="C116" s="1">
        <v>65.659700000000001</v>
      </c>
      <c r="D116" s="1">
        <v>143.09</v>
      </c>
      <c r="E116" s="1">
        <v>429.09399999999999</v>
      </c>
      <c r="F116" s="9" t="s">
        <v>57</v>
      </c>
      <c r="G116" s="9">
        <v>0</v>
      </c>
      <c r="H116" s="1" t="s">
        <v>57</v>
      </c>
      <c r="I116" s="1" t="s">
        <v>57</v>
      </c>
      <c r="J116" s="1"/>
      <c r="M116" s="9"/>
      <c r="N116" s="3"/>
      <c r="Q116" s="3"/>
      <c r="R116" s="3"/>
      <c r="AA116" s="9"/>
      <c r="AB116" s="9"/>
      <c r="AC116" s="9"/>
      <c r="AD116" s="9"/>
      <c r="AG116" s="9"/>
      <c r="AH116" s="9"/>
      <c r="AJ116" s="2"/>
      <c r="AK116" s="2"/>
      <c r="AL116" s="2"/>
      <c r="AM116" s="2"/>
      <c r="AN116" s="9"/>
      <c r="AO116" s="9"/>
      <c r="AP116" s="9"/>
    </row>
    <row r="117" spans="1:42" x14ac:dyDescent="0.25">
      <c r="A117" s="1">
        <v>431.2</v>
      </c>
      <c r="B117" s="1" t="s">
        <v>57</v>
      </c>
      <c r="C117" s="1">
        <v>65.659700000000001</v>
      </c>
      <c r="D117" s="1">
        <v>143.09</v>
      </c>
      <c r="E117" s="1">
        <v>429.09399999999999</v>
      </c>
      <c r="F117" s="9" t="s">
        <v>57</v>
      </c>
      <c r="G117" s="9">
        <v>0</v>
      </c>
      <c r="H117" s="1" t="s">
        <v>57</v>
      </c>
      <c r="I117" s="1" t="s">
        <v>57</v>
      </c>
      <c r="J117" s="1"/>
      <c r="M117" s="9"/>
      <c r="N117" s="3"/>
      <c r="Q117" s="3"/>
      <c r="R117" s="3"/>
      <c r="AA117" s="9"/>
      <c r="AB117" s="9"/>
      <c r="AC117" s="9"/>
      <c r="AD117" s="9"/>
      <c r="AG117" s="9"/>
      <c r="AH117" s="9"/>
      <c r="AJ117" s="2"/>
      <c r="AK117" s="2"/>
      <c r="AL117" s="2"/>
      <c r="AM117" s="2"/>
      <c r="AN117" s="9"/>
      <c r="AO117" s="9"/>
      <c r="AP117" s="9"/>
    </row>
    <row r="118" spans="1:42" x14ac:dyDescent="0.25">
      <c r="A118" s="1">
        <v>436.33300000000003</v>
      </c>
      <c r="B118" s="1" t="s">
        <v>57</v>
      </c>
      <c r="C118" s="1">
        <v>65.659700000000001</v>
      </c>
      <c r="D118" s="1">
        <v>143.09</v>
      </c>
      <c r="E118" s="1">
        <v>429.09399999999999</v>
      </c>
      <c r="F118" s="9" t="s">
        <v>57</v>
      </c>
      <c r="G118" s="9">
        <v>0</v>
      </c>
      <c r="H118" s="1" t="s">
        <v>57</v>
      </c>
      <c r="I118" s="1" t="s">
        <v>57</v>
      </c>
      <c r="J118" s="1"/>
      <c r="M118" s="9"/>
      <c r="N118" s="3"/>
      <c r="Q118" s="3"/>
      <c r="R118" s="3"/>
      <c r="AA118" s="9"/>
      <c r="AB118" s="9"/>
      <c r="AC118" s="9"/>
      <c r="AD118" s="9"/>
      <c r="AG118" s="9"/>
      <c r="AH118" s="9"/>
      <c r="AJ118" s="2"/>
      <c r="AK118" s="2"/>
      <c r="AL118" s="2"/>
      <c r="AM118" s="2"/>
      <c r="AN118" s="9"/>
      <c r="AO118" s="9"/>
      <c r="AP118" s="9"/>
    </row>
    <row r="119" spans="1:42" x14ac:dyDescent="0.25">
      <c r="A119" s="1">
        <v>441.46699999999998</v>
      </c>
      <c r="B119" s="1" t="s">
        <v>57</v>
      </c>
      <c r="C119" s="1">
        <v>65.659700000000001</v>
      </c>
      <c r="D119" s="1">
        <v>143.09</v>
      </c>
      <c r="E119" s="1">
        <v>429.09399999999999</v>
      </c>
      <c r="F119" s="9" t="s">
        <v>57</v>
      </c>
      <c r="G119" s="9">
        <v>0</v>
      </c>
      <c r="H119" s="1" t="s">
        <v>57</v>
      </c>
      <c r="I119" s="1" t="s">
        <v>57</v>
      </c>
      <c r="J119" s="1"/>
      <c r="M119" s="9"/>
      <c r="N119" s="3"/>
      <c r="Q119" s="3"/>
      <c r="R119" s="3"/>
      <c r="AA119" s="9"/>
      <c r="AB119" s="9"/>
      <c r="AC119" s="9"/>
      <c r="AD119" s="9"/>
      <c r="AG119" s="9"/>
      <c r="AH119" s="9"/>
      <c r="AJ119" s="2"/>
      <c r="AK119" s="2"/>
      <c r="AL119" s="2"/>
      <c r="AM119" s="2"/>
      <c r="AN119" s="9"/>
      <c r="AO119" s="9"/>
      <c r="AP119" s="9"/>
    </row>
    <row r="120" spans="1:42" x14ac:dyDescent="0.25">
      <c r="A120" s="1">
        <v>446.6</v>
      </c>
      <c r="B120" s="1" t="s">
        <v>57</v>
      </c>
      <c r="C120" s="1">
        <v>65.659700000000001</v>
      </c>
      <c r="D120" s="1">
        <v>143.09</v>
      </c>
      <c r="E120" s="1">
        <v>429.09399999999999</v>
      </c>
      <c r="F120" s="9" t="s">
        <v>57</v>
      </c>
      <c r="G120" s="9">
        <v>0</v>
      </c>
      <c r="H120" s="1" t="s">
        <v>57</v>
      </c>
      <c r="I120" s="1" t="s">
        <v>57</v>
      </c>
      <c r="J120" s="1"/>
      <c r="M120" s="9"/>
      <c r="N120" s="3"/>
      <c r="Q120" s="3"/>
      <c r="R120" s="3"/>
      <c r="AA120" s="9"/>
      <c r="AB120" s="9"/>
      <c r="AC120" s="9"/>
      <c r="AD120" s="9"/>
      <c r="AG120" s="9"/>
      <c r="AH120" s="9"/>
      <c r="AJ120" s="2"/>
      <c r="AK120" s="2"/>
      <c r="AL120" s="2"/>
      <c r="AM120" s="2"/>
      <c r="AN120" s="9"/>
      <c r="AO120" s="9"/>
      <c r="AP120" s="9"/>
    </row>
    <row r="121" spans="1:42" x14ac:dyDescent="0.25">
      <c r="A121" s="1">
        <v>451.733</v>
      </c>
      <c r="B121" s="1" t="s">
        <v>57</v>
      </c>
      <c r="C121" s="1">
        <v>65.659700000000001</v>
      </c>
      <c r="D121" s="1">
        <v>143.09</v>
      </c>
      <c r="E121" s="1">
        <v>429.09399999999999</v>
      </c>
      <c r="F121" s="9" t="s">
        <v>57</v>
      </c>
      <c r="G121" s="9">
        <v>0</v>
      </c>
      <c r="H121" s="1" t="s">
        <v>57</v>
      </c>
      <c r="I121" s="1" t="s">
        <v>57</v>
      </c>
      <c r="J121" s="1"/>
      <c r="M121" s="9"/>
      <c r="N121" s="3"/>
      <c r="Q121" s="3"/>
      <c r="R121" s="3"/>
      <c r="AA121" s="9"/>
      <c r="AB121" s="9"/>
      <c r="AC121" s="9"/>
      <c r="AD121" s="9"/>
      <c r="AG121" s="9"/>
      <c r="AH121" s="9"/>
      <c r="AJ121" s="2"/>
      <c r="AK121" s="2"/>
      <c r="AL121" s="2"/>
      <c r="AM121" s="2"/>
      <c r="AN121" s="9"/>
      <c r="AO121" s="9"/>
      <c r="AP121" s="9"/>
    </row>
    <row r="122" spans="1:42" x14ac:dyDescent="0.25">
      <c r="A122" s="1">
        <v>456.86700000000002</v>
      </c>
      <c r="B122" s="1" t="s">
        <v>57</v>
      </c>
      <c r="C122" s="1">
        <v>65.659700000000001</v>
      </c>
      <c r="D122" s="1">
        <v>143.09</v>
      </c>
      <c r="E122" s="1">
        <v>429.09399999999999</v>
      </c>
      <c r="F122" s="9" t="s">
        <v>57</v>
      </c>
      <c r="G122" s="9">
        <v>0</v>
      </c>
      <c r="H122" s="1" t="s">
        <v>57</v>
      </c>
      <c r="I122" s="1" t="s">
        <v>57</v>
      </c>
      <c r="J122" s="1"/>
      <c r="M122" s="9"/>
      <c r="N122" s="3"/>
      <c r="Q122" s="3"/>
      <c r="R122" s="3"/>
      <c r="AA122" s="9"/>
      <c r="AB122" s="9"/>
      <c r="AC122" s="9"/>
      <c r="AD122" s="9"/>
      <c r="AG122" s="9"/>
      <c r="AH122" s="9"/>
      <c r="AJ122" s="2"/>
      <c r="AK122" s="2"/>
      <c r="AL122" s="2"/>
      <c r="AM122" s="2"/>
      <c r="AN122" s="9"/>
      <c r="AO122" s="9"/>
      <c r="AP122" s="9"/>
    </row>
    <row r="123" spans="1:42" x14ac:dyDescent="0.25">
      <c r="A123" s="1">
        <v>462</v>
      </c>
      <c r="B123" s="1" t="s">
        <v>57</v>
      </c>
      <c r="C123" s="1">
        <v>65.659700000000001</v>
      </c>
      <c r="D123" s="1">
        <v>143.09</v>
      </c>
      <c r="E123" s="1">
        <v>429.09399999999999</v>
      </c>
      <c r="F123" s="9" t="s">
        <v>57</v>
      </c>
      <c r="G123" s="9">
        <v>0</v>
      </c>
      <c r="H123" s="1" t="s">
        <v>57</v>
      </c>
      <c r="I123" s="1" t="s">
        <v>57</v>
      </c>
      <c r="J123" s="1"/>
      <c r="M123" s="9"/>
      <c r="N123" s="3"/>
      <c r="Q123" s="3"/>
      <c r="R123" s="3"/>
      <c r="AA123" s="9"/>
      <c r="AB123" s="9"/>
      <c r="AC123" s="9"/>
      <c r="AD123" s="9"/>
      <c r="AG123" s="9"/>
      <c r="AH123" s="9"/>
      <c r="AJ123" s="2"/>
      <c r="AK123" s="2"/>
      <c r="AL123" s="2"/>
      <c r="AM123" s="2"/>
      <c r="AN123" s="9"/>
      <c r="AO123" s="9"/>
      <c r="AP123" s="9"/>
    </row>
    <row r="124" spans="1:42" x14ac:dyDescent="0.25">
      <c r="A124" s="1">
        <v>467.13299999999998</v>
      </c>
      <c r="B124" s="1" t="s">
        <v>57</v>
      </c>
      <c r="C124" s="1">
        <v>65.659700000000001</v>
      </c>
      <c r="D124" s="1">
        <v>143.09</v>
      </c>
      <c r="E124" s="1">
        <v>429.09399999999999</v>
      </c>
      <c r="F124" s="9" t="s">
        <v>57</v>
      </c>
      <c r="G124" s="9">
        <v>0</v>
      </c>
      <c r="H124" s="1" t="s">
        <v>57</v>
      </c>
      <c r="I124" s="1" t="s">
        <v>57</v>
      </c>
      <c r="J124" s="1"/>
      <c r="M124" s="9"/>
      <c r="N124" s="3"/>
      <c r="Q124" s="3"/>
      <c r="R124" s="3"/>
      <c r="AA124" s="9"/>
      <c r="AB124" s="9"/>
      <c r="AC124" s="9"/>
      <c r="AD124" s="9"/>
      <c r="AG124" s="9"/>
      <c r="AH124" s="9"/>
      <c r="AJ124" s="2"/>
      <c r="AK124" s="2"/>
      <c r="AL124" s="2"/>
      <c r="AM124" s="2"/>
      <c r="AN124" s="9"/>
      <c r="AO124" s="9"/>
      <c r="AP124" s="9"/>
    </row>
    <row r="125" spans="1:42" x14ac:dyDescent="0.25">
      <c r="A125" s="1">
        <v>472.267</v>
      </c>
      <c r="B125" s="1" t="s">
        <v>57</v>
      </c>
      <c r="C125" s="1">
        <v>65.659700000000001</v>
      </c>
      <c r="D125" s="1">
        <v>143.09</v>
      </c>
      <c r="E125" s="1">
        <v>429.09399999999999</v>
      </c>
      <c r="F125" s="9" t="s">
        <v>57</v>
      </c>
      <c r="G125" s="9">
        <v>0</v>
      </c>
      <c r="H125" s="1" t="s">
        <v>57</v>
      </c>
      <c r="I125" s="1" t="s">
        <v>57</v>
      </c>
      <c r="J125" s="1"/>
      <c r="M125" s="9"/>
      <c r="N125" s="3"/>
      <c r="Q125" s="3"/>
      <c r="R125" s="3"/>
      <c r="AA125" s="9"/>
      <c r="AB125" s="9"/>
      <c r="AC125" s="9"/>
      <c r="AD125" s="9"/>
      <c r="AG125" s="9"/>
      <c r="AH125" s="9"/>
      <c r="AJ125" s="2"/>
      <c r="AK125" s="2"/>
      <c r="AL125" s="2"/>
      <c r="AM125" s="2"/>
      <c r="AN125" s="9"/>
      <c r="AO125" s="9"/>
      <c r="AP125" s="9"/>
    </row>
    <row r="126" spans="1:42" x14ac:dyDescent="0.25">
      <c r="A126" s="1">
        <v>477.4</v>
      </c>
      <c r="B126" s="1" t="s">
        <v>57</v>
      </c>
      <c r="C126" s="1">
        <v>65.659700000000001</v>
      </c>
      <c r="D126" s="1">
        <v>143.09</v>
      </c>
      <c r="E126" s="1">
        <v>429.09399999999999</v>
      </c>
      <c r="F126" s="9" t="s">
        <v>57</v>
      </c>
      <c r="G126" s="9">
        <v>0</v>
      </c>
      <c r="H126" s="1" t="s">
        <v>57</v>
      </c>
      <c r="I126" s="1" t="s">
        <v>57</v>
      </c>
      <c r="J126" s="1"/>
      <c r="M126" s="9"/>
      <c r="N126" s="3"/>
      <c r="Q126" s="3"/>
      <c r="R126" s="3"/>
      <c r="AA126" s="9"/>
      <c r="AB126" s="9"/>
      <c r="AC126" s="9"/>
      <c r="AD126" s="9"/>
      <c r="AG126" s="9"/>
      <c r="AH126" s="9"/>
      <c r="AJ126" s="2"/>
      <c r="AK126" s="2"/>
      <c r="AL126" s="2"/>
      <c r="AM126" s="2"/>
      <c r="AN126" s="9"/>
      <c r="AO126" s="9"/>
      <c r="AP126" s="9"/>
    </row>
    <row r="127" spans="1:42" x14ac:dyDescent="0.25">
      <c r="A127" s="1">
        <v>482.53300000000002</v>
      </c>
      <c r="B127" s="1" t="s">
        <v>57</v>
      </c>
      <c r="C127" s="1">
        <v>65.659700000000001</v>
      </c>
      <c r="D127" s="1">
        <v>143.09</v>
      </c>
      <c r="E127" s="1">
        <v>429.09399999999999</v>
      </c>
      <c r="F127" s="9" t="s">
        <v>57</v>
      </c>
      <c r="G127" s="9">
        <v>0</v>
      </c>
      <c r="H127" s="1" t="s">
        <v>57</v>
      </c>
      <c r="I127" s="1" t="s">
        <v>57</v>
      </c>
      <c r="J127" s="1"/>
      <c r="M127" s="9"/>
      <c r="N127" s="3"/>
      <c r="Q127" s="3"/>
      <c r="R127" s="3"/>
      <c r="AA127" s="9"/>
      <c r="AB127" s="9"/>
      <c r="AC127" s="9"/>
      <c r="AD127" s="9"/>
      <c r="AG127" s="9"/>
      <c r="AH127" s="9"/>
      <c r="AJ127" s="2"/>
      <c r="AK127" s="2"/>
      <c r="AL127" s="2"/>
      <c r="AM127" s="2"/>
      <c r="AN127" s="9"/>
      <c r="AO127" s="9"/>
      <c r="AP127" s="9"/>
    </row>
    <row r="128" spans="1:42" x14ac:dyDescent="0.25">
      <c r="A128" s="1">
        <v>487.66699999999997</v>
      </c>
      <c r="B128" s="1" t="s">
        <v>57</v>
      </c>
      <c r="C128" s="1">
        <v>65.659700000000001</v>
      </c>
      <c r="D128" s="1">
        <v>143.09</v>
      </c>
      <c r="E128" s="1">
        <v>429.09399999999999</v>
      </c>
      <c r="F128" s="9" t="s">
        <v>57</v>
      </c>
      <c r="G128" s="9">
        <v>0</v>
      </c>
      <c r="H128" s="1" t="s">
        <v>57</v>
      </c>
      <c r="I128" s="1" t="s">
        <v>57</v>
      </c>
      <c r="J128" s="1"/>
      <c r="M128" s="9"/>
      <c r="N128" s="3"/>
      <c r="Q128" s="3"/>
      <c r="R128" s="3"/>
      <c r="AA128" s="9"/>
      <c r="AB128" s="9"/>
      <c r="AC128" s="9"/>
      <c r="AD128" s="9"/>
      <c r="AG128" s="9"/>
      <c r="AH128" s="9"/>
      <c r="AJ128" s="2"/>
      <c r="AK128" s="2"/>
      <c r="AL128" s="2"/>
      <c r="AM128" s="2"/>
      <c r="AN128" s="9"/>
      <c r="AO128" s="9"/>
      <c r="AP128" s="9"/>
    </row>
    <row r="129" spans="1:42" x14ac:dyDescent="0.25">
      <c r="A129" s="1">
        <v>492.8</v>
      </c>
      <c r="B129" s="1" t="s">
        <v>57</v>
      </c>
      <c r="C129" s="1">
        <v>65.659700000000001</v>
      </c>
      <c r="D129" s="1">
        <v>143.09</v>
      </c>
      <c r="E129" s="1">
        <v>429.09399999999999</v>
      </c>
      <c r="F129" s="9" t="s">
        <v>57</v>
      </c>
      <c r="G129" s="9">
        <v>0</v>
      </c>
      <c r="H129" s="1" t="s">
        <v>57</v>
      </c>
      <c r="I129" s="1" t="s">
        <v>57</v>
      </c>
      <c r="J129" s="1"/>
      <c r="M129" s="9"/>
      <c r="N129" s="3"/>
      <c r="Q129" s="3"/>
      <c r="R129" s="3"/>
      <c r="AA129" s="9"/>
      <c r="AB129" s="9"/>
      <c r="AC129" s="9"/>
      <c r="AD129" s="9"/>
      <c r="AG129" s="9"/>
      <c r="AH129" s="9"/>
      <c r="AJ129" s="2"/>
      <c r="AK129" s="2"/>
      <c r="AL129" s="2"/>
      <c r="AM129" s="2"/>
      <c r="AN129" s="9"/>
      <c r="AO129" s="9"/>
      <c r="AP129" s="9"/>
    </row>
    <row r="130" spans="1:42" x14ac:dyDescent="0.25">
      <c r="A130" s="1">
        <v>497.93299999999999</v>
      </c>
      <c r="B130" s="1" t="s">
        <v>57</v>
      </c>
      <c r="C130" s="1">
        <v>65.659700000000001</v>
      </c>
      <c r="D130" s="1">
        <v>143.09</v>
      </c>
      <c r="E130" s="1">
        <v>429.09399999999999</v>
      </c>
      <c r="F130" s="9" t="s">
        <v>57</v>
      </c>
      <c r="G130" s="9">
        <v>0</v>
      </c>
      <c r="H130" s="1" t="s">
        <v>57</v>
      </c>
      <c r="I130" s="1" t="s">
        <v>57</v>
      </c>
      <c r="J130" s="1"/>
      <c r="M130" s="9"/>
      <c r="N130" s="3"/>
      <c r="Q130" s="3"/>
      <c r="R130" s="3"/>
      <c r="AA130" s="9"/>
      <c r="AB130" s="9"/>
      <c r="AC130" s="9"/>
      <c r="AD130" s="9"/>
      <c r="AG130" s="9"/>
      <c r="AH130" s="9"/>
      <c r="AJ130" s="2"/>
      <c r="AK130" s="2"/>
      <c r="AL130" s="2"/>
      <c r="AM130" s="2"/>
      <c r="AN130" s="9"/>
      <c r="AO130" s="9"/>
      <c r="AP130" s="9"/>
    </row>
    <row r="131" spans="1:42" x14ac:dyDescent="0.25">
      <c r="A131" s="1">
        <v>503.06700000000001</v>
      </c>
      <c r="B131" s="1" t="s">
        <v>57</v>
      </c>
      <c r="C131" s="1">
        <v>65.659700000000001</v>
      </c>
      <c r="D131" s="1">
        <v>143.09</v>
      </c>
      <c r="E131" s="1">
        <v>429.09399999999999</v>
      </c>
      <c r="F131" s="9" t="s">
        <v>57</v>
      </c>
      <c r="G131" s="9">
        <v>0</v>
      </c>
      <c r="H131" s="1" t="s">
        <v>57</v>
      </c>
      <c r="I131" s="1" t="s">
        <v>57</v>
      </c>
      <c r="J131" s="1"/>
      <c r="M131" s="9"/>
      <c r="N131" s="3"/>
      <c r="Q131" s="3"/>
      <c r="R131" s="3"/>
      <c r="AA131" s="9"/>
      <c r="AB131" s="9"/>
      <c r="AC131" s="9"/>
      <c r="AD131" s="9"/>
      <c r="AG131" s="9"/>
      <c r="AH131" s="9"/>
      <c r="AJ131" s="2"/>
      <c r="AK131" s="2"/>
      <c r="AL131" s="2"/>
      <c r="AM131" s="2"/>
      <c r="AN131" s="9"/>
      <c r="AO131" s="9"/>
      <c r="AP131" s="9"/>
    </row>
    <row r="132" spans="1:42" x14ac:dyDescent="0.25">
      <c r="A132" s="1">
        <v>508.2</v>
      </c>
      <c r="B132" s="1" t="s">
        <v>57</v>
      </c>
      <c r="C132" s="1">
        <v>65.659700000000001</v>
      </c>
      <c r="D132" s="1">
        <v>143.09</v>
      </c>
      <c r="E132" s="1">
        <v>429.09399999999999</v>
      </c>
      <c r="F132" s="9" t="s">
        <v>57</v>
      </c>
      <c r="G132" s="9">
        <v>0</v>
      </c>
      <c r="H132" s="1" t="s">
        <v>57</v>
      </c>
      <c r="I132" s="1" t="s">
        <v>57</v>
      </c>
      <c r="J132" s="1"/>
      <c r="M132" s="9"/>
      <c r="N132" s="3"/>
      <c r="Q132" s="3"/>
      <c r="R132" s="3"/>
      <c r="AA132" s="9"/>
      <c r="AB132" s="9"/>
      <c r="AC132" s="9"/>
      <c r="AD132" s="9"/>
      <c r="AG132" s="9"/>
      <c r="AH132" s="9"/>
      <c r="AJ132" s="2"/>
      <c r="AK132" s="2"/>
      <c r="AL132" s="2"/>
      <c r="AM132" s="2"/>
      <c r="AN132" s="9"/>
      <c r="AO132" s="9"/>
      <c r="AP132" s="9"/>
    </row>
    <row r="133" spans="1:42" x14ac:dyDescent="0.25">
      <c r="A133" s="1">
        <v>514</v>
      </c>
      <c r="B133" s="1" t="s">
        <v>57</v>
      </c>
      <c r="C133" s="1">
        <v>65.659700000000001</v>
      </c>
      <c r="D133" s="1">
        <v>143.09</v>
      </c>
      <c r="E133" s="1">
        <v>429.09399999999999</v>
      </c>
      <c r="F133" s="9">
        <v>0</v>
      </c>
      <c r="G133" s="9">
        <v>0</v>
      </c>
      <c r="H133" s="1" t="s">
        <v>57</v>
      </c>
      <c r="I133" s="1" t="s">
        <v>57</v>
      </c>
      <c r="J133" s="1"/>
      <c r="M133" s="9"/>
      <c r="N133" s="3"/>
      <c r="Q133" s="3"/>
      <c r="R133" s="3"/>
      <c r="AA133" s="9"/>
      <c r="AB133" s="9"/>
      <c r="AC133" s="9"/>
      <c r="AD133" s="9"/>
      <c r="AG133" s="9"/>
      <c r="AH133" s="9"/>
      <c r="AJ133" s="2"/>
      <c r="AK133" s="2"/>
      <c r="AL133" s="2"/>
      <c r="AM133" s="2"/>
      <c r="AN133" s="9"/>
      <c r="AO133" s="9"/>
      <c r="AP133" s="9"/>
    </row>
    <row r="134" spans="1:42" x14ac:dyDescent="0.25">
      <c r="A134" s="1"/>
      <c r="B134" s="1"/>
      <c r="C134" s="1"/>
      <c r="D134" s="1"/>
      <c r="E134" s="1"/>
      <c r="F134" s="9"/>
      <c r="G134" s="9"/>
      <c r="H134" s="1"/>
      <c r="I134" s="1"/>
      <c r="J134" s="1"/>
      <c r="M134" s="9"/>
      <c r="N134" s="3"/>
      <c r="Q134" s="3"/>
      <c r="R134" s="3"/>
      <c r="AA134" s="9"/>
      <c r="AB134" s="9"/>
      <c r="AC134" s="9"/>
      <c r="AD134" s="9"/>
      <c r="AG134" s="9"/>
      <c r="AH134" s="9"/>
      <c r="AJ134" s="2"/>
      <c r="AK134" s="2"/>
      <c r="AL134" s="2"/>
      <c r="AM134" s="2"/>
      <c r="AN134" s="9"/>
      <c r="AO134" s="9"/>
      <c r="AP134" s="9"/>
    </row>
    <row r="135" spans="1:42" x14ac:dyDescent="0.25">
      <c r="A135" s="1"/>
      <c r="B135" s="1"/>
      <c r="C135" s="1"/>
      <c r="D135" s="1"/>
      <c r="E135" s="1"/>
      <c r="F135" s="9"/>
      <c r="G135" s="9"/>
      <c r="H135" s="1"/>
      <c r="I135" s="1"/>
      <c r="J135" s="1"/>
      <c r="M135" s="9"/>
      <c r="N135" s="3"/>
      <c r="Q135" s="3"/>
      <c r="R135" s="3"/>
      <c r="AA135" s="9"/>
      <c r="AB135" s="9"/>
      <c r="AC135" s="9"/>
      <c r="AD135" s="9"/>
      <c r="AG135" s="9"/>
      <c r="AH135" s="9"/>
      <c r="AJ135" s="2"/>
      <c r="AK135" s="2"/>
      <c r="AL135" s="2"/>
      <c r="AM135" s="2"/>
      <c r="AN135" s="9"/>
      <c r="AO135" s="9"/>
      <c r="AP135" s="9"/>
    </row>
    <row r="136" spans="1:42" x14ac:dyDescent="0.25">
      <c r="A136" s="1" t="s">
        <v>21</v>
      </c>
      <c r="B136" s="1" t="s">
        <v>12</v>
      </c>
      <c r="C136" s="1" t="s">
        <v>22</v>
      </c>
      <c r="D136" s="1" t="s">
        <v>12</v>
      </c>
      <c r="E136" s="1" t="s">
        <v>23</v>
      </c>
      <c r="F136" s="9" t="s">
        <v>24</v>
      </c>
      <c r="G136" s="9" t="s">
        <v>5</v>
      </c>
      <c r="H136" s="1">
        <v>40</v>
      </c>
      <c r="I136" s="1"/>
      <c r="J136" s="1"/>
      <c r="M136" s="9"/>
      <c r="N136" s="3"/>
      <c r="Q136" s="3"/>
      <c r="R136" s="3"/>
      <c r="AA136" s="9"/>
      <c r="AB136" s="9"/>
      <c r="AC136" s="9"/>
      <c r="AD136" s="9"/>
      <c r="AG136" s="9"/>
      <c r="AH136" s="9"/>
      <c r="AJ136" s="2"/>
      <c r="AK136" s="2"/>
      <c r="AL136" s="2"/>
      <c r="AM136" s="2"/>
      <c r="AN136" s="9"/>
      <c r="AO136" s="9"/>
      <c r="AP136" s="9"/>
    </row>
    <row r="137" spans="1:42" x14ac:dyDescent="0.25">
      <c r="A137" s="1" t="s">
        <v>25</v>
      </c>
      <c r="B137" s="1" t="s">
        <v>26</v>
      </c>
      <c r="C137" s="1" t="s">
        <v>27</v>
      </c>
      <c r="D137" s="1" t="s">
        <v>28</v>
      </c>
      <c r="E137" s="1" t="s">
        <v>5</v>
      </c>
      <c r="F137" s="9">
        <v>409267</v>
      </c>
      <c r="G137" s="9"/>
      <c r="H137" s="1"/>
      <c r="I137" s="1"/>
      <c r="J137" s="1"/>
      <c r="M137" s="9"/>
      <c r="N137" s="3"/>
      <c r="Q137" s="3"/>
      <c r="R137" s="3"/>
      <c r="AA137" s="9"/>
      <c r="AB137" s="9"/>
      <c r="AC137" s="9"/>
      <c r="AD137" s="9"/>
      <c r="AG137" s="9"/>
      <c r="AH137" s="9"/>
      <c r="AJ137" s="2"/>
      <c r="AK137" s="2"/>
      <c r="AL137" s="2"/>
      <c r="AM137" s="2"/>
      <c r="AN137" s="9"/>
      <c r="AO137" s="9"/>
      <c r="AP137" s="9"/>
    </row>
    <row r="138" spans="1:42" x14ac:dyDescent="0.25">
      <c r="A138" s="1" t="s">
        <v>29</v>
      </c>
      <c r="B138" s="1" t="s">
        <v>26</v>
      </c>
      <c r="C138" s="1" t="s">
        <v>30</v>
      </c>
      <c r="D138" s="1" t="s">
        <v>28</v>
      </c>
      <c r="E138" s="1" t="s">
        <v>5</v>
      </c>
      <c r="F138" s="9">
        <v>7677.64</v>
      </c>
      <c r="G138" s="9"/>
      <c r="H138" s="1"/>
      <c r="I138" s="1"/>
      <c r="J138" s="1"/>
      <c r="M138" s="9"/>
      <c r="N138" s="3"/>
      <c r="Q138" s="3"/>
      <c r="R138" s="3"/>
      <c r="AA138" s="9"/>
      <c r="AB138" s="9"/>
      <c r="AC138" s="9"/>
      <c r="AD138" s="9"/>
      <c r="AG138" s="9"/>
      <c r="AH138" s="9"/>
      <c r="AJ138" s="2"/>
      <c r="AK138" s="2"/>
      <c r="AL138" s="2"/>
      <c r="AM138" s="2"/>
      <c r="AN138" s="9"/>
      <c r="AO138" s="9"/>
      <c r="AP138" s="9"/>
    </row>
    <row r="139" spans="1:42" x14ac:dyDescent="0.25">
      <c r="A139" s="1" t="s">
        <v>25</v>
      </c>
      <c r="B139" s="1" t="s">
        <v>31</v>
      </c>
      <c r="C139" s="1" t="s">
        <v>32</v>
      </c>
      <c r="D139" s="1" t="s">
        <v>33</v>
      </c>
      <c r="E139" s="1" t="s">
        <v>28</v>
      </c>
      <c r="F139" s="9" t="s">
        <v>5</v>
      </c>
      <c r="G139" s="9" t="s">
        <v>57</v>
      </c>
      <c r="H139" s="1"/>
      <c r="I139" s="1"/>
      <c r="J139" s="1"/>
      <c r="M139" s="9"/>
      <c r="N139" s="3"/>
      <c r="Q139" s="3"/>
      <c r="R139" s="3"/>
      <c r="AA139" s="9"/>
      <c r="AB139" s="9"/>
      <c r="AC139" s="9"/>
      <c r="AD139" s="9"/>
      <c r="AG139" s="9"/>
      <c r="AH139" s="9"/>
      <c r="AJ139" s="2"/>
      <c r="AK139" s="2"/>
      <c r="AL139" s="2"/>
      <c r="AM139" s="2"/>
      <c r="AN139" s="9"/>
      <c r="AO139" s="9"/>
      <c r="AP139" s="9"/>
    </row>
    <row r="140" spans="1:42" x14ac:dyDescent="0.25">
      <c r="A140" s="1" t="s">
        <v>34</v>
      </c>
      <c r="B140" s="1" t="s">
        <v>28</v>
      </c>
      <c r="C140" s="1" t="s">
        <v>5</v>
      </c>
      <c r="D140" s="1" t="s">
        <v>57</v>
      </c>
      <c r="E140" s="1"/>
      <c r="F140" s="9"/>
      <c r="G140" s="9"/>
      <c r="H140" s="1"/>
      <c r="I140" s="1"/>
      <c r="J140" s="1"/>
      <c r="M140" s="9"/>
      <c r="N140" s="3"/>
      <c r="Q140" s="3"/>
      <c r="R140" s="3"/>
      <c r="AA140" s="9"/>
      <c r="AB140" s="9"/>
      <c r="AC140" s="9"/>
      <c r="AD140" s="9"/>
      <c r="AG140" s="9"/>
      <c r="AH140" s="9"/>
      <c r="AJ140" s="2"/>
      <c r="AK140" s="2"/>
      <c r="AL140" s="2"/>
      <c r="AM140" s="2"/>
      <c r="AN140" s="9"/>
      <c r="AO140" s="9"/>
      <c r="AP140" s="9"/>
    </row>
    <row r="141" spans="1:42" x14ac:dyDescent="0.25">
      <c r="A141" s="1" t="s">
        <v>35</v>
      </c>
      <c r="B141" s="1" t="s">
        <v>36</v>
      </c>
      <c r="C141" s="1" t="s">
        <v>5</v>
      </c>
      <c r="D141" s="1" t="s">
        <v>57</v>
      </c>
      <c r="E141" s="1"/>
      <c r="F141" s="9"/>
      <c r="G141" s="9"/>
      <c r="H141" s="1"/>
      <c r="I141" s="1"/>
      <c r="J141" s="1"/>
      <c r="M141" s="9"/>
      <c r="N141" s="3"/>
      <c r="Q141" s="3"/>
      <c r="R141" s="3"/>
      <c r="AA141" s="9"/>
      <c r="AB141" s="9"/>
      <c r="AC141" s="9"/>
      <c r="AD141" s="9"/>
      <c r="AG141" s="9"/>
      <c r="AH141" s="9"/>
      <c r="AJ141" s="2"/>
      <c r="AK141" s="2"/>
      <c r="AL141" s="2"/>
      <c r="AM141" s="2"/>
      <c r="AN141" s="9"/>
      <c r="AO141" s="9"/>
      <c r="AP141" s="9"/>
    </row>
    <row r="142" spans="1:42" x14ac:dyDescent="0.25">
      <c r="A142" s="1"/>
      <c r="B142" s="1"/>
      <c r="C142" s="1"/>
      <c r="D142" s="1"/>
      <c r="E142" s="1"/>
      <c r="F142" s="9"/>
      <c r="G142" s="9"/>
      <c r="H142" s="1"/>
      <c r="I142" s="1"/>
      <c r="J142" s="1"/>
      <c r="M142" s="9"/>
      <c r="N142" s="3"/>
      <c r="Q142" s="3"/>
      <c r="R142" s="3"/>
      <c r="AA142" s="9"/>
      <c r="AB142" s="9"/>
      <c r="AC142" s="9"/>
      <c r="AD142" s="9"/>
      <c r="AG142" s="9"/>
      <c r="AH142" s="9"/>
      <c r="AJ142" s="2"/>
      <c r="AK142" s="2"/>
      <c r="AL142" s="2"/>
      <c r="AM142" s="2"/>
      <c r="AN142" s="9"/>
      <c r="AO142" s="9"/>
      <c r="AP142" s="9"/>
    </row>
    <row r="143" spans="1:42" x14ac:dyDescent="0.25">
      <c r="A143" s="1" t="s">
        <v>37</v>
      </c>
      <c r="B143" s="1">
        <v>2971</v>
      </c>
      <c r="C143" s="1" t="s">
        <v>38</v>
      </c>
      <c r="D143" s="1"/>
      <c r="E143" s="1"/>
      <c r="F143" s="9"/>
      <c r="G143" s="9"/>
      <c r="H143" s="1"/>
      <c r="I143" s="1"/>
      <c r="J143" s="1"/>
      <c r="M143" s="9"/>
      <c r="N143" s="3"/>
      <c r="Q143" s="3"/>
      <c r="R143" s="3"/>
      <c r="AA143" s="9"/>
      <c r="AB143" s="9"/>
      <c r="AC143" s="9"/>
      <c r="AD143" s="9"/>
      <c r="AG143" s="9"/>
      <c r="AH143" s="9"/>
      <c r="AJ143" s="2"/>
      <c r="AK143" s="2"/>
      <c r="AL143" s="2"/>
      <c r="AM143" s="2"/>
      <c r="AN143" s="9"/>
      <c r="AO143" s="9"/>
      <c r="AP143" s="9"/>
    </row>
    <row r="144" spans="1:42" x14ac:dyDescent="0.25">
      <c r="A144" s="1"/>
      <c r="B144" s="1"/>
      <c r="C144" s="1"/>
      <c r="D144" s="1"/>
      <c r="E144" s="1"/>
      <c r="F144" s="9"/>
      <c r="G144" s="9"/>
      <c r="H144" s="1"/>
      <c r="I144" s="1"/>
      <c r="J144" s="1"/>
      <c r="M144" s="9"/>
      <c r="N144" s="3"/>
      <c r="Q144" s="3"/>
      <c r="R144" s="3"/>
      <c r="AA144" s="9"/>
      <c r="AB144" s="9"/>
      <c r="AC144" s="9"/>
      <c r="AD144" s="9"/>
      <c r="AG144" s="9"/>
      <c r="AH144" s="9"/>
      <c r="AJ144" s="2"/>
      <c r="AK144" s="2"/>
      <c r="AL144" s="2"/>
      <c r="AM144" s="2"/>
      <c r="AN144" s="9"/>
      <c r="AO144" s="9"/>
      <c r="AP144" s="9"/>
    </row>
    <row r="145" spans="1:42" x14ac:dyDescent="0.25">
      <c r="A145" s="1" t="s">
        <v>37</v>
      </c>
      <c r="B145" s="1">
        <v>395</v>
      </c>
      <c r="C145" s="1" t="s">
        <v>38</v>
      </c>
      <c r="D145" s="1"/>
      <c r="E145" s="1"/>
      <c r="F145" s="9"/>
      <c r="G145" s="9"/>
      <c r="H145" s="1"/>
      <c r="I145" s="1"/>
      <c r="J145" s="1"/>
      <c r="M145" s="9"/>
      <c r="N145" s="3"/>
      <c r="Q145" s="3"/>
      <c r="R145" s="3"/>
      <c r="AA145" s="9"/>
      <c r="AB145" s="9"/>
      <c r="AC145" s="9"/>
      <c r="AD145" s="9"/>
      <c r="AG145" s="9"/>
      <c r="AH145" s="9"/>
      <c r="AJ145" s="2"/>
      <c r="AK145" s="2"/>
      <c r="AL145" s="2"/>
      <c r="AM145" s="2"/>
      <c r="AN145" s="9"/>
      <c r="AO145" s="9"/>
      <c r="AP145" s="9"/>
    </row>
    <row r="146" spans="1:42" x14ac:dyDescent="0.25">
      <c r="B146" s="1"/>
      <c r="C146" s="1"/>
      <c r="D146" s="1"/>
      <c r="E146" s="1"/>
      <c r="F146" s="9"/>
      <c r="G146" s="1"/>
      <c r="H146" s="1"/>
      <c r="I146" s="1"/>
      <c r="M146" s="9"/>
      <c r="N146" s="3"/>
      <c r="Q146" s="3"/>
      <c r="R146" s="3"/>
      <c r="AA146" s="9"/>
      <c r="AB146" s="9"/>
      <c r="AC146" s="9"/>
      <c r="AD146" s="9"/>
      <c r="AG146" s="9"/>
      <c r="AH146" s="9"/>
      <c r="AJ146" s="2"/>
      <c r="AK146" s="2"/>
      <c r="AL146" s="2"/>
      <c r="AM146" s="2"/>
      <c r="AN146" s="9"/>
      <c r="AO146" s="9"/>
      <c r="AP146" s="9"/>
    </row>
    <row r="147" spans="1:42" x14ac:dyDescent="0.25">
      <c r="M147" s="9"/>
      <c r="N147" s="3"/>
      <c r="Q147" s="3"/>
      <c r="R147" s="3"/>
      <c r="AA147" s="9"/>
      <c r="AB147" s="9"/>
      <c r="AC147" s="9"/>
      <c r="AD147" s="9"/>
      <c r="AG147" s="9"/>
      <c r="AH147" s="9"/>
      <c r="AJ147" s="2"/>
      <c r="AK147" s="2"/>
      <c r="AL147" s="2"/>
      <c r="AM147" s="2"/>
      <c r="AN147" s="9"/>
      <c r="AO147" s="9"/>
      <c r="AP147" s="9"/>
    </row>
    <row r="148" spans="1:42" x14ac:dyDescent="0.25">
      <c r="M148" s="9"/>
      <c r="N148" s="3"/>
      <c r="Q148" s="3"/>
      <c r="R148" s="3"/>
      <c r="AA148" s="9"/>
      <c r="AB148" s="9"/>
      <c r="AC148" s="9"/>
      <c r="AD148" s="9"/>
      <c r="AG148" s="9"/>
      <c r="AH148" s="9"/>
      <c r="AJ148" s="2"/>
      <c r="AK148" s="2"/>
      <c r="AL148" s="2"/>
      <c r="AM148" s="2"/>
      <c r="AN148" s="9"/>
      <c r="AO148" s="9"/>
      <c r="AP148" s="9"/>
    </row>
    <row r="149" spans="1:42" x14ac:dyDescent="0.25">
      <c r="M149" s="9"/>
      <c r="N149" s="3"/>
      <c r="Q149" s="3"/>
      <c r="R149" s="3"/>
      <c r="AA149" s="9"/>
      <c r="AB149" s="9"/>
      <c r="AC149" s="9"/>
      <c r="AD149" s="9"/>
      <c r="AG149" s="9"/>
      <c r="AH149" s="9"/>
      <c r="AJ149" s="2"/>
      <c r="AK149" s="2"/>
      <c r="AL149" s="2"/>
      <c r="AM149" s="2"/>
      <c r="AN149" s="9"/>
      <c r="AO149" s="9"/>
      <c r="AP149" s="9"/>
    </row>
    <row r="150" spans="1:42" x14ac:dyDescent="0.25">
      <c r="M150" s="9"/>
      <c r="N150" s="3"/>
      <c r="Q150" s="3"/>
      <c r="R150" s="3"/>
      <c r="AA150" s="9"/>
      <c r="AB150" s="9"/>
      <c r="AC150" s="9"/>
      <c r="AD150" s="9"/>
      <c r="AG150" s="9"/>
      <c r="AH150" s="9"/>
      <c r="AJ150" s="2"/>
      <c r="AK150" s="2"/>
      <c r="AL150" s="2"/>
      <c r="AM150" s="2"/>
      <c r="AN150" s="9"/>
      <c r="AO150" s="9"/>
      <c r="AP150" s="9"/>
    </row>
    <row r="151" spans="1:42" x14ac:dyDescent="0.25">
      <c r="M151" s="9"/>
      <c r="N151" s="3"/>
      <c r="Q151" s="3"/>
      <c r="R151" s="3"/>
      <c r="AA151" s="9"/>
      <c r="AB151" s="9"/>
      <c r="AC151" s="9"/>
      <c r="AD151" s="9"/>
      <c r="AG151" s="9"/>
      <c r="AH151" s="9"/>
      <c r="AJ151" s="2"/>
      <c r="AK151" s="2"/>
      <c r="AL151" s="2"/>
      <c r="AM151" s="2"/>
      <c r="AN151" s="9"/>
      <c r="AO151" s="9"/>
      <c r="AP151" s="9"/>
    </row>
    <row r="152" spans="1:42" x14ac:dyDescent="0.25">
      <c r="B152" s="1"/>
      <c r="M152" s="9"/>
      <c r="N152" s="3"/>
      <c r="Q152" s="3"/>
      <c r="R152" s="3"/>
      <c r="AA152" s="9"/>
      <c r="AB152" s="9"/>
      <c r="AC152" s="9"/>
      <c r="AD152" s="9"/>
      <c r="AG152" s="9"/>
      <c r="AH152" s="9"/>
      <c r="AJ152" s="2"/>
      <c r="AK152" s="2"/>
      <c r="AL152" s="2"/>
      <c r="AM152" s="2"/>
      <c r="AN152" s="9"/>
      <c r="AO152" s="9"/>
      <c r="AP152" s="9"/>
    </row>
    <row r="153" spans="1:42" x14ac:dyDescent="0.25">
      <c r="A153" s="2"/>
      <c r="M153" s="9"/>
      <c r="N153" s="3"/>
      <c r="Q153" s="3"/>
      <c r="R153" s="3"/>
      <c r="AA153" s="9"/>
      <c r="AB153" s="9"/>
      <c r="AC153" s="9"/>
      <c r="AD153" s="9"/>
      <c r="AG153" s="9"/>
      <c r="AH153" s="9"/>
      <c r="AJ153" s="2"/>
      <c r="AK153" s="2"/>
      <c r="AL153" s="2"/>
      <c r="AM153" s="2"/>
      <c r="AN153" s="9"/>
      <c r="AO153" s="9"/>
      <c r="AP153" s="9"/>
    </row>
    <row r="154" spans="1:42" x14ac:dyDescent="0.25">
      <c r="Q154" s="3"/>
      <c r="R154" s="3"/>
      <c r="AA154" s="9"/>
      <c r="AB154" s="9"/>
      <c r="AC154" s="9"/>
      <c r="AD154" s="9"/>
      <c r="AH154" s="9"/>
      <c r="AJ154" s="2"/>
      <c r="AK154" s="2"/>
      <c r="AL154" s="2"/>
      <c r="AM154" s="2"/>
      <c r="AN154" s="9"/>
      <c r="AO154" s="9"/>
      <c r="AP154" s="9"/>
    </row>
    <row r="155" spans="1:42" x14ac:dyDescent="0.25">
      <c r="A155" s="2"/>
      <c r="M155" s="1"/>
      <c r="N155" s="1"/>
      <c r="Q155" s="3"/>
      <c r="R155" s="3"/>
      <c r="AA155" s="9"/>
      <c r="AB155" s="9"/>
      <c r="AC155" s="9"/>
      <c r="AD155" s="9"/>
      <c r="AH155" s="9"/>
      <c r="AJ155" s="2"/>
      <c r="AK155" s="2"/>
      <c r="AL155" s="2"/>
      <c r="AM155" s="2"/>
      <c r="AN155" s="9"/>
      <c r="AO155" s="9"/>
      <c r="AP155" s="9"/>
    </row>
    <row r="156" spans="1:42" x14ac:dyDescent="0.25">
      <c r="Q156" s="3"/>
      <c r="R156" s="3"/>
      <c r="AA156" s="9"/>
      <c r="AB156" s="9"/>
      <c r="AC156" s="9"/>
      <c r="AD156" s="9"/>
      <c r="AH156" s="9"/>
      <c r="AJ156" s="2"/>
      <c r="AK156" s="2"/>
      <c r="AL156" s="2"/>
      <c r="AM156" s="2"/>
      <c r="AN156" s="9"/>
      <c r="AO156" s="9"/>
      <c r="AP156" s="9"/>
    </row>
    <row r="157" spans="1:42" x14ac:dyDescent="0.25">
      <c r="Q157" s="3"/>
      <c r="R157" s="3"/>
      <c r="AA157" s="9"/>
      <c r="AB157" s="9"/>
      <c r="AC157" s="9"/>
      <c r="AD157" s="9"/>
      <c r="AH157" s="1"/>
      <c r="AJ157" s="2"/>
      <c r="AK157" s="2"/>
      <c r="AL157" s="2"/>
      <c r="AM157" s="2"/>
      <c r="AN157" s="9"/>
      <c r="AO157" s="9"/>
      <c r="AP157" s="9"/>
    </row>
    <row r="158" spans="1:42" x14ac:dyDescent="0.25">
      <c r="M158" s="1"/>
      <c r="Q158" s="3"/>
      <c r="R158" s="3"/>
      <c r="AA158" s="9"/>
      <c r="AB158" s="9"/>
      <c r="AC158" s="9"/>
      <c r="AD158" s="9"/>
      <c r="AJ158" s="2"/>
      <c r="AK158" s="2"/>
      <c r="AL158" s="2"/>
      <c r="AM158" s="2"/>
      <c r="AN158" s="9"/>
      <c r="AO158" s="9"/>
      <c r="AP158" s="9"/>
    </row>
    <row r="159" spans="1:42" x14ac:dyDescent="0.25">
      <c r="B159" s="1"/>
      <c r="Q159" s="3"/>
      <c r="R159" s="3"/>
      <c r="AA159" s="9"/>
      <c r="AB159" s="9"/>
      <c r="AC159" s="9"/>
      <c r="AD159" s="9"/>
      <c r="AJ159" s="2"/>
      <c r="AK159" s="2"/>
      <c r="AL159" s="2"/>
      <c r="AM159" s="2"/>
      <c r="AN159" s="9"/>
      <c r="AO159" s="9"/>
      <c r="AP159" s="9"/>
    </row>
    <row r="160" spans="1:42" x14ac:dyDescent="0.25">
      <c r="B160" s="1"/>
      <c r="Q160" s="3"/>
      <c r="R160" s="3"/>
      <c r="AA160" s="9"/>
      <c r="AB160" s="9"/>
      <c r="AC160" s="9"/>
      <c r="AD160" s="9"/>
      <c r="AJ160" s="2"/>
      <c r="AK160" s="2"/>
      <c r="AL160" s="2"/>
      <c r="AM160" s="2"/>
      <c r="AN160" s="9"/>
      <c r="AO160" s="9"/>
      <c r="AP160" s="9"/>
    </row>
    <row r="161" spans="2:42" x14ac:dyDescent="0.25">
      <c r="B161" s="10"/>
      <c r="Q161" s="3"/>
      <c r="R161" s="3"/>
      <c r="AA161" s="9"/>
      <c r="AB161" s="9"/>
      <c r="AC161" s="9"/>
      <c r="AD161" s="9"/>
      <c r="AJ161" s="2"/>
      <c r="AK161" s="2"/>
      <c r="AL161" s="2"/>
      <c r="AM161" s="2"/>
      <c r="AN161" s="9"/>
      <c r="AO161" s="9"/>
      <c r="AP161" s="9"/>
    </row>
    <row r="162" spans="2:42" x14ac:dyDescent="0.25">
      <c r="Q162" s="3"/>
      <c r="R162" s="3"/>
      <c r="AA162" s="9"/>
      <c r="AB162" s="9"/>
      <c r="AC162" s="9"/>
      <c r="AD162" s="9"/>
      <c r="AJ162" s="2"/>
      <c r="AK162" s="2"/>
      <c r="AL162" s="2"/>
      <c r="AM162" s="2"/>
      <c r="AN162" s="9"/>
      <c r="AO162" s="9"/>
      <c r="AP162" s="9"/>
    </row>
    <row r="163" spans="2:42" x14ac:dyDescent="0.25">
      <c r="Q163" s="3"/>
      <c r="R163" s="3"/>
      <c r="AA163" s="9"/>
      <c r="AB163" s="9"/>
      <c r="AC163" s="9"/>
      <c r="AD163" s="9"/>
      <c r="AJ163" s="2"/>
      <c r="AK163" s="2"/>
      <c r="AL163" s="2"/>
      <c r="AM163" s="2"/>
      <c r="AN163" s="9"/>
      <c r="AO163" s="9"/>
      <c r="AP163" s="9"/>
    </row>
    <row r="164" spans="2:42" x14ac:dyDescent="0.25">
      <c r="Q164" s="3"/>
      <c r="R164" s="3"/>
      <c r="AA164" s="9"/>
      <c r="AB164" s="9"/>
      <c r="AC164" s="9"/>
      <c r="AD164" s="9"/>
      <c r="AJ164" s="2"/>
      <c r="AK164" s="2"/>
      <c r="AL164" s="2"/>
      <c r="AM164" s="2"/>
      <c r="AN164" s="9"/>
      <c r="AO164" s="9"/>
      <c r="AP164" s="9"/>
    </row>
    <row r="165" spans="2:42" x14ac:dyDescent="0.25">
      <c r="Q165" s="3"/>
      <c r="R165" s="3"/>
      <c r="AA165" s="9"/>
      <c r="AB165" s="9"/>
      <c r="AC165" s="9"/>
      <c r="AD165" s="9"/>
      <c r="AJ165" s="2"/>
      <c r="AK165" s="2"/>
      <c r="AL165" s="2"/>
      <c r="AM165" s="2"/>
      <c r="AN165" s="9"/>
      <c r="AO165" s="9"/>
      <c r="AP165" s="9"/>
    </row>
    <row r="166" spans="2:42" x14ac:dyDescent="0.25">
      <c r="Q166" s="3"/>
      <c r="R166" s="3"/>
      <c r="AA166" s="9"/>
      <c r="AB166" s="9"/>
      <c r="AC166" s="9"/>
      <c r="AD166" s="9"/>
      <c r="AJ166" s="2"/>
      <c r="AK166" s="2"/>
      <c r="AL166" s="2"/>
      <c r="AM166" s="2"/>
      <c r="AN166" s="9"/>
      <c r="AO166" s="9"/>
      <c r="AP166" s="9"/>
    </row>
    <row r="167" spans="2:42" x14ac:dyDescent="0.25">
      <c r="Q167" s="3"/>
      <c r="R167" s="3"/>
      <c r="AA167" s="9"/>
      <c r="AB167" s="9"/>
      <c r="AC167" s="9"/>
      <c r="AD167" s="9"/>
      <c r="AJ167" s="2"/>
      <c r="AK167" s="2"/>
      <c r="AL167" s="2"/>
      <c r="AM167" s="2"/>
      <c r="AN167" s="9"/>
      <c r="AO167" s="9"/>
      <c r="AP167" s="9"/>
    </row>
    <row r="168" spans="2:42" x14ac:dyDescent="0.25">
      <c r="Q168" s="3"/>
      <c r="R168" s="3"/>
      <c r="AA168" s="9"/>
      <c r="AB168" s="9"/>
      <c r="AC168" s="9"/>
      <c r="AD168" s="9"/>
      <c r="AJ168" s="2"/>
      <c r="AK168" s="2"/>
      <c r="AL168" s="2"/>
      <c r="AM168" s="2"/>
      <c r="AN168" s="9"/>
      <c r="AO168" s="9"/>
      <c r="AP168" s="9"/>
    </row>
    <row r="169" spans="2:42" x14ac:dyDescent="0.25">
      <c r="Q169" s="3"/>
      <c r="R169" s="3"/>
      <c r="AA169" s="9"/>
      <c r="AB169" s="9"/>
      <c r="AC169" s="9"/>
      <c r="AD169" s="9"/>
      <c r="AJ169" s="2"/>
      <c r="AK169" s="2"/>
      <c r="AL169" s="2"/>
      <c r="AM169" s="2"/>
      <c r="AN169" s="9"/>
      <c r="AO169" s="9"/>
      <c r="AP169" s="9"/>
    </row>
    <row r="170" spans="2:42" x14ac:dyDescent="0.25">
      <c r="Q170" s="3"/>
      <c r="R170" s="3"/>
      <c r="AA170" s="9"/>
      <c r="AB170" s="9"/>
      <c r="AC170" s="9"/>
      <c r="AD170" s="9"/>
      <c r="AJ170" s="2"/>
      <c r="AK170" s="2"/>
      <c r="AL170" s="2"/>
      <c r="AM170" s="2"/>
      <c r="AN170" s="9"/>
      <c r="AO170" s="9"/>
      <c r="AP170" s="9"/>
    </row>
    <row r="171" spans="2:42" x14ac:dyDescent="0.25">
      <c r="Q171" s="3"/>
      <c r="R171" s="3"/>
      <c r="AA171" s="9"/>
      <c r="AB171" s="9"/>
      <c r="AC171" s="9"/>
      <c r="AD171" s="9"/>
      <c r="AJ171" s="2"/>
      <c r="AK171" s="2"/>
      <c r="AL171" s="2"/>
      <c r="AM171" s="2"/>
      <c r="AN171" s="9"/>
      <c r="AO171" s="9"/>
      <c r="AP171" s="9"/>
    </row>
    <row r="172" spans="2:42" x14ac:dyDescent="0.25">
      <c r="Q172" s="3"/>
      <c r="R172" s="3"/>
      <c r="AA172" s="9"/>
      <c r="AB172" s="9"/>
      <c r="AC172" s="9"/>
      <c r="AD172" s="9"/>
      <c r="AJ172" s="2"/>
      <c r="AK172" s="2"/>
      <c r="AL172" s="2"/>
      <c r="AM172" s="2"/>
      <c r="AN172" s="9"/>
      <c r="AO172" s="9"/>
      <c r="AP172" s="9"/>
    </row>
    <row r="173" spans="2:42" x14ac:dyDescent="0.25">
      <c r="Q173" s="3"/>
      <c r="R173" s="3"/>
      <c r="AA173" s="9"/>
      <c r="AB173" s="9"/>
      <c r="AC173" s="9"/>
      <c r="AD173" s="9"/>
      <c r="AJ173" s="2"/>
      <c r="AK173" s="2"/>
      <c r="AL173" s="2"/>
      <c r="AM173" s="2"/>
      <c r="AN173" s="9"/>
      <c r="AO173" s="9"/>
      <c r="AP173" s="9"/>
    </row>
    <row r="174" spans="2:42" x14ac:dyDescent="0.25">
      <c r="Q174" s="3"/>
      <c r="R174" s="3"/>
      <c r="AA174" s="9"/>
      <c r="AB174" s="9"/>
      <c r="AC174" s="9"/>
      <c r="AD174" s="9"/>
      <c r="AJ174" s="2"/>
      <c r="AK174" s="2"/>
      <c r="AL174" s="2"/>
      <c r="AM174" s="2"/>
      <c r="AN174" s="9"/>
      <c r="AO174" s="9"/>
      <c r="AP174" s="9"/>
    </row>
    <row r="175" spans="2:42" x14ac:dyDescent="0.25">
      <c r="Q175" s="3"/>
      <c r="R175" s="3"/>
      <c r="AA175" s="9"/>
      <c r="AB175" s="9"/>
      <c r="AC175" s="9"/>
      <c r="AD175" s="9"/>
      <c r="AJ175" s="2"/>
      <c r="AK175" s="2"/>
      <c r="AL175" s="2"/>
      <c r="AM175" s="2"/>
      <c r="AN175" s="9"/>
      <c r="AO175" s="9"/>
      <c r="AP175" s="9"/>
    </row>
    <row r="176" spans="2:42" x14ac:dyDescent="0.25">
      <c r="Q176" s="3"/>
      <c r="R176" s="3"/>
      <c r="AA176" s="9"/>
      <c r="AB176" s="9"/>
      <c r="AC176" s="9"/>
      <c r="AD176" s="9"/>
      <c r="AJ176" s="2"/>
      <c r="AK176" s="2"/>
      <c r="AL176" s="2"/>
      <c r="AM176" s="2"/>
      <c r="AN176" s="9"/>
      <c r="AO176" s="9"/>
      <c r="AP176" s="9"/>
    </row>
    <row r="177" spans="17:42" x14ac:dyDescent="0.25">
      <c r="Q177" s="3"/>
      <c r="R177" s="3"/>
      <c r="AA177" s="9"/>
      <c r="AB177" s="9"/>
      <c r="AC177" s="9"/>
      <c r="AD177" s="9"/>
      <c r="AJ177" s="2"/>
      <c r="AK177" s="2"/>
      <c r="AL177" s="2"/>
      <c r="AM177" s="2"/>
      <c r="AN177" s="9"/>
      <c r="AO177" s="9"/>
      <c r="AP177" s="9"/>
    </row>
    <row r="178" spans="17:42" x14ac:dyDescent="0.25">
      <c r="Q178" s="3"/>
      <c r="R178" s="3"/>
      <c r="AA178" s="9"/>
      <c r="AB178" s="9"/>
      <c r="AC178" s="9"/>
      <c r="AD178" s="9"/>
      <c r="AJ178" s="2"/>
      <c r="AK178" s="2"/>
      <c r="AL178" s="2"/>
      <c r="AM178" s="2"/>
      <c r="AN178" s="9"/>
      <c r="AO178" s="9"/>
      <c r="AP178" s="9"/>
    </row>
    <row r="179" spans="17:42" x14ac:dyDescent="0.25">
      <c r="Q179" s="3"/>
      <c r="R179" s="3"/>
      <c r="AA179" s="9"/>
      <c r="AB179" s="9"/>
      <c r="AC179" s="9"/>
      <c r="AD179" s="9"/>
      <c r="AJ179" s="2"/>
      <c r="AK179" s="2"/>
      <c r="AL179" s="2"/>
      <c r="AM179" s="2"/>
      <c r="AN179" s="9"/>
      <c r="AO179" s="9"/>
      <c r="AP179" s="9"/>
    </row>
    <row r="180" spans="17:42" x14ac:dyDescent="0.25">
      <c r="Q180" s="3"/>
      <c r="R180" s="3"/>
      <c r="AA180" s="9"/>
      <c r="AB180" s="9"/>
      <c r="AC180" s="9"/>
      <c r="AD180" s="9"/>
      <c r="AJ180" s="2"/>
      <c r="AK180" s="2"/>
      <c r="AL180" s="2"/>
      <c r="AM180" s="2"/>
      <c r="AN180" s="9"/>
      <c r="AO180" s="9"/>
      <c r="AP180" s="9"/>
    </row>
    <row r="181" spans="17:42" x14ac:dyDescent="0.25">
      <c r="Q181" s="3"/>
      <c r="R181" s="3"/>
      <c r="AA181" s="9"/>
      <c r="AB181" s="9"/>
      <c r="AC181" s="9"/>
      <c r="AD181" s="9"/>
      <c r="AJ181" s="2"/>
      <c r="AK181" s="2"/>
      <c r="AL181" s="2"/>
      <c r="AM181" s="2"/>
      <c r="AN181" s="9"/>
      <c r="AO181" s="9"/>
      <c r="AP181" s="9"/>
    </row>
    <row r="182" spans="17:42" x14ac:dyDescent="0.25">
      <c r="Q182" s="3"/>
      <c r="R182" s="3"/>
      <c r="AA182" s="9"/>
      <c r="AB182" s="9"/>
      <c r="AC182" s="9"/>
      <c r="AD182" s="9"/>
      <c r="AJ182" s="2"/>
      <c r="AK182" s="2"/>
      <c r="AL182" s="2"/>
      <c r="AM182" s="2"/>
      <c r="AN182" s="9"/>
      <c r="AO182" s="9"/>
      <c r="AP182" s="9"/>
    </row>
    <row r="183" spans="17:42" x14ac:dyDescent="0.25">
      <c r="Q183" s="3"/>
      <c r="R183" s="3"/>
      <c r="AA183" s="9"/>
      <c r="AB183" s="9"/>
      <c r="AC183" s="9"/>
      <c r="AD183" s="9"/>
      <c r="AJ183" s="2"/>
      <c r="AK183" s="2"/>
      <c r="AL183" s="2"/>
      <c r="AM183" s="2"/>
      <c r="AN183" s="9"/>
      <c r="AO183" s="9"/>
      <c r="AP183" s="9"/>
    </row>
    <row r="184" spans="17:42" x14ac:dyDescent="0.25">
      <c r="Q184" s="3"/>
      <c r="R184" s="3"/>
      <c r="AA184" s="9"/>
      <c r="AB184" s="9"/>
      <c r="AC184" s="9"/>
      <c r="AD184" s="9"/>
      <c r="AJ184" s="2"/>
      <c r="AK184" s="2"/>
      <c r="AL184" s="2"/>
      <c r="AM184" s="2"/>
      <c r="AN184" s="9"/>
      <c r="AO184" s="9"/>
      <c r="AP184" s="9"/>
    </row>
    <row r="185" spans="17:42" x14ac:dyDescent="0.25">
      <c r="Q185" s="3"/>
      <c r="R185" s="3"/>
      <c r="AA185" s="9"/>
      <c r="AB185" s="9"/>
      <c r="AC185" s="9"/>
      <c r="AD185" s="9"/>
      <c r="AJ185" s="2"/>
      <c r="AK185" s="2"/>
      <c r="AL185" s="2"/>
      <c r="AM185" s="2"/>
      <c r="AN185" s="9"/>
      <c r="AO185" s="9"/>
      <c r="AP185" s="9"/>
    </row>
    <row r="186" spans="17:42" x14ac:dyDescent="0.25">
      <c r="Q186" s="3"/>
      <c r="R186" s="3"/>
      <c r="AA186" s="9"/>
      <c r="AB186" s="9"/>
      <c r="AC186" s="9"/>
      <c r="AD186" s="9"/>
      <c r="AJ186" s="2"/>
      <c r="AK186" s="2"/>
      <c r="AL186" s="2"/>
      <c r="AM186" s="2"/>
      <c r="AN186" s="9"/>
      <c r="AO186" s="9"/>
      <c r="AP186" s="9"/>
    </row>
    <row r="187" spans="17:42" x14ac:dyDescent="0.25">
      <c r="Q187" s="3"/>
      <c r="R187" s="3"/>
      <c r="AA187" s="9"/>
      <c r="AB187" s="9"/>
      <c r="AC187" s="9"/>
      <c r="AD187" s="9"/>
      <c r="AJ187" s="2"/>
      <c r="AK187" s="2"/>
      <c r="AL187" s="2"/>
      <c r="AM187" s="2"/>
      <c r="AN187" s="9"/>
      <c r="AO187" s="9"/>
      <c r="AP187" s="9"/>
    </row>
    <row r="188" spans="17:42" x14ac:dyDescent="0.25">
      <c r="Q188" s="3"/>
      <c r="R188" s="3"/>
      <c r="AA188" s="9"/>
      <c r="AB188" s="9"/>
      <c r="AC188" s="9"/>
      <c r="AD188" s="9"/>
      <c r="AJ188" s="2"/>
      <c r="AK188" s="2"/>
      <c r="AL188" s="2"/>
      <c r="AM188" s="2"/>
      <c r="AN188" s="9"/>
      <c r="AO188" s="9"/>
      <c r="AP188" s="9"/>
    </row>
    <row r="189" spans="17:42" x14ac:dyDescent="0.25">
      <c r="Q189" s="3"/>
      <c r="R189" s="3"/>
      <c r="AA189" s="9"/>
      <c r="AB189" s="9"/>
      <c r="AC189" s="9"/>
      <c r="AD189" s="9"/>
      <c r="AJ189" s="2"/>
      <c r="AK189" s="2"/>
      <c r="AL189" s="2"/>
      <c r="AM189" s="2"/>
      <c r="AN189" s="9"/>
      <c r="AO189" s="9"/>
      <c r="AP189" s="9"/>
    </row>
    <row r="190" spans="17:42" x14ac:dyDescent="0.25">
      <c r="Q190" s="3"/>
      <c r="R190" s="3"/>
      <c r="AA190" s="9"/>
      <c r="AB190" s="9"/>
      <c r="AC190" s="9"/>
      <c r="AD190" s="9"/>
      <c r="AJ190" s="2"/>
      <c r="AK190" s="2"/>
      <c r="AL190" s="2"/>
      <c r="AM190" s="2"/>
      <c r="AN190" s="9"/>
      <c r="AO190" s="9"/>
      <c r="AP190" s="9"/>
    </row>
    <row r="191" spans="17:42" x14ac:dyDescent="0.25">
      <c r="Q191" s="3"/>
      <c r="R191" s="3"/>
      <c r="AA191" s="9"/>
      <c r="AB191" s="9"/>
      <c r="AC191" s="9"/>
      <c r="AD191" s="9"/>
      <c r="AJ191" s="2"/>
      <c r="AK191" s="2"/>
      <c r="AL191" s="2"/>
      <c r="AM191" s="2"/>
      <c r="AN191" s="9"/>
      <c r="AO191" s="9"/>
      <c r="AP191" s="9"/>
    </row>
    <row r="192" spans="17:42" x14ac:dyDescent="0.25">
      <c r="Q192" s="3"/>
      <c r="R192" s="3"/>
      <c r="AA192" s="9"/>
      <c r="AB192" s="9"/>
      <c r="AC192" s="9"/>
      <c r="AD192" s="9"/>
      <c r="AJ192" s="2"/>
      <c r="AK192" s="2"/>
      <c r="AL192" s="2"/>
      <c r="AM192" s="2"/>
      <c r="AN192" s="9"/>
      <c r="AO192" s="9"/>
      <c r="AP192" s="9"/>
    </row>
    <row r="193" spans="17:42" x14ac:dyDescent="0.25">
      <c r="Q193" s="3"/>
      <c r="R193" s="3"/>
      <c r="AA193" s="9"/>
      <c r="AB193" s="9"/>
      <c r="AC193" s="9"/>
      <c r="AD193" s="9"/>
      <c r="AJ193" s="2"/>
      <c r="AK193" s="2"/>
      <c r="AL193" s="2"/>
      <c r="AM193" s="2"/>
      <c r="AN193" s="9"/>
      <c r="AO193" s="9"/>
      <c r="AP193" s="9"/>
    </row>
    <row r="194" spans="17:42" x14ac:dyDescent="0.25">
      <c r="Q194" s="3"/>
      <c r="R194" s="3"/>
      <c r="AA194" s="9"/>
      <c r="AB194" s="9"/>
      <c r="AC194" s="9"/>
      <c r="AD194" s="9"/>
      <c r="AJ194" s="2"/>
      <c r="AK194" s="2"/>
      <c r="AL194" s="2"/>
      <c r="AM194" s="2"/>
      <c r="AN194" s="9"/>
      <c r="AO194" s="9"/>
      <c r="AP194" s="9"/>
    </row>
    <row r="195" spans="17:42" x14ac:dyDescent="0.25">
      <c r="Q195" s="3"/>
      <c r="R195" s="3"/>
      <c r="AA195" s="9"/>
      <c r="AB195" s="9"/>
      <c r="AC195" s="9"/>
      <c r="AD195" s="9"/>
      <c r="AJ195" s="2"/>
      <c r="AK195" s="2"/>
      <c r="AL195" s="2"/>
      <c r="AM195" s="2"/>
      <c r="AN195" s="9"/>
      <c r="AO195" s="9"/>
      <c r="AP195" s="9"/>
    </row>
    <row r="196" spans="17:42" x14ac:dyDescent="0.25">
      <c r="Q196" s="3"/>
      <c r="R196" s="3"/>
      <c r="AA196" s="9"/>
      <c r="AB196" s="9"/>
      <c r="AC196" s="9"/>
      <c r="AD196" s="9"/>
      <c r="AJ196" s="2"/>
      <c r="AK196" s="2"/>
      <c r="AL196" s="2"/>
      <c r="AM196" s="2"/>
      <c r="AN196" s="9"/>
      <c r="AO196" s="9"/>
      <c r="AP196" s="9"/>
    </row>
    <row r="197" spans="17:42" x14ac:dyDescent="0.25">
      <c r="Q197" s="3"/>
      <c r="R197" s="3"/>
      <c r="AA197" s="9"/>
      <c r="AB197" s="9"/>
      <c r="AC197" s="9"/>
      <c r="AD197" s="9"/>
      <c r="AJ197" s="2"/>
      <c r="AK197" s="2"/>
      <c r="AL197" s="2"/>
      <c r="AM197" s="2"/>
      <c r="AN197" s="9"/>
      <c r="AO197" s="9"/>
      <c r="AP197" s="9"/>
    </row>
    <row r="198" spans="17:42" x14ac:dyDescent="0.25">
      <c r="Q198" s="3"/>
      <c r="R198" s="3"/>
      <c r="AA198" s="9"/>
      <c r="AB198" s="9"/>
      <c r="AC198" s="9"/>
      <c r="AD198" s="9"/>
      <c r="AJ198" s="2"/>
      <c r="AK198" s="2"/>
      <c r="AL198" s="2"/>
      <c r="AM198" s="2"/>
      <c r="AN198" s="9"/>
      <c r="AO198" s="9"/>
      <c r="AP198" s="9"/>
    </row>
    <row r="199" spans="17:42" x14ac:dyDescent="0.25">
      <c r="Q199" s="3"/>
      <c r="R199" s="3"/>
      <c r="AA199" s="9"/>
      <c r="AB199" s="9"/>
      <c r="AC199" s="9"/>
      <c r="AD199" s="9"/>
      <c r="AJ199" s="2"/>
      <c r="AK199" s="2"/>
      <c r="AL199" s="2"/>
      <c r="AM199" s="2"/>
      <c r="AN199" s="9"/>
      <c r="AO199" s="9"/>
      <c r="AP199" s="9"/>
    </row>
    <row r="200" spans="17:42" x14ac:dyDescent="0.25">
      <c r="Q200" s="3"/>
      <c r="R200" s="3"/>
      <c r="AA200" s="9"/>
      <c r="AB200" s="9"/>
      <c r="AC200" s="9"/>
      <c r="AD200" s="9"/>
      <c r="AJ200" s="2"/>
      <c r="AK200" s="2"/>
      <c r="AL200" s="2"/>
      <c r="AM200" s="2"/>
      <c r="AN200" s="9"/>
      <c r="AO200" s="9"/>
      <c r="AP200" s="9"/>
    </row>
    <row r="201" spans="17:42" x14ac:dyDescent="0.25">
      <c r="Q201" s="3"/>
      <c r="R201" s="3"/>
      <c r="AA201" s="9"/>
      <c r="AB201" s="9"/>
      <c r="AC201" s="9"/>
      <c r="AD201" s="9"/>
      <c r="AJ201" s="2"/>
      <c r="AK201" s="2"/>
      <c r="AL201" s="2"/>
      <c r="AM201" s="2"/>
      <c r="AN201" s="9"/>
      <c r="AO201" s="9"/>
      <c r="AP201" s="9"/>
    </row>
    <row r="202" spans="17:42" x14ac:dyDescent="0.25">
      <c r="Q202" s="3"/>
      <c r="R202" s="3"/>
      <c r="AA202" s="9"/>
      <c r="AB202" s="9"/>
      <c r="AC202" s="9"/>
      <c r="AD202" s="9"/>
      <c r="AJ202" s="2"/>
      <c r="AK202" s="2"/>
      <c r="AL202" s="2"/>
      <c r="AM202" s="2"/>
      <c r="AN202" s="9"/>
      <c r="AO202" s="9"/>
      <c r="AP202" s="9"/>
    </row>
    <row r="203" spans="17:42" x14ac:dyDescent="0.25">
      <c r="Q203" s="3"/>
      <c r="R203" s="3"/>
      <c r="AA203" s="9"/>
      <c r="AB203" s="9"/>
      <c r="AC203" s="9"/>
      <c r="AD203" s="9"/>
      <c r="AJ203" s="2"/>
      <c r="AK203" s="2"/>
      <c r="AL203" s="2"/>
      <c r="AM203" s="2"/>
      <c r="AN203" s="9"/>
      <c r="AO203" s="9"/>
      <c r="AP203" s="9"/>
    </row>
    <row r="204" spans="17:42" x14ac:dyDescent="0.25">
      <c r="Q204" s="3"/>
      <c r="R204" s="3"/>
      <c r="AA204" s="9"/>
      <c r="AB204" s="9"/>
      <c r="AC204" s="9"/>
      <c r="AD204" s="9"/>
      <c r="AJ204" s="2"/>
      <c r="AK204" s="2"/>
      <c r="AL204" s="2"/>
      <c r="AM204" s="2"/>
      <c r="AN204" s="9"/>
      <c r="AO204" s="9"/>
      <c r="AP204" s="9"/>
    </row>
    <row r="205" spans="17:42" x14ac:dyDescent="0.25">
      <c r="Q205" s="3"/>
      <c r="R205" s="3"/>
      <c r="AA205" s="9"/>
      <c r="AB205" s="9"/>
      <c r="AC205" s="9"/>
      <c r="AD205" s="9"/>
      <c r="AJ205" s="2"/>
      <c r="AK205" s="2"/>
      <c r="AL205" s="2"/>
      <c r="AM205" s="2"/>
      <c r="AN205" s="9"/>
      <c r="AO205" s="9"/>
      <c r="AP205" s="9"/>
    </row>
    <row r="206" spans="17:42" x14ac:dyDescent="0.25">
      <c r="Q206" s="3"/>
      <c r="R206" s="3"/>
      <c r="AA206" s="9"/>
      <c r="AB206" s="9"/>
      <c r="AC206" s="9"/>
      <c r="AD206" s="9"/>
      <c r="AJ206" s="2"/>
      <c r="AK206" s="2"/>
      <c r="AL206" s="2"/>
      <c r="AM206" s="2"/>
      <c r="AN206" s="9"/>
      <c r="AO206" s="9"/>
      <c r="AP206" s="9"/>
    </row>
    <row r="207" spans="17:42" x14ac:dyDescent="0.25">
      <c r="Q207" s="3"/>
      <c r="R207" s="3"/>
      <c r="AA207" s="9"/>
      <c r="AB207" s="9"/>
      <c r="AC207" s="9"/>
      <c r="AD207" s="9"/>
      <c r="AJ207" s="2"/>
      <c r="AK207" s="2"/>
      <c r="AL207" s="2"/>
      <c r="AM207" s="2"/>
      <c r="AN207" s="9"/>
      <c r="AO207" s="9"/>
      <c r="AP207" s="9"/>
    </row>
    <row r="208" spans="17:42" x14ac:dyDescent="0.25">
      <c r="Q208" s="3"/>
      <c r="R208" s="3"/>
      <c r="AA208" s="9"/>
      <c r="AB208" s="9"/>
      <c r="AC208" s="9"/>
      <c r="AD208" s="9"/>
      <c r="AJ208" s="2"/>
      <c r="AK208" s="2"/>
      <c r="AL208" s="2"/>
      <c r="AM208" s="2"/>
      <c r="AN208" s="9"/>
      <c r="AO208" s="9"/>
      <c r="AP208" s="9"/>
    </row>
    <row r="209" spans="17:42" x14ac:dyDescent="0.25">
      <c r="Q209" s="3"/>
      <c r="R209" s="3"/>
      <c r="AA209" s="9"/>
      <c r="AB209" s="9"/>
      <c r="AC209" s="9"/>
      <c r="AD209" s="9"/>
      <c r="AJ209" s="2"/>
      <c r="AK209" s="2"/>
      <c r="AL209" s="2"/>
      <c r="AM209" s="2"/>
      <c r="AN209" s="9"/>
      <c r="AO209" s="9"/>
      <c r="AP209" s="9"/>
    </row>
    <row r="210" spans="17:42" x14ac:dyDescent="0.25">
      <c r="Q210" s="3"/>
      <c r="R210" s="3"/>
      <c r="AA210" s="9"/>
      <c r="AB210" s="9"/>
      <c r="AC210" s="9"/>
      <c r="AD210" s="9"/>
      <c r="AJ210" s="2"/>
      <c r="AK210" s="2"/>
      <c r="AL210" s="2"/>
      <c r="AM210" s="2"/>
      <c r="AN210" s="9"/>
      <c r="AO210" s="9"/>
      <c r="AP210" s="9"/>
    </row>
    <row r="211" spans="17:42" x14ac:dyDescent="0.25">
      <c r="Q211" s="3"/>
      <c r="R211" s="3"/>
      <c r="AA211" s="9"/>
      <c r="AB211" s="9"/>
      <c r="AC211" s="9"/>
      <c r="AD211" s="9"/>
      <c r="AJ211" s="2"/>
      <c r="AK211" s="2"/>
      <c r="AL211" s="2"/>
      <c r="AM211" s="2"/>
      <c r="AN211" s="9"/>
      <c r="AO211" s="9"/>
      <c r="AP211" s="9"/>
    </row>
    <row r="212" spans="17:42" x14ac:dyDescent="0.25">
      <c r="Q212" s="3"/>
      <c r="R212" s="3"/>
      <c r="AA212" s="9"/>
      <c r="AB212" s="9"/>
      <c r="AC212" s="9"/>
      <c r="AD212" s="9"/>
      <c r="AJ212" s="2"/>
      <c r="AK212" s="2"/>
      <c r="AL212" s="2"/>
      <c r="AM212" s="2"/>
      <c r="AN212" s="9"/>
      <c r="AO212" s="9"/>
      <c r="AP212" s="9"/>
    </row>
    <row r="213" spans="17:42" x14ac:dyDescent="0.25">
      <c r="Q213" s="3"/>
      <c r="R213" s="3"/>
      <c r="AA213" s="9"/>
      <c r="AB213" s="9"/>
      <c r="AC213" s="9"/>
      <c r="AD213" s="9"/>
      <c r="AJ213" s="2"/>
      <c r="AK213" s="2"/>
      <c r="AL213" s="2"/>
      <c r="AM213" s="2"/>
      <c r="AN213" s="9"/>
      <c r="AO213" s="9"/>
      <c r="AP213" s="9"/>
    </row>
    <row r="214" spans="17:42" x14ac:dyDescent="0.25">
      <c r="Q214" s="3"/>
      <c r="R214" s="3"/>
      <c r="AA214" s="9"/>
      <c r="AB214" s="9"/>
      <c r="AC214" s="9"/>
      <c r="AD214" s="9"/>
      <c r="AJ214" s="2"/>
      <c r="AK214" s="2"/>
      <c r="AL214" s="2"/>
      <c r="AM214" s="2"/>
      <c r="AN214" s="9"/>
      <c r="AO214" s="9"/>
      <c r="AP214" s="9"/>
    </row>
    <row r="215" spans="17:42" x14ac:dyDescent="0.25">
      <c r="Q215" s="3"/>
      <c r="R215" s="3"/>
      <c r="AA215" s="9"/>
      <c r="AB215" s="9"/>
      <c r="AC215" s="9"/>
      <c r="AD215" s="9"/>
      <c r="AJ215" s="2"/>
      <c r="AK215" s="2"/>
      <c r="AL215" s="2"/>
      <c r="AM215" s="2"/>
      <c r="AN215" s="9"/>
      <c r="AO215" s="9"/>
      <c r="AP215" s="9"/>
    </row>
    <row r="216" spans="17:42" x14ac:dyDescent="0.25">
      <c r="Q216" s="3"/>
      <c r="R216" s="3"/>
      <c r="AA216" s="9"/>
      <c r="AB216" s="9"/>
      <c r="AC216" s="9"/>
      <c r="AD216" s="9"/>
      <c r="AJ216" s="2"/>
      <c r="AK216" s="2"/>
      <c r="AL216" s="2"/>
      <c r="AM216" s="2"/>
      <c r="AN216" s="9"/>
      <c r="AO216" s="9"/>
      <c r="AP216" s="9"/>
    </row>
    <row r="217" spans="17:42" x14ac:dyDescent="0.25">
      <c r="Q217" s="3"/>
      <c r="R217" s="3"/>
      <c r="AA217" s="9"/>
      <c r="AB217" s="9"/>
      <c r="AC217" s="9"/>
      <c r="AD217" s="9"/>
      <c r="AJ217" s="2"/>
      <c r="AK217" s="2"/>
      <c r="AL217" s="2"/>
      <c r="AM217" s="2"/>
      <c r="AN217" s="9"/>
      <c r="AO217" s="9"/>
      <c r="AP217" s="9"/>
    </row>
    <row r="218" spans="17:42" x14ac:dyDescent="0.25">
      <c r="Q218" s="3"/>
      <c r="R218" s="3"/>
      <c r="AA218" s="9"/>
      <c r="AB218" s="9"/>
      <c r="AC218" s="9"/>
      <c r="AD218" s="9"/>
      <c r="AJ218" s="2"/>
      <c r="AK218" s="2"/>
      <c r="AL218" s="2"/>
      <c r="AM218" s="2"/>
      <c r="AN218" s="9"/>
      <c r="AO218" s="9"/>
      <c r="AP218" s="9"/>
    </row>
    <row r="219" spans="17:42" x14ac:dyDescent="0.25">
      <c r="Q219" s="3"/>
      <c r="R219" s="3"/>
      <c r="AA219" s="9"/>
      <c r="AB219" s="9"/>
      <c r="AC219" s="9"/>
      <c r="AD219" s="9"/>
      <c r="AJ219" s="2"/>
      <c r="AK219" s="2"/>
      <c r="AL219" s="2"/>
      <c r="AM219" s="2"/>
      <c r="AN219" s="9"/>
      <c r="AO219" s="9"/>
      <c r="AP219" s="9"/>
    </row>
    <row r="220" spans="17:42" x14ac:dyDescent="0.25">
      <c r="Q220" s="3"/>
      <c r="R220" s="3"/>
      <c r="AA220" s="9"/>
      <c r="AB220" s="9"/>
      <c r="AC220" s="9"/>
      <c r="AD220" s="9"/>
      <c r="AJ220" s="2"/>
      <c r="AK220" s="2"/>
      <c r="AL220" s="2"/>
      <c r="AM220" s="2"/>
      <c r="AN220" s="9"/>
      <c r="AO220" s="9"/>
      <c r="AP220" s="9"/>
    </row>
    <row r="221" spans="17:42" x14ac:dyDescent="0.25">
      <c r="Q221" s="3"/>
      <c r="R221" s="3"/>
      <c r="AA221" s="9"/>
      <c r="AB221" s="9"/>
      <c r="AC221" s="9"/>
      <c r="AD221" s="9"/>
      <c r="AJ221" s="2"/>
      <c r="AK221" s="2"/>
      <c r="AL221" s="2"/>
      <c r="AM221" s="2"/>
      <c r="AN221" s="9"/>
      <c r="AO221" s="9"/>
      <c r="AP221" s="9"/>
    </row>
    <row r="222" spans="17:42" x14ac:dyDescent="0.25">
      <c r="Q222" s="3"/>
      <c r="R222" s="3"/>
      <c r="AA222" s="9"/>
      <c r="AB222" s="9"/>
      <c r="AC222" s="9"/>
      <c r="AD222" s="9"/>
      <c r="AJ222" s="2"/>
      <c r="AK222" s="2"/>
      <c r="AL222" s="2"/>
      <c r="AM222" s="2"/>
      <c r="AN222" s="9"/>
      <c r="AO222" s="9"/>
      <c r="AP222" s="9"/>
    </row>
    <row r="223" spans="17:42" x14ac:dyDescent="0.25">
      <c r="Q223" s="3"/>
      <c r="R223" s="3"/>
      <c r="AA223" s="9"/>
      <c r="AB223" s="9"/>
      <c r="AC223" s="9"/>
      <c r="AD223" s="9"/>
      <c r="AJ223" s="2"/>
      <c r="AK223" s="2"/>
      <c r="AL223" s="2"/>
      <c r="AM223" s="2"/>
      <c r="AN223" s="9"/>
      <c r="AO223" s="9"/>
      <c r="AP223" s="9"/>
    </row>
    <row r="224" spans="17:42" x14ac:dyDescent="0.25">
      <c r="Q224" s="3"/>
      <c r="R224" s="3"/>
      <c r="AA224" s="9"/>
      <c r="AB224" s="9"/>
      <c r="AC224" s="9"/>
      <c r="AD224" s="9"/>
      <c r="AJ224" s="2"/>
      <c r="AK224" s="2"/>
      <c r="AL224" s="2"/>
      <c r="AM224" s="2"/>
      <c r="AN224" s="9"/>
      <c r="AO224" s="9"/>
      <c r="AP224" s="9"/>
    </row>
    <row r="225" spans="17:42" x14ac:dyDescent="0.25">
      <c r="Q225" s="3"/>
      <c r="R225" s="3"/>
      <c r="AA225" s="9"/>
      <c r="AB225" s="9"/>
      <c r="AC225" s="9"/>
      <c r="AD225" s="9"/>
      <c r="AJ225" s="2"/>
      <c r="AK225" s="2"/>
      <c r="AL225" s="2"/>
      <c r="AM225" s="2"/>
      <c r="AN225" s="9"/>
      <c r="AO225" s="9"/>
      <c r="AP225" s="9"/>
    </row>
    <row r="226" spans="17:42" x14ac:dyDescent="0.25">
      <c r="Q226" s="3"/>
      <c r="R226" s="3"/>
      <c r="AA226" s="9"/>
      <c r="AB226" s="9"/>
      <c r="AC226" s="9"/>
      <c r="AD226" s="9"/>
      <c r="AJ226" s="2"/>
      <c r="AK226" s="2"/>
      <c r="AL226" s="2"/>
      <c r="AM226" s="2"/>
      <c r="AN226" s="9"/>
      <c r="AO226" s="9"/>
      <c r="AP226" s="9"/>
    </row>
    <row r="227" spans="17:42" x14ac:dyDescent="0.25">
      <c r="Q227" s="3"/>
      <c r="R227" s="3"/>
      <c r="AA227" s="9"/>
      <c r="AB227" s="9"/>
      <c r="AC227" s="9"/>
      <c r="AD227" s="9"/>
      <c r="AJ227" s="2"/>
      <c r="AK227" s="2"/>
      <c r="AL227" s="2"/>
      <c r="AM227" s="2"/>
      <c r="AN227" s="9"/>
      <c r="AO227" s="9"/>
      <c r="AP227" s="9"/>
    </row>
    <row r="228" spans="17:42" x14ac:dyDescent="0.25">
      <c r="Q228" s="3"/>
      <c r="R228" s="3"/>
      <c r="AA228" s="9"/>
      <c r="AB228" s="9"/>
      <c r="AC228" s="9"/>
      <c r="AD228" s="9"/>
      <c r="AJ228" s="2"/>
      <c r="AK228" s="2"/>
      <c r="AL228" s="2"/>
      <c r="AM228" s="2"/>
      <c r="AN228" s="9"/>
      <c r="AO228" s="9"/>
      <c r="AP228" s="9"/>
    </row>
    <row r="229" spans="17:42" x14ac:dyDescent="0.25">
      <c r="Q229" s="3"/>
      <c r="R229" s="3"/>
      <c r="AA229" s="9"/>
      <c r="AB229" s="9"/>
      <c r="AC229" s="9"/>
      <c r="AD229" s="9"/>
      <c r="AJ229" s="2"/>
      <c r="AK229" s="2"/>
      <c r="AL229" s="2"/>
      <c r="AM229" s="2"/>
      <c r="AN229" s="9"/>
      <c r="AO229" s="9"/>
      <c r="AP229" s="9"/>
    </row>
    <row r="230" spans="17:42" x14ac:dyDescent="0.25">
      <c r="Q230" s="3"/>
      <c r="R230" s="3"/>
      <c r="AA230" s="9"/>
      <c r="AB230" s="9"/>
      <c r="AC230" s="9"/>
      <c r="AD230" s="9"/>
      <c r="AJ230" s="2"/>
      <c r="AK230" s="2"/>
      <c r="AL230" s="2"/>
      <c r="AM230" s="2"/>
      <c r="AN230" s="9"/>
      <c r="AO230" s="9"/>
      <c r="AP230" s="9"/>
    </row>
    <row r="231" spans="17:42" x14ac:dyDescent="0.25">
      <c r="Q231" s="3"/>
      <c r="R231" s="3"/>
      <c r="AA231" s="9"/>
      <c r="AB231" s="9"/>
      <c r="AC231" s="9"/>
      <c r="AD231" s="9"/>
      <c r="AJ231" s="2"/>
      <c r="AK231" s="2"/>
      <c r="AL231" s="2"/>
      <c r="AM231" s="2"/>
      <c r="AN231" s="9"/>
      <c r="AO231" s="9"/>
      <c r="AP231" s="9"/>
    </row>
    <row r="232" spans="17:42" x14ac:dyDescent="0.25">
      <c r="Q232" s="3"/>
      <c r="R232" s="3"/>
      <c r="AA232" s="9"/>
      <c r="AB232" s="9"/>
      <c r="AC232" s="9"/>
      <c r="AD232" s="9"/>
      <c r="AJ232" s="2"/>
      <c r="AK232" s="2"/>
      <c r="AL232" s="2"/>
      <c r="AM232" s="2"/>
      <c r="AN232" s="9"/>
      <c r="AO232" s="9"/>
      <c r="AP232" s="9"/>
    </row>
    <row r="233" spans="17:42" x14ac:dyDescent="0.25">
      <c r="Q233" s="3"/>
      <c r="R233" s="3"/>
      <c r="AA233" s="9"/>
      <c r="AB233" s="9"/>
      <c r="AC233" s="9"/>
      <c r="AD233" s="9"/>
      <c r="AJ233" s="2"/>
      <c r="AK233" s="2"/>
      <c r="AL233" s="2"/>
      <c r="AM233" s="2"/>
      <c r="AN233" s="9"/>
      <c r="AO233" s="9"/>
      <c r="AP233" s="9"/>
    </row>
    <row r="234" spans="17:42" x14ac:dyDescent="0.25">
      <c r="Q234" s="3"/>
      <c r="R234" s="3"/>
      <c r="AA234" s="9"/>
      <c r="AB234" s="9"/>
      <c r="AC234" s="9"/>
      <c r="AD234" s="9"/>
      <c r="AJ234" s="2"/>
      <c r="AK234" s="2"/>
      <c r="AL234" s="2"/>
      <c r="AM234" s="2"/>
      <c r="AN234" s="9"/>
      <c r="AO234" s="9"/>
      <c r="AP234" s="9"/>
    </row>
    <row r="235" spans="17:42" x14ac:dyDescent="0.25">
      <c r="Q235" s="3"/>
      <c r="R235" s="3"/>
      <c r="AA235" s="9"/>
      <c r="AB235" s="9"/>
      <c r="AC235" s="9"/>
      <c r="AD235" s="9"/>
      <c r="AJ235" s="2"/>
      <c r="AK235" s="2"/>
      <c r="AL235" s="2"/>
      <c r="AM235" s="2"/>
      <c r="AN235" s="9"/>
      <c r="AO235" s="9"/>
      <c r="AP235" s="9"/>
    </row>
    <row r="236" spans="17:42" x14ac:dyDescent="0.25">
      <c r="Q236" s="3"/>
      <c r="R236" s="3"/>
      <c r="AA236" s="9"/>
      <c r="AB236" s="9"/>
      <c r="AC236" s="9"/>
      <c r="AD236" s="9"/>
      <c r="AJ236" s="2"/>
      <c r="AK236" s="2"/>
      <c r="AL236" s="2"/>
      <c r="AM236" s="2"/>
      <c r="AN236" s="9"/>
      <c r="AO236" s="9"/>
      <c r="AP236" s="9"/>
    </row>
    <row r="237" spans="17:42" x14ac:dyDescent="0.25">
      <c r="Q237" s="3"/>
      <c r="R237" s="3"/>
      <c r="AA237" s="9"/>
      <c r="AB237" s="9"/>
      <c r="AC237" s="9"/>
      <c r="AD237" s="9"/>
      <c r="AJ237" s="2"/>
      <c r="AK237" s="2"/>
      <c r="AL237" s="2"/>
      <c r="AM237" s="2"/>
      <c r="AN237" s="9"/>
      <c r="AO237" s="9"/>
      <c r="AP237" s="9"/>
    </row>
    <row r="238" spans="17:42" x14ac:dyDescent="0.25">
      <c r="Q238" s="3"/>
      <c r="R238" s="3"/>
      <c r="AA238" s="9"/>
      <c r="AB238" s="9"/>
      <c r="AC238" s="9"/>
      <c r="AD238" s="9"/>
      <c r="AJ238" s="2"/>
      <c r="AK238" s="2"/>
      <c r="AL238" s="2"/>
      <c r="AM238" s="2"/>
      <c r="AN238" s="9"/>
      <c r="AO238" s="9"/>
      <c r="AP238" s="9"/>
    </row>
    <row r="239" spans="17:42" x14ac:dyDescent="0.25">
      <c r="Q239" s="3"/>
      <c r="R239" s="3"/>
      <c r="AA239" s="9"/>
      <c r="AB239" s="9"/>
      <c r="AC239" s="9"/>
      <c r="AD239" s="9"/>
      <c r="AJ239" s="2"/>
      <c r="AK239" s="2"/>
      <c r="AL239" s="2"/>
      <c r="AM239" s="2"/>
      <c r="AN239" s="9"/>
      <c r="AO239" s="9"/>
      <c r="AP239" s="9"/>
    </row>
    <row r="240" spans="17:42" x14ac:dyDescent="0.25">
      <c r="Q240" s="3"/>
      <c r="R240" s="3"/>
      <c r="AA240" s="9"/>
      <c r="AB240" s="9"/>
      <c r="AC240" s="9"/>
      <c r="AD240" s="9"/>
      <c r="AJ240" s="2"/>
      <c r="AK240" s="2"/>
      <c r="AL240" s="2"/>
      <c r="AM240" s="2"/>
      <c r="AN240" s="9"/>
      <c r="AO240" s="9"/>
      <c r="AP240" s="9"/>
    </row>
    <row r="241" spans="17:42" x14ac:dyDescent="0.25">
      <c r="Q241" s="3"/>
      <c r="R241" s="3"/>
      <c r="AA241" s="9"/>
      <c r="AB241" s="9"/>
      <c r="AC241" s="9"/>
      <c r="AD241" s="9"/>
      <c r="AJ241" s="2"/>
      <c r="AK241" s="2"/>
      <c r="AL241" s="2"/>
      <c r="AM241" s="2"/>
      <c r="AN241" s="9"/>
      <c r="AO241" s="9"/>
      <c r="AP241" s="9"/>
    </row>
    <row r="242" spans="17:42" x14ac:dyDescent="0.25">
      <c r="Q242" s="3"/>
      <c r="R242" s="3"/>
      <c r="AA242" s="9"/>
      <c r="AB242" s="9"/>
      <c r="AC242" s="9"/>
      <c r="AD242" s="9"/>
      <c r="AJ242" s="2"/>
      <c r="AK242" s="2"/>
      <c r="AL242" s="2"/>
      <c r="AM242" s="2"/>
      <c r="AN242" s="9"/>
      <c r="AO242" s="9"/>
      <c r="AP242" s="9"/>
    </row>
    <row r="243" spans="17:42" x14ac:dyDescent="0.25">
      <c r="Q243" s="3"/>
      <c r="R243" s="3"/>
      <c r="AA243" s="9"/>
      <c r="AB243" s="9"/>
      <c r="AC243" s="9"/>
      <c r="AD243" s="9"/>
      <c r="AJ243" s="2"/>
      <c r="AK243" s="2"/>
      <c r="AL243" s="2"/>
      <c r="AM243" s="2"/>
      <c r="AN243" s="9"/>
      <c r="AO243" s="9"/>
      <c r="AP243" s="9"/>
    </row>
    <row r="244" spans="17:42" x14ac:dyDescent="0.25">
      <c r="Q244" s="3"/>
      <c r="R244" s="3"/>
      <c r="AA244" s="9"/>
      <c r="AB244" s="9"/>
      <c r="AC244" s="9"/>
      <c r="AD244" s="9"/>
      <c r="AJ244" s="2"/>
      <c r="AK244" s="2"/>
      <c r="AL244" s="2"/>
      <c r="AM244" s="2"/>
      <c r="AN244" s="9"/>
      <c r="AO244" s="9"/>
      <c r="AP244" s="9"/>
    </row>
    <row r="245" spans="17:42" x14ac:dyDescent="0.25">
      <c r="Q245" s="3"/>
      <c r="R245" s="3"/>
      <c r="AA245" s="9"/>
      <c r="AB245" s="9"/>
      <c r="AC245" s="9"/>
      <c r="AD245" s="9"/>
      <c r="AJ245" s="2"/>
      <c r="AK245" s="2"/>
      <c r="AL245" s="2"/>
      <c r="AM245" s="2"/>
      <c r="AN245" s="9"/>
      <c r="AO245" s="9"/>
      <c r="AP245" s="9"/>
    </row>
    <row r="246" spans="17:42" x14ac:dyDescent="0.25">
      <c r="Q246" s="3"/>
      <c r="R246" s="3"/>
      <c r="AA246" s="9"/>
      <c r="AB246" s="9"/>
      <c r="AC246" s="9"/>
      <c r="AD246" s="9"/>
      <c r="AJ246" s="2"/>
      <c r="AK246" s="2"/>
      <c r="AL246" s="2"/>
      <c r="AM246" s="2"/>
      <c r="AN246" s="9"/>
      <c r="AO246" s="9"/>
      <c r="AP246" s="9"/>
    </row>
    <row r="247" spans="17:42" x14ac:dyDescent="0.25">
      <c r="Q247" s="3"/>
      <c r="R247" s="3"/>
      <c r="AA247" s="9"/>
      <c r="AB247" s="9"/>
      <c r="AC247" s="9"/>
      <c r="AD247" s="9"/>
      <c r="AJ247" s="2"/>
      <c r="AK247" s="2"/>
      <c r="AL247" s="2"/>
      <c r="AM247" s="2"/>
      <c r="AN247" s="9"/>
      <c r="AO247" s="9"/>
      <c r="AP247" s="9"/>
    </row>
    <row r="248" spans="17:42" x14ac:dyDescent="0.25">
      <c r="Q248" s="3"/>
      <c r="R248" s="3"/>
      <c r="AA248" s="9"/>
      <c r="AB248" s="9"/>
      <c r="AC248" s="9"/>
      <c r="AD248" s="9"/>
      <c r="AJ248" s="2"/>
      <c r="AK248" s="2"/>
      <c r="AL248" s="2"/>
      <c r="AM248" s="2"/>
      <c r="AN248" s="9"/>
      <c r="AO248" s="9"/>
      <c r="AP248" s="9"/>
    </row>
    <row r="249" spans="17:42" x14ac:dyDescent="0.25">
      <c r="Q249" s="3"/>
      <c r="R249" s="3"/>
      <c r="AA249" s="9"/>
      <c r="AB249" s="9"/>
      <c r="AC249" s="9"/>
      <c r="AD249" s="9"/>
      <c r="AJ249" s="2"/>
      <c r="AK249" s="2"/>
      <c r="AL249" s="2"/>
      <c r="AM249" s="2"/>
      <c r="AN249" s="9"/>
      <c r="AO249" s="9"/>
      <c r="AP249" s="9"/>
    </row>
    <row r="250" spans="17:42" x14ac:dyDescent="0.25">
      <c r="Q250" s="3"/>
      <c r="R250" s="3"/>
      <c r="AA250" s="9"/>
      <c r="AB250" s="9"/>
      <c r="AC250" s="9"/>
      <c r="AD250" s="9"/>
      <c r="AJ250" s="2"/>
      <c r="AK250" s="2"/>
      <c r="AL250" s="2"/>
      <c r="AM250" s="2"/>
      <c r="AN250" s="9"/>
      <c r="AO250" s="9"/>
      <c r="AP250" s="9"/>
    </row>
    <row r="251" spans="17:42" x14ac:dyDescent="0.25">
      <c r="Q251" s="3"/>
      <c r="R251" s="3"/>
      <c r="AA251" s="9"/>
      <c r="AB251" s="9"/>
      <c r="AC251" s="9"/>
      <c r="AD251" s="9"/>
      <c r="AJ251" s="2"/>
      <c r="AK251" s="2"/>
      <c r="AL251" s="2"/>
      <c r="AM251" s="2"/>
      <c r="AN251" s="9"/>
      <c r="AO251" s="9"/>
      <c r="AP251" s="9"/>
    </row>
    <row r="252" spans="17:42" x14ac:dyDescent="0.25">
      <c r="Q252" s="3"/>
      <c r="R252" s="3"/>
      <c r="AA252" s="9"/>
      <c r="AB252" s="9"/>
      <c r="AC252" s="9"/>
      <c r="AD252" s="9"/>
      <c r="AJ252" s="2"/>
      <c r="AK252" s="2"/>
      <c r="AL252" s="2"/>
      <c r="AM252" s="2"/>
      <c r="AN252" s="9"/>
      <c r="AO252" s="9"/>
      <c r="AP252" s="9"/>
    </row>
    <row r="253" spans="17:42" x14ac:dyDescent="0.25">
      <c r="Q253" s="3"/>
      <c r="R253" s="3"/>
      <c r="AA253" s="9"/>
      <c r="AB253" s="9"/>
      <c r="AC253" s="9"/>
      <c r="AD253" s="9"/>
      <c r="AJ253" s="2"/>
      <c r="AK253" s="2"/>
      <c r="AL253" s="2"/>
      <c r="AM253" s="2"/>
      <c r="AN253" s="9"/>
      <c r="AO253" s="9"/>
      <c r="AP253" s="9"/>
    </row>
    <row r="254" spans="17:42" x14ac:dyDescent="0.25">
      <c r="Q254" s="3"/>
      <c r="R254" s="3"/>
      <c r="AA254" s="9"/>
      <c r="AB254" s="9"/>
      <c r="AC254" s="9"/>
      <c r="AD254" s="9"/>
      <c r="AJ254" s="2"/>
      <c r="AK254" s="2"/>
      <c r="AL254" s="2"/>
      <c r="AM254" s="2"/>
      <c r="AN254" s="9"/>
      <c r="AO254" s="9"/>
      <c r="AP254" s="9"/>
    </row>
    <row r="255" spans="17:42" x14ac:dyDescent="0.25">
      <c r="Q255" s="3"/>
      <c r="R255" s="3"/>
      <c r="AA255" s="9"/>
      <c r="AB255" s="9"/>
      <c r="AC255" s="9"/>
      <c r="AD255" s="9"/>
      <c r="AJ255" s="2"/>
      <c r="AK255" s="2"/>
      <c r="AL255" s="2"/>
      <c r="AM255" s="2"/>
      <c r="AN255" s="9"/>
      <c r="AO255" s="9"/>
      <c r="AP255" s="9"/>
    </row>
    <row r="256" spans="17:42" x14ac:dyDescent="0.25">
      <c r="Q256" s="3"/>
      <c r="R256" s="3"/>
      <c r="AA256" s="9"/>
      <c r="AB256" s="9"/>
      <c r="AC256" s="9"/>
      <c r="AD256" s="9"/>
      <c r="AJ256" s="2"/>
      <c r="AK256" s="2"/>
      <c r="AL256" s="2"/>
      <c r="AM256" s="2"/>
      <c r="AN256" s="9"/>
      <c r="AO256" s="9"/>
      <c r="AP256" s="9"/>
    </row>
    <row r="257" spans="17:42" x14ac:dyDescent="0.25">
      <c r="Q257" s="3"/>
      <c r="R257" s="3"/>
      <c r="AA257" s="9"/>
      <c r="AB257" s="9"/>
      <c r="AC257" s="9"/>
      <c r="AD257" s="9"/>
      <c r="AJ257" s="2"/>
      <c r="AK257" s="2"/>
      <c r="AL257" s="2"/>
      <c r="AM257" s="2"/>
      <c r="AN257" s="9"/>
      <c r="AO257" s="9"/>
      <c r="AP257" s="9"/>
    </row>
    <row r="258" spans="17:42" x14ac:dyDescent="0.25">
      <c r="Q258" s="3"/>
      <c r="R258" s="3"/>
      <c r="AA258" s="9"/>
      <c r="AB258" s="9"/>
      <c r="AC258" s="9"/>
      <c r="AD258" s="9"/>
      <c r="AJ258" s="2"/>
      <c r="AK258" s="2"/>
      <c r="AL258" s="2"/>
      <c r="AM258" s="2"/>
      <c r="AN258" s="9"/>
      <c r="AO258" s="9"/>
      <c r="AP258" s="9"/>
    </row>
    <row r="259" spans="17:42" x14ac:dyDescent="0.25">
      <c r="Q259" s="3"/>
      <c r="R259" s="3"/>
      <c r="AA259" s="9"/>
      <c r="AB259" s="9"/>
      <c r="AC259" s="9"/>
      <c r="AD259" s="9"/>
      <c r="AJ259" s="2"/>
      <c r="AK259" s="2"/>
      <c r="AL259" s="2"/>
      <c r="AM259" s="2"/>
      <c r="AN259" s="9"/>
      <c r="AO259" s="9"/>
      <c r="AP259" s="9"/>
    </row>
    <row r="260" spans="17:42" x14ac:dyDescent="0.25">
      <c r="Q260" s="3"/>
      <c r="R260" s="3"/>
      <c r="AA260" s="9"/>
      <c r="AB260" s="9"/>
      <c r="AC260" s="9"/>
      <c r="AD260" s="9"/>
      <c r="AJ260" s="2"/>
      <c r="AK260" s="2"/>
      <c r="AL260" s="2"/>
      <c r="AM260" s="2"/>
      <c r="AN260" s="9"/>
      <c r="AO260" s="9"/>
      <c r="AP260" s="9"/>
    </row>
    <row r="261" spans="17:42" x14ac:dyDescent="0.25">
      <c r="Q261" s="3"/>
      <c r="R261" s="3"/>
      <c r="AA261" s="9"/>
      <c r="AB261" s="9"/>
      <c r="AC261" s="9"/>
      <c r="AD261" s="9"/>
      <c r="AJ261" s="2"/>
      <c r="AK261" s="2"/>
      <c r="AL261" s="2"/>
      <c r="AM261" s="2"/>
      <c r="AN261" s="9"/>
      <c r="AO261" s="9"/>
      <c r="AP261" s="9"/>
    </row>
    <row r="262" spans="17:42" x14ac:dyDescent="0.25">
      <c r="Q262" s="3"/>
      <c r="R262" s="3"/>
      <c r="AA262" s="9"/>
      <c r="AB262" s="9"/>
      <c r="AC262" s="9"/>
      <c r="AD262" s="9"/>
      <c r="AJ262" s="2"/>
      <c r="AK262" s="2"/>
      <c r="AL262" s="2"/>
      <c r="AM262" s="2"/>
      <c r="AN262" s="9"/>
      <c r="AO262" s="9"/>
      <c r="AP262" s="9"/>
    </row>
    <row r="263" spans="17:42" x14ac:dyDescent="0.25">
      <c r="Q263" s="3"/>
      <c r="R263" s="3"/>
      <c r="AA263" s="9"/>
      <c r="AB263" s="9"/>
      <c r="AC263" s="9"/>
      <c r="AD263" s="9"/>
      <c r="AJ263" s="2"/>
      <c r="AK263" s="2"/>
      <c r="AL263" s="2"/>
      <c r="AM263" s="2"/>
      <c r="AN263" s="9"/>
      <c r="AO263" s="9"/>
      <c r="AP263" s="9"/>
    </row>
    <row r="264" spans="17:42" x14ac:dyDescent="0.25">
      <c r="Q264" s="3"/>
      <c r="R264" s="3"/>
      <c r="AA264" s="9"/>
      <c r="AB264" s="9"/>
      <c r="AC264" s="9"/>
      <c r="AD264" s="9"/>
      <c r="AJ264" s="2"/>
      <c r="AK264" s="2"/>
      <c r="AL264" s="2"/>
      <c r="AM264" s="2"/>
      <c r="AN264" s="9"/>
      <c r="AO264" s="9"/>
      <c r="AP264" s="9"/>
    </row>
    <row r="265" spans="17:42" x14ac:dyDescent="0.25">
      <c r="Q265" s="3"/>
      <c r="R265" s="3"/>
      <c r="AA265" s="9"/>
      <c r="AB265" s="9"/>
      <c r="AC265" s="9"/>
      <c r="AD265" s="9"/>
      <c r="AJ265" s="2"/>
      <c r="AK265" s="2"/>
      <c r="AL265" s="2"/>
      <c r="AM265" s="2"/>
      <c r="AN265" s="9"/>
      <c r="AO265" s="9"/>
      <c r="AP265" s="9"/>
    </row>
    <row r="266" spans="17:42" x14ac:dyDescent="0.25">
      <c r="Q266" s="3"/>
      <c r="R266" s="3"/>
      <c r="AA266" s="9"/>
      <c r="AB266" s="9"/>
      <c r="AC266" s="9"/>
      <c r="AD266" s="9"/>
      <c r="AJ266" s="2"/>
      <c r="AK266" s="2"/>
      <c r="AL266" s="2"/>
      <c r="AM266" s="2"/>
      <c r="AN266" s="9"/>
      <c r="AO266" s="9"/>
      <c r="AP266" s="9"/>
    </row>
    <row r="267" spans="17:42" x14ac:dyDescent="0.25">
      <c r="Q267" s="3"/>
      <c r="R267" s="3"/>
      <c r="AA267" s="9"/>
      <c r="AB267" s="9"/>
      <c r="AC267" s="9"/>
      <c r="AD267" s="9"/>
      <c r="AJ267" s="2"/>
      <c r="AK267" s="2"/>
      <c r="AL267" s="2"/>
      <c r="AM267" s="2"/>
      <c r="AN267" s="9"/>
      <c r="AO267" s="9"/>
      <c r="AP267" s="9"/>
    </row>
    <row r="268" spans="17:42" x14ac:dyDescent="0.25">
      <c r="Q268" s="3"/>
      <c r="R268" s="3"/>
      <c r="AA268" s="9"/>
      <c r="AB268" s="9"/>
      <c r="AC268" s="9"/>
      <c r="AD268" s="9"/>
      <c r="AJ268" s="2"/>
      <c r="AK268" s="2"/>
      <c r="AL268" s="2"/>
      <c r="AM268" s="2"/>
      <c r="AN268" s="9"/>
      <c r="AO268" s="9"/>
      <c r="AP268" s="9"/>
    </row>
    <row r="269" spans="17:42" x14ac:dyDescent="0.25">
      <c r="Q269" s="3"/>
      <c r="R269" s="3"/>
      <c r="AA269" s="9"/>
      <c r="AB269" s="9"/>
      <c r="AC269" s="9"/>
      <c r="AD269" s="9"/>
      <c r="AJ269" s="2"/>
      <c r="AK269" s="2"/>
      <c r="AL269" s="2"/>
      <c r="AM269" s="2"/>
      <c r="AN269" s="9"/>
      <c r="AO269" s="9"/>
      <c r="AP269" s="9"/>
    </row>
    <row r="270" spans="17:42" x14ac:dyDescent="0.25">
      <c r="Q270" s="3"/>
      <c r="R270" s="3"/>
      <c r="AA270" s="9"/>
      <c r="AB270" s="9"/>
      <c r="AC270" s="9"/>
      <c r="AD270" s="9"/>
      <c r="AJ270" s="2"/>
      <c r="AK270" s="2"/>
      <c r="AL270" s="2"/>
      <c r="AM270" s="2"/>
      <c r="AN270" s="9"/>
      <c r="AO270" s="9"/>
      <c r="AP270" s="9"/>
    </row>
    <row r="271" spans="17:42" x14ac:dyDescent="0.25">
      <c r="Q271" s="3"/>
      <c r="R271" s="3"/>
      <c r="AA271" s="9"/>
      <c r="AB271" s="9"/>
      <c r="AC271" s="9"/>
      <c r="AD271" s="9"/>
      <c r="AJ271" s="2"/>
      <c r="AK271" s="2"/>
      <c r="AL271" s="2"/>
      <c r="AM271" s="2"/>
      <c r="AN271" s="9"/>
      <c r="AO271" s="9"/>
      <c r="AP271" s="9"/>
    </row>
    <row r="272" spans="17:42" x14ac:dyDescent="0.25">
      <c r="Q272" s="3"/>
      <c r="R272" s="3"/>
      <c r="AA272" s="9"/>
      <c r="AB272" s="9"/>
      <c r="AC272" s="9"/>
      <c r="AD272" s="9"/>
      <c r="AJ272" s="2"/>
      <c r="AK272" s="2"/>
      <c r="AL272" s="2"/>
      <c r="AM272" s="2"/>
      <c r="AN272" s="9"/>
      <c r="AO272" s="9"/>
      <c r="AP272" s="9"/>
    </row>
    <row r="273" spans="17:42" x14ac:dyDescent="0.25">
      <c r="Q273" s="3"/>
      <c r="R273" s="3"/>
      <c r="AA273" s="9"/>
      <c r="AB273" s="9"/>
      <c r="AC273" s="9"/>
      <c r="AD273" s="9"/>
      <c r="AJ273" s="2"/>
      <c r="AK273" s="2"/>
      <c r="AL273" s="2"/>
      <c r="AM273" s="2"/>
      <c r="AN273" s="9"/>
      <c r="AO273" s="9"/>
      <c r="AP273" s="9"/>
    </row>
    <row r="274" spans="17:42" x14ac:dyDescent="0.25">
      <c r="Q274" s="3"/>
      <c r="R274" s="3"/>
      <c r="AA274" s="9"/>
      <c r="AB274" s="9"/>
      <c r="AC274" s="9"/>
      <c r="AD274" s="9"/>
      <c r="AJ274" s="2"/>
      <c r="AK274" s="2"/>
      <c r="AL274" s="2"/>
      <c r="AM274" s="2"/>
      <c r="AN274" s="9"/>
      <c r="AO274" s="9"/>
      <c r="AP274" s="9"/>
    </row>
    <row r="275" spans="17:42" x14ac:dyDescent="0.25">
      <c r="Q275" s="3"/>
      <c r="R275" s="3"/>
      <c r="AA275" s="9"/>
      <c r="AB275" s="9"/>
      <c r="AC275" s="9"/>
      <c r="AD275" s="9"/>
      <c r="AJ275" s="2"/>
      <c r="AK275" s="2"/>
      <c r="AL275" s="2"/>
      <c r="AM275" s="2"/>
      <c r="AN275" s="9"/>
      <c r="AO275" s="9"/>
      <c r="AP275" s="9"/>
    </row>
    <row r="276" spans="17:42" x14ac:dyDescent="0.25">
      <c r="Q276" s="3"/>
      <c r="R276" s="3"/>
      <c r="AA276" s="9"/>
      <c r="AB276" s="9"/>
      <c r="AC276" s="9"/>
      <c r="AD276" s="9"/>
      <c r="AJ276" s="2"/>
      <c r="AK276" s="2"/>
      <c r="AL276" s="2"/>
      <c r="AM276" s="2"/>
      <c r="AN276" s="9"/>
      <c r="AO276" s="9"/>
      <c r="AP276" s="9"/>
    </row>
    <row r="277" spans="17:42" x14ac:dyDescent="0.25">
      <c r="Q277" s="3"/>
      <c r="R277" s="3"/>
      <c r="AA277" s="9"/>
      <c r="AB277" s="9"/>
      <c r="AC277" s="9"/>
      <c r="AD277" s="9"/>
      <c r="AJ277" s="2"/>
      <c r="AK277" s="2"/>
      <c r="AL277" s="2"/>
      <c r="AM277" s="2"/>
      <c r="AN277" s="9"/>
      <c r="AO277" s="9"/>
      <c r="AP277" s="9"/>
    </row>
    <row r="278" spans="17:42" x14ac:dyDescent="0.25">
      <c r="Q278" s="3"/>
      <c r="R278" s="3"/>
      <c r="AA278" s="9"/>
      <c r="AB278" s="9"/>
      <c r="AC278" s="9"/>
      <c r="AD278" s="9"/>
      <c r="AJ278" s="2"/>
      <c r="AK278" s="2"/>
      <c r="AL278" s="2"/>
      <c r="AM278" s="2"/>
      <c r="AN278" s="9"/>
      <c r="AO278" s="9"/>
      <c r="AP278" s="9"/>
    </row>
    <row r="279" spans="17:42" x14ac:dyDescent="0.25">
      <c r="Q279" s="3"/>
      <c r="R279" s="3"/>
      <c r="AA279" s="9"/>
      <c r="AB279" s="9"/>
      <c r="AC279" s="9"/>
      <c r="AD279" s="9"/>
      <c r="AJ279" s="2"/>
      <c r="AK279" s="2"/>
      <c r="AL279" s="2"/>
      <c r="AM279" s="2"/>
      <c r="AN279" s="9"/>
      <c r="AO279" s="9"/>
      <c r="AP279" s="9"/>
    </row>
    <row r="280" spans="17:42" x14ac:dyDescent="0.25">
      <c r="Q280" s="3"/>
      <c r="R280" s="3"/>
      <c r="AA280" s="9"/>
      <c r="AB280" s="9"/>
      <c r="AC280" s="9"/>
      <c r="AD280" s="9"/>
      <c r="AJ280" s="2"/>
      <c r="AK280" s="2"/>
      <c r="AL280" s="2"/>
      <c r="AM280" s="2"/>
      <c r="AN280" s="9"/>
      <c r="AO280" s="9"/>
      <c r="AP280" s="9"/>
    </row>
    <row r="281" spans="17:42" x14ac:dyDescent="0.25">
      <c r="Q281" s="3"/>
      <c r="R281" s="3"/>
      <c r="AA281" s="9"/>
      <c r="AB281" s="9"/>
      <c r="AC281" s="9"/>
      <c r="AD281" s="9"/>
      <c r="AJ281" s="2"/>
      <c r="AK281" s="2"/>
      <c r="AL281" s="2"/>
      <c r="AM281" s="2"/>
      <c r="AN281" s="9"/>
      <c r="AO281" s="9"/>
      <c r="AP281" s="9"/>
    </row>
    <row r="282" spans="17:42" x14ac:dyDescent="0.25">
      <c r="Q282" s="3"/>
      <c r="R282" s="3"/>
      <c r="AA282" s="9"/>
      <c r="AB282" s="9"/>
      <c r="AC282" s="9"/>
      <c r="AD282" s="9"/>
      <c r="AJ282" s="2"/>
      <c r="AK282" s="2"/>
      <c r="AL282" s="2"/>
      <c r="AM282" s="2"/>
      <c r="AN282" s="9"/>
      <c r="AO282" s="9"/>
      <c r="AP282" s="9"/>
    </row>
    <row r="283" spans="17:42" x14ac:dyDescent="0.25">
      <c r="Q283" s="3"/>
      <c r="R283" s="3"/>
      <c r="AA283" s="9"/>
      <c r="AB283" s="9"/>
      <c r="AC283" s="9"/>
      <c r="AD283" s="9"/>
      <c r="AJ283" s="2"/>
      <c r="AK283" s="2"/>
      <c r="AL283" s="2"/>
      <c r="AM283" s="2"/>
      <c r="AN283" s="9"/>
      <c r="AO283" s="9"/>
      <c r="AP283" s="9"/>
    </row>
    <row r="284" spans="17:42" x14ac:dyDescent="0.25">
      <c r="Q284" s="3"/>
      <c r="R284" s="3"/>
      <c r="AA284" s="9"/>
      <c r="AB284" s="9"/>
      <c r="AC284" s="9"/>
      <c r="AD284" s="9"/>
      <c r="AJ284" s="2"/>
      <c r="AK284" s="2"/>
      <c r="AL284" s="2"/>
      <c r="AM284" s="2"/>
      <c r="AN284" s="9"/>
      <c r="AO284" s="9"/>
      <c r="AP284" s="9"/>
    </row>
    <row r="285" spans="17:42" x14ac:dyDescent="0.25">
      <c r="Q285" s="3"/>
      <c r="R285" s="3"/>
      <c r="AA285" s="9"/>
      <c r="AB285" s="9"/>
      <c r="AC285" s="9"/>
      <c r="AD285" s="9"/>
      <c r="AJ285" s="2"/>
      <c r="AK285" s="2"/>
      <c r="AL285" s="2"/>
      <c r="AM285" s="2"/>
      <c r="AN285" s="9"/>
      <c r="AO285" s="9"/>
      <c r="AP285" s="9"/>
    </row>
    <row r="286" spans="17:42" x14ac:dyDescent="0.25">
      <c r="Q286" s="3"/>
      <c r="R286" s="3"/>
      <c r="AA286" s="9"/>
      <c r="AB286" s="9"/>
      <c r="AC286" s="9"/>
      <c r="AD286" s="9"/>
      <c r="AJ286" s="2"/>
      <c r="AK286" s="2"/>
      <c r="AL286" s="2"/>
      <c r="AM286" s="2"/>
      <c r="AN286" s="9"/>
      <c r="AO286" s="9"/>
      <c r="AP286" s="9"/>
    </row>
    <row r="287" spans="17:42" x14ac:dyDescent="0.25">
      <c r="Q287" s="3"/>
      <c r="R287" s="3"/>
      <c r="AA287" s="9"/>
      <c r="AB287" s="9"/>
      <c r="AC287" s="9"/>
      <c r="AD287" s="9"/>
      <c r="AJ287" s="2"/>
      <c r="AK287" s="2"/>
      <c r="AL287" s="2"/>
      <c r="AM287" s="2"/>
      <c r="AN287" s="9"/>
      <c r="AO287" s="9"/>
      <c r="AP287" s="9"/>
    </row>
    <row r="288" spans="17:42" x14ac:dyDescent="0.25">
      <c r="Q288" s="3"/>
      <c r="R288" s="3"/>
      <c r="AA288" s="9"/>
      <c r="AB288" s="9"/>
      <c r="AC288" s="9"/>
      <c r="AD288" s="9"/>
      <c r="AJ288" s="2"/>
      <c r="AK288" s="2"/>
      <c r="AL288" s="2"/>
      <c r="AM288" s="2"/>
      <c r="AN288" s="9"/>
      <c r="AO288" s="9"/>
      <c r="AP288" s="9"/>
    </row>
    <row r="289" spans="17:42" x14ac:dyDescent="0.25">
      <c r="Q289" s="3"/>
      <c r="R289" s="3"/>
      <c r="AA289" s="9"/>
      <c r="AB289" s="9"/>
      <c r="AC289" s="9"/>
      <c r="AD289" s="9"/>
      <c r="AJ289" s="2"/>
      <c r="AK289" s="2"/>
      <c r="AL289" s="2"/>
      <c r="AM289" s="2"/>
      <c r="AN289" s="9"/>
      <c r="AO289" s="9"/>
      <c r="AP289" s="9"/>
    </row>
    <row r="290" spans="17:42" x14ac:dyDescent="0.25">
      <c r="Q290" s="3"/>
      <c r="R290" s="3"/>
      <c r="AA290" s="9"/>
      <c r="AB290" s="9"/>
      <c r="AC290" s="9"/>
      <c r="AD290" s="9"/>
      <c r="AJ290" s="2"/>
      <c r="AK290" s="2"/>
      <c r="AL290" s="2"/>
      <c r="AM290" s="2"/>
      <c r="AN290" s="9"/>
      <c r="AO290" s="9"/>
      <c r="AP290" s="9"/>
    </row>
    <row r="291" spans="17:42" x14ac:dyDescent="0.25">
      <c r="Q291" s="3"/>
      <c r="R291" s="3"/>
      <c r="AA291" s="9"/>
      <c r="AB291" s="9"/>
      <c r="AC291" s="9"/>
      <c r="AD291" s="9"/>
      <c r="AJ291" s="2"/>
      <c r="AK291" s="2"/>
      <c r="AL291" s="2"/>
      <c r="AM291" s="2"/>
      <c r="AN291" s="9"/>
      <c r="AO291" s="9"/>
      <c r="AP291" s="9"/>
    </row>
    <row r="292" spans="17:42" x14ac:dyDescent="0.25">
      <c r="Q292" s="3"/>
      <c r="R292" s="3"/>
      <c r="AA292" s="9"/>
      <c r="AB292" s="9"/>
      <c r="AC292" s="9"/>
      <c r="AD292" s="9"/>
      <c r="AJ292" s="2"/>
      <c r="AK292" s="2"/>
      <c r="AL292" s="2"/>
      <c r="AM292" s="2"/>
      <c r="AN292" s="9"/>
      <c r="AO292" s="9"/>
      <c r="AP292" s="9"/>
    </row>
    <row r="293" spans="17:42" x14ac:dyDescent="0.25">
      <c r="Q293" s="3"/>
      <c r="R293" s="3"/>
      <c r="AA293" s="9"/>
      <c r="AB293" s="9"/>
      <c r="AC293" s="9"/>
      <c r="AD293" s="9"/>
      <c r="AJ293" s="2"/>
      <c r="AK293" s="2"/>
      <c r="AL293" s="2"/>
      <c r="AM293" s="2"/>
      <c r="AN293" s="9"/>
      <c r="AO293" s="9"/>
      <c r="AP293" s="9"/>
    </row>
    <row r="294" spans="17:42" x14ac:dyDescent="0.25">
      <c r="Q294" s="3"/>
      <c r="R294" s="3"/>
      <c r="AA294" s="9"/>
      <c r="AB294" s="9"/>
      <c r="AC294" s="9"/>
      <c r="AD294" s="9"/>
      <c r="AJ294" s="2"/>
      <c r="AK294" s="2"/>
      <c r="AL294" s="2"/>
      <c r="AM294" s="2"/>
      <c r="AN294" s="9"/>
      <c r="AO294" s="9"/>
      <c r="AP294" s="9"/>
    </row>
    <row r="295" spans="17:42" x14ac:dyDescent="0.25">
      <c r="Q295" s="3"/>
      <c r="R295" s="3"/>
      <c r="AA295" s="9"/>
      <c r="AB295" s="9"/>
      <c r="AC295" s="9"/>
      <c r="AD295" s="9"/>
      <c r="AJ295" s="2"/>
      <c r="AK295" s="2"/>
      <c r="AL295" s="2"/>
      <c r="AM295" s="2"/>
      <c r="AN295" s="9"/>
      <c r="AO295" s="9"/>
      <c r="AP295" s="9"/>
    </row>
    <row r="296" spans="17:42" x14ac:dyDescent="0.25">
      <c r="Q296" s="3"/>
      <c r="R296" s="3"/>
      <c r="AA296" s="9"/>
      <c r="AB296" s="9"/>
      <c r="AC296" s="9"/>
      <c r="AD296" s="9"/>
      <c r="AJ296" s="2"/>
      <c r="AK296" s="2"/>
      <c r="AL296" s="2"/>
      <c r="AM296" s="2"/>
      <c r="AN296" s="9"/>
      <c r="AO296" s="9"/>
      <c r="AP296" s="9"/>
    </row>
    <row r="297" spans="17:42" x14ac:dyDescent="0.25">
      <c r="Q297" s="3"/>
      <c r="R297" s="3"/>
      <c r="AA297" s="9"/>
      <c r="AB297" s="9"/>
      <c r="AC297" s="9"/>
      <c r="AD297" s="9"/>
      <c r="AJ297" s="2"/>
      <c r="AK297" s="2"/>
      <c r="AL297" s="2"/>
      <c r="AM297" s="2"/>
      <c r="AN297" s="9"/>
      <c r="AO297" s="9"/>
      <c r="AP297" s="9"/>
    </row>
    <row r="298" spans="17:42" x14ac:dyDescent="0.25">
      <c r="Q298" s="3"/>
      <c r="R298" s="3"/>
      <c r="AA298" s="9"/>
      <c r="AB298" s="9"/>
      <c r="AC298" s="9"/>
      <c r="AD298" s="9"/>
      <c r="AJ298" s="2"/>
      <c r="AK298" s="2"/>
      <c r="AL298" s="2"/>
      <c r="AM298" s="2"/>
      <c r="AN298" s="9"/>
      <c r="AO298" s="9"/>
      <c r="AP298" s="9"/>
    </row>
    <row r="299" spans="17:42" x14ac:dyDescent="0.25">
      <c r="Q299" s="3"/>
      <c r="R299" s="3"/>
      <c r="AA299" s="9"/>
      <c r="AB299" s="9"/>
      <c r="AC299" s="9"/>
      <c r="AD299" s="9"/>
      <c r="AJ299" s="2"/>
      <c r="AK299" s="2"/>
      <c r="AL299" s="2"/>
      <c r="AM299" s="2"/>
      <c r="AN299" s="9"/>
      <c r="AO299" s="9"/>
      <c r="AP299" s="9"/>
    </row>
    <row r="300" spans="17:42" x14ac:dyDescent="0.25">
      <c r="Q300" s="3"/>
      <c r="R300" s="3"/>
      <c r="AA300" s="9"/>
      <c r="AB300" s="9"/>
      <c r="AC300" s="9"/>
      <c r="AD300" s="9"/>
      <c r="AJ300" s="2"/>
      <c r="AK300" s="2"/>
      <c r="AL300" s="2"/>
      <c r="AM300" s="2"/>
      <c r="AN300" s="9"/>
      <c r="AO300" s="9"/>
      <c r="AP300" s="9"/>
    </row>
    <row r="301" spans="17:42" x14ac:dyDescent="0.25">
      <c r="Q301" s="3"/>
      <c r="R301" s="3"/>
      <c r="AA301" s="9"/>
      <c r="AB301" s="9"/>
      <c r="AC301" s="9"/>
      <c r="AD301" s="9"/>
      <c r="AJ301" s="2"/>
      <c r="AK301" s="2"/>
      <c r="AL301" s="2"/>
      <c r="AM301" s="2"/>
      <c r="AN301" s="9"/>
      <c r="AO301" s="9"/>
      <c r="AP301" s="9"/>
    </row>
    <row r="302" spans="17:42" x14ac:dyDescent="0.25">
      <c r="Q302" s="3"/>
      <c r="R302" s="3"/>
      <c r="AA302" s="9"/>
      <c r="AB302" s="9"/>
      <c r="AC302" s="9"/>
      <c r="AD302" s="9"/>
      <c r="AJ302" s="2"/>
      <c r="AK302" s="2"/>
      <c r="AL302" s="2"/>
      <c r="AM302" s="2"/>
      <c r="AN302" s="9"/>
      <c r="AO302" s="9"/>
      <c r="AP302" s="9"/>
    </row>
    <row r="303" spans="17:42" x14ac:dyDescent="0.25">
      <c r="Q303" s="3"/>
      <c r="R303" s="3"/>
      <c r="AA303" s="9"/>
      <c r="AB303" s="9"/>
      <c r="AC303" s="9"/>
      <c r="AD303" s="9"/>
      <c r="AJ303" s="2"/>
      <c r="AK303" s="2"/>
      <c r="AL303" s="2"/>
      <c r="AM303" s="2"/>
      <c r="AN303" s="9"/>
      <c r="AO303" s="9"/>
      <c r="AP303" s="9"/>
    </row>
    <row r="304" spans="17:42" x14ac:dyDescent="0.25">
      <c r="Q304" s="3"/>
      <c r="R304" s="3"/>
      <c r="AA304" s="9"/>
      <c r="AB304" s="9"/>
      <c r="AC304" s="9"/>
      <c r="AD304" s="9"/>
      <c r="AJ304" s="2"/>
      <c r="AK304" s="2"/>
      <c r="AL304" s="2"/>
      <c r="AM304" s="2"/>
      <c r="AN304" s="9"/>
      <c r="AO304" s="9"/>
      <c r="AP304" s="9"/>
    </row>
    <row r="305" spans="17:42" x14ac:dyDescent="0.25">
      <c r="Q305" s="3"/>
      <c r="R305" s="3"/>
      <c r="AA305" s="9"/>
      <c r="AB305" s="9"/>
      <c r="AC305" s="9"/>
      <c r="AD305" s="9"/>
      <c r="AJ305" s="2"/>
      <c r="AK305" s="2"/>
      <c r="AL305" s="2"/>
      <c r="AM305" s="2"/>
      <c r="AN305" s="9"/>
      <c r="AO305" s="9"/>
      <c r="AP305" s="9"/>
    </row>
    <row r="306" spans="17:42" x14ac:dyDescent="0.25">
      <c r="Q306" s="3"/>
      <c r="R306" s="3"/>
      <c r="AA306" s="9"/>
      <c r="AB306" s="9"/>
      <c r="AC306" s="9"/>
      <c r="AD306" s="9"/>
      <c r="AJ306" s="2"/>
      <c r="AK306" s="2"/>
      <c r="AL306" s="2"/>
      <c r="AM306" s="2"/>
      <c r="AN306" s="9"/>
      <c r="AO306" s="9"/>
      <c r="AP306" s="9"/>
    </row>
    <row r="307" spans="17:42" x14ac:dyDescent="0.25">
      <c r="Q307" s="3"/>
      <c r="R307" s="3"/>
      <c r="AA307" s="9"/>
      <c r="AB307" s="9"/>
      <c r="AC307" s="9"/>
      <c r="AD307" s="9"/>
      <c r="AJ307" s="2"/>
      <c r="AK307" s="2"/>
      <c r="AL307" s="2"/>
      <c r="AM307" s="2"/>
      <c r="AN307" s="9"/>
      <c r="AO307" s="9"/>
      <c r="AP307" s="9"/>
    </row>
    <row r="308" spans="17:42" x14ac:dyDescent="0.25">
      <c r="Q308" s="3"/>
      <c r="R308" s="3"/>
      <c r="AA308" s="9"/>
      <c r="AB308" s="9"/>
      <c r="AC308" s="9"/>
      <c r="AD308" s="9"/>
      <c r="AJ308" s="2"/>
      <c r="AK308" s="2"/>
      <c r="AL308" s="2"/>
      <c r="AM308" s="2"/>
      <c r="AN308" s="9"/>
      <c r="AO308" s="9"/>
      <c r="AP308" s="9"/>
    </row>
    <row r="309" spans="17:42" x14ac:dyDescent="0.25">
      <c r="Q309" s="3"/>
      <c r="R309" s="3"/>
      <c r="AA309" s="9"/>
      <c r="AB309" s="9"/>
      <c r="AC309" s="9"/>
      <c r="AD309" s="9"/>
      <c r="AJ309" s="2"/>
      <c r="AK309" s="2"/>
      <c r="AL309" s="2"/>
      <c r="AM309" s="2"/>
      <c r="AN309" s="9"/>
      <c r="AO309" s="9"/>
      <c r="AP309" s="9"/>
    </row>
    <row r="310" spans="17:42" x14ac:dyDescent="0.25">
      <c r="Q310" s="3"/>
      <c r="R310" s="3"/>
      <c r="AA310" s="9"/>
      <c r="AB310" s="9"/>
      <c r="AC310" s="9"/>
      <c r="AD310" s="9"/>
      <c r="AJ310" s="2"/>
      <c r="AK310" s="2"/>
      <c r="AL310" s="2"/>
      <c r="AM310" s="2"/>
      <c r="AN310" s="9"/>
      <c r="AO310" s="9"/>
      <c r="AP310" s="9"/>
    </row>
    <row r="311" spans="17:42" x14ac:dyDescent="0.25">
      <c r="Q311" s="3"/>
      <c r="R311" s="3"/>
      <c r="AA311" s="9"/>
      <c r="AB311" s="9"/>
      <c r="AC311" s="9"/>
      <c r="AD311" s="9"/>
      <c r="AJ311" s="2"/>
      <c r="AK311" s="2"/>
      <c r="AL311" s="2"/>
      <c r="AM311" s="2"/>
      <c r="AN311" s="9"/>
      <c r="AO311" s="9"/>
      <c r="AP311" s="9"/>
    </row>
    <row r="312" spans="17:42" x14ac:dyDescent="0.25">
      <c r="Q312" s="3"/>
      <c r="R312" s="3"/>
      <c r="AA312" s="9"/>
      <c r="AB312" s="9"/>
      <c r="AC312" s="9"/>
      <c r="AD312" s="9"/>
      <c r="AJ312" s="2"/>
      <c r="AK312" s="2"/>
      <c r="AL312" s="2"/>
      <c r="AM312" s="2"/>
      <c r="AN312" s="9"/>
      <c r="AO312" s="9"/>
      <c r="AP312" s="9"/>
    </row>
    <row r="313" spans="17:42" x14ac:dyDescent="0.25">
      <c r="Q313" s="3"/>
      <c r="R313" s="3"/>
      <c r="AA313" s="9"/>
      <c r="AB313" s="9"/>
      <c r="AC313" s="9"/>
      <c r="AD313" s="9"/>
      <c r="AJ313" s="2"/>
      <c r="AK313" s="2"/>
      <c r="AL313" s="2"/>
      <c r="AM313" s="2"/>
      <c r="AN313" s="9"/>
      <c r="AO313" s="9"/>
      <c r="AP313" s="9"/>
    </row>
    <row r="314" spans="17:42" x14ac:dyDescent="0.25">
      <c r="Q314" s="3"/>
      <c r="R314" s="3"/>
      <c r="AA314" s="9"/>
      <c r="AB314" s="9"/>
      <c r="AC314" s="9"/>
      <c r="AD314" s="9"/>
      <c r="AJ314" s="2"/>
      <c r="AK314" s="2"/>
      <c r="AL314" s="2"/>
      <c r="AM314" s="2"/>
      <c r="AN314" s="9"/>
      <c r="AO314" s="9"/>
      <c r="AP314" s="9"/>
    </row>
    <row r="315" spans="17:42" x14ac:dyDescent="0.25">
      <c r="Q315" s="3"/>
      <c r="R315" s="3"/>
      <c r="AA315" s="9"/>
      <c r="AB315" s="9"/>
      <c r="AC315" s="9"/>
      <c r="AD315" s="9"/>
      <c r="AJ315" s="2"/>
      <c r="AK315" s="2"/>
      <c r="AL315" s="2"/>
      <c r="AM315" s="2"/>
      <c r="AN315" s="9"/>
      <c r="AO315" s="9"/>
      <c r="AP315" s="9"/>
    </row>
    <row r="316" spans="17:42" x14ac:dyDescent="0.25">
      <c r="Q316" s="3"/>
      <c r="R316" s="3"/>
      <c r="AA316" s="9"/>
      <c r="AB316" s="9"/>
      <c r="AC316" s="9"/>
      <c r="AD316" s="9"/>
      <c r="AJ316" s="2"/>
      <c r="AK316" s="2"/>
      <c r="AL316" s="2"/>
      <c r="AM316" s="2"/>
      <c r="AN316" s="9"/>
      <c r="AO316" s="9"/>
      <c r="AP316" s="9"/>
    </row>
    <row r="317" spans="17:42" x14ac:dyDescent="0.25">
      <c r="Q317" s="3"/>
      <c r="R317" s="3"/>
      <c r="AA317" s="9"/>
      <c r="AB317" s="9"/>
      <c r="AC317" s="9"/>
      <c r="AD317" s="9"/>
      <c r="AJ317" s="2"/>
      <c r="AK317" s="2"/>
      <c r="AL317" s="2"/>
      <c r="AM317" s="2"/>
      <c r="AN317" s="9"/>
      <c r="AO317" s="9"/>
      <c r="AP317" s="9"/>
    </row>
    <row r="318" spans="17:42" x14ac:dyDescent="0.25">
      <c r="Q318" s="3"/>
      <c r="R318" s="3"/>
      <c r="AA318" s="9"/>
      <c r="AB318" s="9"/>
      <c r="AC318" s="9"/>
      <c r="AD318" s="9"/>
      <c r="AJ318" s="2"/>
      <c r="AK318" s="2"/>
      <c r="AL318" s="2"/>
      <c r="AM318" s="2"/>
      <c r="AN318" s="9"/>
      <c r="AO318" s="9"/>
      <c r="AP318" s="9"/>
    </row>
    <row r="319" spans="17:42" x14ac:dyDescent="0.25">
      <c r="Q319" s="3"/>
      <c r="R319" s="3"/>
      <c r="AA319" s="9"/>
      <c r="AB319" s="9"/>
      <c r="AC319" s="9"/>
      <c r="AD319" s="9"/>
      <c r="AJ319" s="2"/>
      <c r="AK319" s="2"/>
      <c r="AL319" s="2"/>
      <c r="AM319" s="2"/>
      <c r="AN319" s="9"/>
      <c r="AO319" s="9"/>
      <c r="AP319" s="9"/>
    </row>
    <row r="320" spans="17:42" x14ac:dyDescent="0.25">
      <c r="Q320" s="3"/>
      <c r="R320" s="3"/>
      <c r="AA320" s="9"/>
      <c r="AB320" s="9"/>
      <c r="AC320" s="9"/>
      <c r="AD320" s="9"/>
      <c r="AJ320" s="2"/>
      <c r="AK320" s="2"/>
      <c r="AL320" s="2"/>
      <c r="AM320" s="2"/>
      <c r="AN320" s="9"/>
      <c r="AO320" s="9"/>
      <c r="AP320" s="9"/>
    </row>
    <row r="321" spans="17:42" x14ac:dyDescent="0.25">
      <c r="Q321" s="3"/>
      <c r="R321" s="3"/>
      <c r="AA321" s="9"/>
      <c r="AB321" s="9"/>
      <c r="AC321" s="9"/>
      <c r="AD321" s="9"/>
      <c r="AJ321" s="2"/>
      <c r="AK321" s="2"/>
      <c r="AL321" s="2"/>
      <c r="AM321" s="2"/>
      <c r="AN321" s="9"/>
      <c r="AO321" s="9"/>
      <c r="AP321" s="9"/>
    </row>
    <row r="322" spans="17:42" x14ac:dyDescent="0.25">
      <c r="Q322" s="3"/>
      <c r="R322" s="3"/>
      <c r="AA322" s="9"/>
      <c r="AB322" s="9"/>
      <c r="AC322" s="9"/>
      <c r="AD322" s="9"/>
      <c r="AJ322" s="2"/>
      <c r="AK322" s="2"/>
      <c r="AL322" s="2"/>
      <c r="AM322" s="2"/>
      <c r="AN322" s="9"/>
      <c r="AO322" s="9"/>
      <c r="AP322" s="9"/>
    </row>
    <row r="323" spans="17:42" x14ac:dyDescent="0.25">
      <c r="Q323" s="3"/>
      <c r="R323" s="3"/>
      <c r="AA323" s="9"/>
      <c r="AB323" s="9"/>
      <c r="AC323" s="9"/>
      <c r="AD323" s="9"/>
      <c r="AJ323" s="2"/>
      <c r="AK323" s="2"/>
      <c r="AL323" s="2"/>
      <c r="AM323" s="2"/>
      <c r="AN323" s="9"/>
      <c r="AO323" s="9"/>
      <c r="AP323" s="9"/>
    </row>
    <row r="324" spans="17:42" x14ac:dyDescent="0.25">
      <c r="Q324" s="3"/>
      <c r="R324" s="3"/>
      <c r="AA324" s="9"/>
      <c r="AB324" s="9"/>
      <c r="AC324" s="9"/>
      <c r="AD324" s="9"/>
      <c r="AJ324" s="2"/>
      <c r="AK324" s="2"/>
      <c r="AL324" s="2"/>
      <c r="AM324" s="2"/>
      <c r="AN324" s="9"/>
      <c r="AO324" s="9"/>
      <c r="AP324" s="9"/>
    </row>
    <row r="325" spans="17:42" x14ac:dyDescent="0.25">
      <c r="Q325" s="3"/>
      <c r="R325" s="3"/>
      <c r="AA325" s="9"/>
      <c r="AB325" s="9"/>
      <c r="AC325" s="9"/>
      <c r="AD325" s="9"/>
      <c r="AJ325" s="2"/>
      <c r="AK325" s="2"/>
      <c r="AL325" s="2"/>
      <c r="AM325" s="2"/>
      <c r="AN325" s="9"/>
      <c r="AO325" s="9"/>
      <c r="AP325" s="9"/>
    </row>
    <row r="326" spans="17:42" x14ac:dyDescent="0.25">
      <c r="Q326" s="3"/>
      <c r="R326" s="3"/>
      <c r="AA326" s="9"/>
      <c r="AB326" s="9"/>
      <c r="AC326" s="9"/>
      <c r="AD326" s="9"/>
      <c r="AJ326" s="2"/>
      <c r="AK326" s="2"/>
      <c r="AL326" s="2"/>
      <c r="AM326" s="2"/>
      <c r="AN326" s="9"/>
      <c r="AO326" s="9"/>
      <c r="AP326" s="9"/>
    </row>
    <row r="327" spans="17:42" x14ac:dyDescent="0.25">
      <c r="Q327" s="3"/>
      <c r="R327" s="3"/>
      <c r="AA327" s="9"/>
      <c r="AB327" s="9"/>
      <c r="AC327" s="9"/>
      <c r="AD327" s="9"/>
      <c r="AJ327" s="2"/>
      <c r="AK327" s="2"/>
      <c r="AL327" s="2"/>
      <c r="AM327" s="2"/>
      <c r="AN327" s="9"/>
      <c r="AO327" s="9"/>
      <c r="AP327" s="9"/>
    </row>
    <row r="328" spans="17:42" x14ac:dyDescent="0.25">
      <c r="Q328" s="3"/>
      <c r="R328" s="3"/>
      <c r="AA328" s="9"/>
      <c r="AB328" s="9"/>
      <c r="AC328" s="9"/>
      <c r="AD328" s="9"/>
      <c r="AJ328" s="2"/>
      <c r="AK328" s="2"/>
      <c r="AL328" s="2"/>
      <c r="AM328" s="2"/>
      <c r="AN328" s="9"/>
      <c r="AO328" s="9"/>
      <c r="AP328" s="9"/>
    </row>
    <row r="329" spans="17:42" x14ac:dyDescent="0.25">
      <c r="Q329" s="3"/>
      <c r="R329" s="3"/>
      <c r="AA329" s="9"/>
      <c r="AB329" s="9"/>
      <c r="AC329" s="9"/>
      <c r="AD329" s="9"/>
      <c r="AJ329" s="2"/>
      <c r="AK329" s="2"/>
      <c r="AL329" s="2"/>
      <c r="AM329" s="2"/>
      <c r="AN329" s="9"/>
      <c r="AO329" s="9"/>
      <c r="AP329" s="9"/>
    </row>
    <row r="330" spans="17:42" x14ac:dyDescent="0.25">
      <c r="Q330" s="3"/>
      <c r="R330" s="3"/>
      <c r="AA330" s="9"/>
      <c r="AB330" s="9"/>
      <c r="AC330" s="9"/>
      <c r="AD330" s="9"/>
      <c r="AJ330" s="2"/>
      <c r="AK330" s="2"/>
      <c r="AL330" s="2"/>
      <c r="AM330" s="2"/>
      <c r="AN330" s="9"/>
      <c r="AO330" s="9"/>
      <c r="AP330" s="9"/>
    </row>
    <row r="331" spans="17:42" x14ac:dyDescent="0.25">
      <c r="Q331" s="3"/>
      <c r="R331" s="3"/>
      <c r="AA331" s="9"/>
      <c r="AB331" s="9"/>
      <c r="AC331" s="9"/>
      <c r="AD331" s="9"/>
      <c r="AJ331" s="2"/>
      <c r="AK331" s="2"/>
      <c r="AL331" s="2"/>
      <c r="AM331" s="2"/>
      <c r="AN331" s="9"/>
      <c r="AO331" s="9"/>
      <c r="AP331" s="9"/>
    </row>
    <row r="332" spans="17:42" x14ac:dyDescent="0.25">
      <c r="Q332" s="3"/>
      <c r="R332" s="3"/>
      <c r="AA332" s="9"/>
      <c r="AB332" s="9"/>
      <c r="AC332" s="9"/>
      <c r="AD332" s="9"/>
      <c r="AJ332" s="2"/>
      <c r="AK332" s="2"/>
      <c r="AL332" s="2"/>
      <c r="AM332" s="2"/>
      <c r="AN332" s="9"/>
      <c r="AO332" s="9"/>
      <c r="AP332" s="9"/>
    </row>
    <row r="333" spans="17:42" x14ac:dyDescent="0.25">
      <c r="Q333" s="3"/>
      <c r="R333" s="3"/>
      <c r="AA333" s="9"/>
      <c r="AB333" s="9"/>
      <c r="AC333" s="9"/>
      <c r="AD333" s="9"/>
      <c r="AJ333" s="2"/>
      <c r="AK333" s="2"/>
      <c r="AL333" s="2"/>
      <c r="AM333" s="2"/>
      <c r="AN333" s="9"/>
      <c r="AO333" s="9"/>
      <c r="AP333" s="9"/>
    </row>
    <row r="334" spans="17:42" x14ac:dyDescent="0.25">
      <c r="Q334" s="3"/>
      <c r="R334" s="3"/>
      <c r="AA334" s="9"/>
      <c r="AB334" s="9"/>
      <c r="AC334" s="9"/>
      <c r="AD334" s="9"/>
      <c r="AJ334" s="2"/>
      <c r="AK334" s="2"/>
      <c r="AL334" s="2"/>
      <c r="AM334" s="2"/>
      <c r="AN334" s="9"/>
      <c r="AO334" s="9"/>
      <c r="AP334" s="9"/>
    </row>
    <row r="335" spans="17:42" x14ac:dyDescent="0.25">
      <c r="Q335" s="3"/>
      <c r="R335" s="3"/>
      <c r="AA335" s="9"/>
      <c r="AB335" s="9"/>
      <c r="AC335" s="9"/>
      <c r="AD335" s="9"/>
      <c r="AJ335" s="2"/>
      <c r="AK335" s="2"/>
      <c r="AL335" s="2"/>
      <c r="AM335" s="2"/>
      <c r="AN335" s="9"/>
      <c r="AO335" s="9"/>
      <c r="AP335" s="9"/>
    </row>
    <row r="336" spans="17:42" x14ac:dyDescent="0.25">
      <c r="Q336" s="3"/>
      <c r="R336" s="3"/>
      <c r="AA336" s="9"/>
      <c r="AB336" s="9"/>
      <c r="AC336" s="9"/>
      <c r="AD336" s="9"/>
      <c r="AJ336" s="2"/>
      <c r="AK336" s="2"/>
      <c r="AL336" s="2"/>
      <c r="AM336" s="2"/>
      <c r="AN336" s="9"/>
      <c r="AO336" s="9"/>
      <c r="AP336" s="9"/>
    </row>
    <row r="337" spans="17:42" x14ac:dyDescent="0.25">
      <c r="Q337" s="3"/>
      <c r="R337" s="3"/>
      <c r="AA337" s="9"/>
      <c r="AB337" s="9"/>
      <c r="AC337" s="9"/>
      <c r="AD337" s="9"/>
      <c r="AJ337" s="2"/>
      <c r="AK337" s="2"/>
      <c r="AL337" s="2"/>
      <c r="AM337" s="2"/>
      <c r="AN337" s="9"/>
      <c r="AO337" s="9"/>
      <c r="AP337" s="9"/>
    </row>
    <row r="338" spans="17:42" x14ac:dyDescent="0.25">
      <c r="Q338" s="3"/>
      <c r="R338" s="3"/>
      <c r="AA338" s="9"/>
      <c r="AB338" s="9"/>
      <c r="AC338" s="9"/>
      <c r="AD338" s="9"/>
      <c r="AJ338" s="2"/>
      <c r="AK338" s="2"/>
      <c r="AL338" s="2"/>
      <c r="AM338" s="2"/>
      <c r="AN338" s="9"/>
      <c r="AO338" s="9"/>
      <c r="AP338" s="9"/>
    </row>
    <row r="339" spans="17:42" x14ac:dyDescent="0.25">
      <c r="Q339" s="3"/>
      <c r="R339" s="3"/>
      <c r="AA339" s="9"/>
      <c r="AB339" s="9"/>
      <c r="AC339" s="9"/>
      <c r="AD339" s="9"/>
      <c r="AJ339" s="2"/>
      <c r="AK339" s="2"/>
      <c r="AL339" s="2"/>
      <c r="AM339" s="2"/>
      <c r="AN339" s="9"/>
      <c r="AO339" s="9"/>
      <c r="AP339" s="9"/>
    </row>
    <row r="340" spans="17:42" x14ac:dyDescent="0.25">
      <c r="Q340" s="3"/>
      <c r="R340" s="3"/>
      <c r="AA340" s="9"/>
      <c r="AB340" s="9"/>
      <c r="AC340" s="9"/>
      <c r="AD340" s="9"/>
      <c r="AJ340" s="2"/>
      <c r="AK340" s="2"/>
      <c r="AL340" s="2"/>
      <c r="AM340" s="2"/>
      <c r="AN340" s="9"/>
      <c r="AO340" s="9"/>
      <c r="AP340" s="9"/>
    </row>
    <row r="341" spans="17:42" x14ac:dyDescent="0.25">
      <c r="Q341" s="3"/>
      <c r="R341" s="3"/>
      <c r="AA341" s="9"/>
      <c r="AB341" s="9"/>
      <c r="AC341" s="9"/>
      <c r="AD341" s="9"/>
      <c r="AJ341" s="2"/>
      <c r="AK341" s="2"/>
      <c r="AL341" s="2"/>
      <c r="AM341" s="2"/>
      <c r="AN341" s="9"/>
      <c r="AO341" s="9"/>
      <c r="AP341" s="9"/>
    </row>
    <row r="342" spans="17:42" x14ac:dyDescent="0.25">
      <c r="Q342" s="3"/>
      <c r="R342" s="3"/>
      <c r="AA342" s="9"/>
      <c r="AB342" s="9"/>
      <c r="AC342" s="9"/>
      <c r="AD342" s="9"/>
      <c r="AJ342" s="2"/>
      <c r="AK342" s="2"/>
      <c r="AL342" s="2"/>
      <c r="AM342" s="2"/>
      <c r="AN342" s="9"/>
      <c r="AO342" s="9"/>
      <c r="AP342" s="9"/>
    </row>
    <row r="343" spans="17:42" x14ac:dyDescent="0.25">
      <c r="Q343" s="3"/>
      <c r="R343" s="3"/>
      <c r="AA343" s="9"/>
      <c r="AB343" s="9"/>
      <c r="AC343" s="9"/>
      <c r="AD343" s="9"/>
      <c r="AJ343" s="2"/>
      <c r="AK343" s="2"/>
      <c r="AL343" s="2"/>
      <c r="AM343" s="2"/>
      <c r="AN343" s="9"/>
      <c r="AO343" s="9"/>
      <c r="AP343" s="9"/>
    </row>
    <row r="344" spans="17:42" x14ac:dyDescent="0.25">
      <c r="Q344" s="3"/>
      <c r="R344" s="3"/>
      <c r="AA344" s="9"/>
      <c r="AB344" s="9"/>
      <c r="AC344" s="9"/>
      <c r="AD344" s="9"/>
      <c r="AJ344" s="2"/>
      <c r="AK344" s="2"/>
      <c r="AL344" s="2"/>
      <c r="AM344" s="2"/>
      <c r="AN344" s="9"/>
      <c r="AO344" s="9"/>
      <c r="AP344" s="9"/>
    </row>
    <row r="345" spans="17:42" x14ac:dyDescent="0.25">
      <c r="Q345" s="3"/>
      <c r="R345" s="3"/>
      <c r="AA345" s="9"/>
      <c r="AB345" s="9"/>
      <c r="AC345" s="9"/>
      <c r="AD345" s="9"/>
      <c r="AJ345" s="2"/>
      <c r="AK345" s="2"/>
      <c r="AL345" s="2"/>
      <c r="AM345" s="2"/>
      <c r="AN345" s="9"/>
      <c r="AO345" s="9"/>
      <c r="AP345" s="9"/>
    </row>
    <row r="346" spans="17:42" x14ac:dyDescent="0.25">
      <c r="Q346" s="3"/>
      <c r="R346" s="3"/>
      <c r="AA346" s="9"/>
      <c r="AB346" s="9"/>
      <c r="AC346" s="9"/>
      <c r="AD346" s="9"/>
      <c r="AJ346" s="2"/>
      <c r="AK346" s="2"/>
      <c r="AL346" s="2"/>
      <c r="AM346" s="2"/>
      <c r="AN346" s="9"/>
      <c r="AO346" s="9"/>
      <c r="AP346" s="9"/>
    </row>
    <row r="347" spans="17:42" x14ac:dyDescent="0.25">
      <c r="Q347" s="3"/>
      <c r="R347" s="3"/>
      <c r="AA347" s="9"/>
      <c r="AB347" s="9"/>
      <c r="AC347" s="9"/>
      <c r="AD347" s="9"/>
      <c r="AJ347" s="2"/>
      <c r="AK347" s="2"/>
      <c r="AL347" s="2"/>
      <c r="AM347" s="2"/>
      <c r="AN347" s="9"/>
      <c r="AO347" s="9"/>
      <c r="AP347" s="9"/>
    </row>
    <row r="348" spans="17:42" x14ac:dyDescent="0.25">
      <c r="Q348" s="3"/>
      <c r="R348" s="3"/>
      <c r="AA348" s="9"/>
      <c r="AB348" s="9"/>
      <c r="AC348" s="9"/>
      <c r="AD348" s="9"/>
      <c r="AJ348" s="2"/>
      <c r="AK348" s="2"/>
      <c r="AL348" s="2"/>
      <c r="AM348" s="2"/>
      <c r="AN348" s="9"/>
      <c r="AO348" s="9"/>
      <c r="AP348" s="9"/>
    </row>
    <row r="349" spans="17:42" x14ac:dyDescent="0.25">
      <c r="Q349" s="3"/>
      <c r="R349" s="3"/>
      <c r="AA349" s="9"/>
      <c r="AB349" s="9"/>
      <c r="AC349" s="9"/>
      <c r="AD349" s="9"/>
      <c r="AJ349" s="2"/>
      <c r="AK349" s="2"/>
      <c r="AL349" s="2"/>
      <c r="AM349" s="2"/>
      <c r="AN349" s="9"/>
      <c r="AO349" s="9"/>
      <c r="AP349" s="9"/>
    </row>
    <row r="350" spans="17:42" x14ac:dyDescent="0.25">
      <c r="Q350" s="3"/>
      <c r="R350" s="3"/>
      <c r="AA350" s="9"/>
      <c r="AB350" s="9"/>
      <c r="AC350" s="9"/>
      <c r="AD350" s="9"/>
      <c r="AJ350" s="2"/>
      <c r="AK350" s="2"/>
      <c r="AL350" s="2"/>
      <c r="AM350" s="2"/>
      <c r="AN350" s="9"/>
      <c r="AO350" s="9"/>
      <c r="AP350" s="9"/>
    </row>
    <row r="351" spans="17:42" x14ac:dyDescent="0.25">
      <c r="Q351" s="3"/>
      <c r="R351" s="3"/>
      <c r="AA351" s="9"/>
      <c r="AB351" s="9"/>
      <c r="AC351" s="9"/>
      <c r="AD351" s="9"/>
      <c r="AJ351" s="2"/>
      <c r="AK351" s="2"/>
      <c r="AL351" s="2"/>
      <c r="AM351" s="2"/>
      <c r="AN351" s="9"/>
      <c r="AO351" s="9"/>
      <c r="AP351" s="9"/>
    </row>
    <row r="352" spans="17:42" x14ac:dyDescent="0.25">
      <c r="Q352" s="3"/>
      <c r="R352" s="3"/>
      <c r="AA352" s="9"/>
      <c r="AB352" s="9"/>
      <c r="AC352" s="9"/>
      <c r="AD352" s="9"/>
      <c r="AJ352" s="2"/>
      <c r="AK352" s="2"/>
      <c r="AL352" s="2"/>
      <c r="AM352" s="2"/>
      <c r="AN352" s="9"/>
      <c r="AO352" s="9"/>
      <c r="AP352" s="9"/>
    </row>
    <row r="353" spans="17:42" x14ac:dyDescent="0.25">
      <c r="Q353" s="3"/>
      <c r="R353" s="3"/>
      <c r="AA353" s="9"/>
      <c r="AB353" s="9"/>
      <c r="AC353" s="9"/>
      <c r="AD353" s="9"/>
      <c r="AJ353" s="2"/>
      <c r="AK353" s="2"/>
      <c r="AL353" s="2"/>
      <c r="AM353" s="2"/>
      <c r="AN353" s="9"/>
      <c r="AO353" s="9"/>
      <c r="AP353" s="9"/>
    </row>
    <row r="354" spans="17:42" x14ac:dyDescent="0.25">
      <c r="Q354" s="3"/>
      <c r="R354" s="3"/>
      <c r="AA354" s="9"/>
      <c r="AB354" s="9"/>
      <c r="AC354" s="9"/>
      <c r="AD354" s="9"/>
      <c r="AJ354" s="2"/>
      <c r="AK354" s="2"/>
      <c r="AL354" s="2"/>
      <c r="AM354" s="2"/>
      <c r="AN354" s="9"/>
      <c r="AO354" s="9"/>
      <c r="AP354" s="9"/>
    </row>
    <row r="355" spans="17:42" x14ac:dyDescent="0.25">
      <c r="Q355" s="3"/>
      <c r="R355" s="3"/>
      <c r="AA355" s="9"/>
      <c r="AB355" s="9"/>
      <c r="AC355" s="9"/>
      <c r="AD355" s="9"/>
      <c r="AJ355" s="2"/>
      <c r="AK355" s="2"/>
      <c r="AL355" s="2"/>
      <c r="AM355" s="2"/>
      <c r="AN355" s="9"/>
      <c r="AO355" s="9"/>
      <c r="AP355" s="9"/>
    </row>
    <row r="356" spans="17:42" x14ac:dyDescent="0.25">
      <c r="Q356" s="3"/>
      <c r="R356" s="3"/>
      <c r="AA356" s="9"/>
      <c r="AB356" s="9"/>
      <c r="AC356" s="9"/>
      <c r="AD356" s="9"/>
      <c r="AJ356" s="2"/>
      <c r="AK356" s="2"/>
      <c r="AL356" s="2"/>
      <c r="AM356" s="2"/>
      <c r="AN356" s="9"/>
      <c r="AO356" s="9"/>
      <c r="AP356" s="9"/>
    </row>
    <row r="357" spans="17:42" x14ac:dyDescent="0.25">
      <c r="Q357" s="3"/>
      <c r="R357" s="3"/>
      <c r="AA357" s="9"/>
      <c r="AB357" s="9"/>
      <c r="AC357" s="9"/>
      <c r="AD357" s="9"/>
      <c r="AJ357" s="2"/>
      <c r="AK357" s="2"/>
      <c r="AL357" s="2"/>
      <c r="AM357" s="2"/>
      <c r="AN357" s="9"/>
      <c r="AO357" s="9"/>
      <c r="AP357" s="9"/>
    </row>
    <row r="358" spans="17:42" x14ac:dyDescent="0.25">
      <c r="Q358" s="3"/>
      <c r="R358" s="3"/>
      <c r="AA358" s="9"/>
      <c r="AB358" s="9"/>
      <c r="AC358" s="9"/>
      <c r="AD358" s="9"/>
      <c r="AJ358" s="2"/>
      <c r="AK358" s="2"/>
      <c r="AL358" s="2"/>
      <c r="AM358" s="2"/>
      <c r="AN358" s="9"/>
      <c r="AO358" s="9"/>
      <c r="AP358" s="9"/>
    </row>
    <row r="359" spans="17:42" x14ac:dyDescent="0.25">
      <c r="Q359" s="3"/>
      <c r="R359" s="3"/>
      <c r="AA359" s="9"/>
      <c r="AB359" s="9"/>
      <c r="AC359" s="9"/>
      <c r="AD359" s="9"/>
      <c r="AJ359" s="2"/>
      <c r="AK359" s="2"/>
      <c r="AL359" s="2"/>
      <c r="AM359" s="2"/>
      <c r="AN359" s="9"/>
      <c r="AO359" s="9"/>
      <c r="AP359" s="9"/>
    </row>
    <row r="360" spans="17:42" x14ac:dyDescent="0.25">
      <c r="Q360" s="3"/>
      <c r="R360" s="3"/>
      <c r="AA360" s="9"/>
      <c r="AB360" s="9"/>
      <c r="AC360" s="9"/>
      <c r="AD360" s="9"/>
      <c r="AJ360" s="2"/>
      <c r="AK360" s="2"/>
      <c r="AL360" s="2"/>
      <c r="AM360" s="2"/>
      <c r="AN360" s="9"/>
      <c r="AO360" s="9"/>
      <c r="AP360" s="9"/>
    </row>
    <row r="361" spans="17:42" x14ac:dyDescent="0.25">
      <c r="Q361" s="3"/>
      <c r="R361" s="3"/>
      <c r="AA361" s="9"/>
      <c r="AB361" s="9"/>
      <c r="AC361" s="9"/>
      <c r="AD361" s="9"/>
      <c r="AJ361" s="2"/>
      <c r="AK361" s="2"/>
      <c r="AL361" s="2"/>
      <c r="AM361" s="2"/>
      <c r="AN361" s="9"/>
      <c r="AO361" s="9"/>
      <c r="AP361" s="9"/>
    </row>
    <row r="362" spans="17:42" x14ac:dyDescent="0.25">
      <c r="Q362" s="3"/>
      <c r="R362" s="3"/>
      <c r="AA362" s="9"/>
      <c r="AB362" s="9"/>
      <c r="AC362" s="9"/>
      <c r="AD362" s="9"/>
      <c r="AJ362" s="2"/>
      <c r="AK362" s="2"/>
      <c r="AL362" s="2"/>
      <c r="AM362" s="2"/>
      <c r="AN362" s="9"/>
      <c r="AO362" s="9"/>
      <c r="AP362" s="9"/>
    </row>
    <row r="363" spans="17:42" x14ac:dyDescent="0.25">
      <c r="Q363" s="3"/>
      <c r="R363" s="3"/>
      <c r="AA363" s="9"/>
      <c r="AB363" s="9"/>
      <c r="AC363" s="9"/>
      <c r="AD363" s="9"/>
      <c r="AJ363" s="2"/>
      <c r="AK363" s="2"/>
      <c r="AL363" s="2"/>
      <c r="AM363" s="2"/>
      <c r="AN363" s="9"/>
      <c r="AO363" s="9"/>
      <c r="AP363" s="9"/>
    </row>
    <row r="364" spans="17:42" x14ac:dyDescent="0.25">
      <c r="Q364" s="3"/>
      <c r="R364" s="3"/>
      <c r="AA364" s="9"/>
      <c r="AB364" s="9"/>
      <c r="AC364" s="9"/>
      <c r="AD364" s="9"/>
      <c r="AJ364" s="2"/>
      <c r="AK364" s="2"/>
      <c r="AL364" s="2"/>
      <c r="AM364" s="2"/>
      <c r="AN364" s="9"/>
      <c r="AO364" s="9"/>
      <c r="AP364" s="9"/>
    </row>
    <row r="365" spans="17:42" x14ac:dyDescent="0.25">
      <c r="Q365" s="3"/>
      <c r="R365" s="3"/>
      <c r="AA365" s="9"/>
      <c r="AB365" s="9"/>
      <c r="AC365" s="9"/>
      <c r="AD365" s="9"/>
      <c r="AJ365" s="2"/>
      <c r="AK365" s="2"/>
      <c r="AL365" s="2"/>
      <c r="AM365" s="2"/>
      <c r="AN365" s="9"/>
      <c r="AO365" s="9"/>
      <c r="AP365" s="9"/>
    </row>
    <row r="366" spans="17:42" x14ac:dyDescent="0.25">
      <c r="Q366" s="3"/>
      <c r="R366" s="3"/>
      <c r="AA366" s="9"/>
      <c r="AB366" s="9"/>
      <c r="AC366" s="9"/>
      <c r="AD366" s="9"/>
      <c r="AJ366" s="2"/>
      <c r="AK366" s="2"/>
      <c r="AL366" s="2"/>
      <c r="AM366" s="2"/>
      <c r="AN366" s="9"/>
      <c r="AO366" s="9"/>
      <c r="AP366" s="9"/>
    </row>
    <row r="367" spans="17:42" x14ac:dyDescent="0.25">
      <c r="Q367" s="3"/>
      <c r="R367" s="3"/>
      <c r="AA367" s="9"/>
      <c r="AB367" s="9"/>
      <c r="AC367" s="9"/>
      <c r="AD367" s="9"/>
      <c r="AJ367" s="2"/>
      <c r="AK367" s="2"/>
      <c r="AL367" s="2"/>
      <c r="AM367" s="2"/>
      <c r="AN367" s="9"/>
      <c r="AO367" s="9"/>
      <c r="AP367" s="9"/>
    </row>
    <row r="368" spans="17:42" x14ac:dyDescent="0.25">
      <c r="Q368" s="3"/>
      <c r="R368" s="3"/>
      <c r="AA368" s="9"/>
      <c r="AB368" s="9"/>
      <c r="AC368" s="9"/>
      <c r="AD368" s="9"/>
      <c r="AJ368" s="2"/>
      <c r="AK368" s="2"/>
      <c r="AL368" s="2"/>
      <c r="AM368" s="2"/>
      <c r="AN368" s="9"/>
      <c r="AO368" s="9"/>
      <c r="AP368" s="9"/>
    </row>
    <row r="369" spans="17:42" x14ac:dyDescent="0.25">
      <c r="Q369" s="3"/>
      <c r="R369" s="3"/>
      <c r="AA369" s="9"/>
      <c r="AB369" s="9"/>
      <c r="AC369" s="9"/>
      <c r="AD369" s="9"/>
      <c r="AJ369" s="2"/>
      <c r="AK369" s="2"/>
      <c r="AL369" s="2"/>
      <c r="AM369" s="2"/>
      <c r="AN369" s="9"/>
      <c r="AO369" s="9"/>
      <c r="AP369" s="9"/>
    </row>
    <row r="370" spans="17:42" x14ac:dyDescent="0.25">
      <c r="Q370" s="3"/>
      <c r="R370" s="3"/>
      <c r="AA370" s="9"/>
      <c r="AB370" s="9"/>
      <c r="AC370" s="9"/>
      <c r="AD370" s="9"/>
      <c r="AJ370" s="2"/>
      <c r="AK370" s="2"/>
      <c r="AL370" s="2"/>
      <c r="AM370" s="2"/>
      <c r="AN370" s="9"/>
      <c r="AO370" s="9"/>
      <c r="AP370" s="9"/>
    </row>
    <row r="371" spans="17:42" x14ac:dyDescent="0.25">
      <c r="Q371" s="3"/>
      <c r="R371" s="3"/>
      <c r="AA371" s="9"/>
      <c r="AB371" s="9"/>
      <c r="AC371" s="9"/>
      <c r="AD371" s="9"/>
      <c r="AJ371" s="2"/>
      <c r="AK371" s="2"/>
      <c r="AL371" s="2"/>
      <c r="AM371" s="2"/>
      <c r="AN371" s="9"/>
      <c r="AO371" s="9"/>
      <c r="AP371" s="9"/>
    </row>
    <row r="372" spans="17:42" x14ac:dyDescent="0.25">
      <c r="Q372" s="3"/>
      <c r="R372" s="3"/>
      <c r="AA372" s="9"/>
      <c r="AB372" s="9"/>
      <c r="AC372" s="9"/>
      <c r="AD372" s="9"/>
      <c r="AJ372" s="2"/>
      <c r="AK372" s="2"/>
      <c r="AL372" s="2"/>
      <c r="AM372" s="2"/>
      <c r="AN372" s="9"/>
      <c r="AO372" s="9"/>
      <c r="AP372" s="9"/>
    </row>
    <row r="373" spans="17:42" x14ac:dyDescent="0.25">
      <c r="Q373" s="3"/>
      <c r="R373" s="3"/>
      <c r="AA373" s="9"/>
      <c r="AB373" s="9"/>
      <c r="AC373" s="9"/>
      <c r="AD373" s="9"/>
      <c r="AJ373" s="2"/>
      <c r="AK373" s="2"/>
      <c r="AL373" s="2"/>
      <c r="AM373" s="2"/>
      <c r="AN373" s="9"/>
      <c r="AO373" s="9"/>
      <c r="AP373" s="9"/>
    </row>
    <row r="374" spans="17:42" x14ac:dyDescent="0.25">
      <c r="Q374" s="3"/>
      <c r="R374" s="3"/>
      <c r="AA374" s="9"/>
      <c r="AB374" s="9"/>
      <c r="AC374" s="9"/>
      <c r="AD374" s="9"/>
      <c r="AJ374" s="2"/>
      <c r="AK374" s="2"/>
      <c r="AL374" s="2"/>
      <c r="AM374" s="2"/>
      <c r="AN374" s="9"/>
      <c r="AO374" s="9"/>
      <c r="AP374" s="9"/>
    </row>
    <row r="375" spans="17:42" x14ac:dyDescent="0.25">
      <c r="Q375" s="3"/>
      <c r="R375" s="3"/>
      <c r="AA375" s="9"/>
      <c r="AB375" s="9"/>
      <c r="AC375" s="9"/>
      <c r="AD375" s="9"/>
      <c r="AJ375" s="2"/>
      <c r="AK375" s="2"/>
      <c r="AL375" s="2"/>
      <c r="AM375" s="2"/>
      <c r="AN375" s="9"/>
      <c r="AO375" s="9"/>
      <c r="AP375" s="9"/>
    </row>
    <row r="376" spans="17:42" x14ac:dyDescent="0.25">
      <c r="Q376" s="3"/>
      <c r="R376" s="3"/>
      <c r="AA376" s="9"/>
      <c r="AB376" s="9"/>
      <c r="AC376" s="9"/>
      <c r="AD376" s="9"/>
      <c r="AJ376" s="2"/>
      <c r="AK376" s="2"/>
      <c r="AL376" s="2"/>
      <c r="AM376" s="2"/>
      <c r="AN376" s="9"/>
      <c r="AO376" s="9"/>
      <c r="AP376" s="9"/>
    </row>
    <row r="377" spans="17:42" x14ac:dyDescent="0.25">
      <c r="Q377" s="3"/>
      <c r="R377" s="3"/>
      <c r="AA377" s="9"/>
      <c r="AB377" s="9"/>
      <c r="AC377" s="9"/>
      <c r="AD377" s="9"/>
      <c r="AJ377" s="2"/>
      <c r="AK377" s="2"/>
      <c r="AL377" s="2"/>
      <c r="AM377" s="2"/>
      <c r="AN377" s="9"/>
      <c r="AO377" s="9"/>
      <c r="AP377" s="9"/>
    </row>
    <row r="378" spans="17:42" x14ac:dyDescent="0.25">
      <c r="Q378" s="3"/>
      <c r="R378" s="3"/>
      <c r="AA378" s="9"/>
      <c r="AB378" s="9"/>
      <c r="AC378" s="9"/>
      <c r="AD378" s="9"/>
      <c r="AJ378" s="2"/>
      <c r="AK378" s="2"/>
      <c r="AL378" s="2"/>
      <c r="AM378" s="2"/>
      <c r="AN378" s="9"/>
      <c r="AO378" s="9"/>
      <c r="AP378" s="9"/>
    </row>
    <row r="379" spans="17:42" x14ac:dyDescent="0.25">
      <c r="Q379" s="3"/>
      <c r="R379" s="3"/>
      <c r="AA379" s="9"/>
      <c r="AB379" s="9"/>
      <c r="AC379" s="9"/>
      <c r="AD379" s="9"/>
      <c r="AJ379" s="2"/>
      <c r="AK379" s="2"/>
      <c r="AL379" s="2"/>
      <c r="AM379" s="2"/>
      <c r="AN379" s="9"/>
      <c r="AO379" s="9"/>
      <c r="AP379" s="9"/>
    </row>
    <row r="380" spans="17:42" x14ac:dyDescent="0.25">
      <c r="Q380" s="3"/>
      <c r="R380" s="3"/>
      <c r="AA380" s="9"/>
      <c r="AB380" s="9"/>
      <c r="AC380" s="9"/>
      <c r="AD380" s="9"/>
      <c r="AJ380" s="2"/>
      <c r="AK380" s="2"/>
      <c r="AL380" s="2"/>
      <c r="AM380" s="2"/>
      <c r="AN380" s="9"/>
      <c r="AO380" s="9"/>
      <c r="AP380" s="9"/>
    </row>
    <row r="381" spans="17:42" x14ac:dyDescent="0.25">
      <c r="Q381" s="3"/>
      <c r="R381" s="3"/>
      <c r="AA381" s="9"/>
      <c r="AB381" s="9"/>
      <c r="AC381" s="9"/>
      <c r="AD381" s="9"/>
      <c r="AJ381" s="2"/>
      <c r="AK381" s="2"/>
      <c r="AL381" s="2"/>
      <c r="AM381" s="2"/>
      <c r="AN381" s="9"/>
      <c r="AO381" s="9"/>
      <c r="AP381" s="9"/>
    </row>
    <row r="382" spans="17:42" x14ac:dyDescent="0.25">
      <c r="Q382" s="3"/>
      <c r="R382" s="3"/>
      <c r="AA382" s="9"/>
      <c r="AB382" s="9"/>
      <c r="AC382" s="9"/>
      <c r="AD382" s="9"/>
      <c r="AJ382" s="2"/>
      <c r="AK382" s="2"/>
      <c r="AL382" s="2"/>
      <c r="AM382" s="2"/>
      <c r="AN382" s="9"/>
      <c r="AO382" s="9"/>
      <c r="AP382" s="9"/>
    </row>
    <row r="383" spans="17:42" x14ac:dyDescent="0.25">
      <c r="Q383" s="3"/>
      <c r="R383" s="3"/>
      <c r="AA383" s="9"/>
      <c r="AB383" s="9"/>
      <c r="AC383" s="9"/>
      <c r="AD383" s="9"/>
      <c r="AJ383" s="2"/>
      <c r="AK383" s="2"/>
      <c r="AL383" s="2"/>
      <c r="AM383" s="2"/>
      <c r="AN383" s="9"/>
      <c r="AO383" s="9"/>
      <c r="AP383" s="9"/>
    </row>
    <row r="384" spans="17:42" x14ac:dyDescent="0.25">
      <c r="Q384" s="3"/>
      <c r="R384" s="3"/>
      <c r="AA384" s="9"/>
      <c r="AB384" s="9"/>
      <c r="AC384" s="9"/>
      <c r="AD384" s="9"/>
      <c r="AJ384" s="2"/>
      <c r="AK384" s="2"/>
      <c r="AL384" s="2"/>
      <c r="AM384" s="2"/>
      <c r="AN384" s="9"/>
      <c r="AO384" s="9"/>
      <c r="AP384" s="9"/>
    </row>
    <row r="385" spans="17:42" x14ac:dyDescent="0.25">
      <c r="Q385" s="3"/>
      <c r="R385" s="3"/>
      <c r="AA385" s="9"/>
      <c r="AB385" s="9"/>
      <c r="AC385" s="9"/>
      <c r="AD385" s="9"/>
      <c r="AJ385" s="2"/>
      <c r="AK385" s="2"/>
      <c r="AL385" s="2"/>
      <c r="AM385" s="2"/>
      <c r="AN385" s="9"/>
      <c r="AO385" s="9"/>
      <c r="AP385" s="9"/>
    </row>
    <row r="386" spans="17:42" x14ac:dyDescent="0.25">
      <c r="Q386" s="3"/>
      <c r="R386" s="3"/>
      <c r="AA386" s="9"/>
      <c r="AB386" s="9"/>
      <c r="AC386" s="9"/>
      <c r="AD386" s="9"/>
      <c r="AJ386" s="2"/>
      <c r="AK386" s="2"/>
      <c r="AL386" s="2"/>
      <c r="AM386" s="2"/>
      <c r="AN386" s="9"/>
      <c r="AO386" s="9"/>
      <c r="AP386" s="9"/>
    </row>
    <row r="387" spans="17:42" x14ac:dyDescent="0.25">
      <c r="Q387" s="3"/>
      <c r="R387" s="3"/>
      <c r="AA387" s="9"/>
      <c r="AB387" s="9"/>
      <c r="AC387" s="9"/>
      <c r="AD387" s="9"/>
      <c r="AJ387" s="2"/>
      <c r="AK387" s="2"/>
      <c r="AL387" s="2"/>
      <c r="AM387" s="2"/>
      <c r="AN387" s="9"/>
      <c r="AO387" s="9"/>
      <c r="AP387" s="9"/>
    </row>
    <row r="388" spans="17:42" x14ac:dyDescent="0.25">
      <c r="Q388" s="3"/>
      <c r="R388" s="3"/>
      <c r="AA388" s="9"/>
      <c r="AB388" s="9"/>
      <c r="AC388" s="9"/>
      <c r="AD388" s="9"/>
      <c r="AJ388" s="2"/>
      <c r="AK388" s="2"/>
      <c r="AL388" s="2"/>
      <c r="AM388" s="2"/>
      <c r="AN388" s="9"/>
      <c r="AO388" s="9"/>
      <c r="AP388" s="9"/>
    </row>
    <row r="389" spans="17:42" x14ac:dyDescent="0.25">
      <c r="Q389" s="3"/>
      <c r="R389" s="3"/>
      <c r="AA389" s="9"/>
      <c r="AB389" s="9"/>
      <c r="AC389" s="9"/>
      <c r="AD389" s="9"/>
      <c r="AJ389" s="2"/>
      <c r="AK389" s="2"/>
      <c r="AL389" s="2"/>
      <c r="AM389" s="2"/>
      <c r="AN389" s="9"/>
      <c r="AO389" s="9"/>
      <c r="AP389" s="9"/>
    </row>
    <row r="390" spans="17:42" x14ac:dyDescent="0.25">
      <c r="Q390" s="3"/>
      <c r="R390" s="3"/>
      <c r="AA390" s="9"/>
      <c r="AB390" s="9"/>
      <c r="AC390" s="9"/>
      <c r="AD390" s="9"/>
      <c r="AJ390" s="2"/>
      <c r="AK390" s="2"/>
      <c r="AL390" s="2"/>
      <c r="AM390" s="2"/>
      <c r="AN390" s="9"/>
      <c r="AO390" s="9"/>
      <c r="AP390" s="9"/>
    </row>
    <row r="391" spans="17:42" x14ac:dyDescent="0.25">
      <c r="Q391" s="3"/>
      <c r="R391" s="3"/>
      <c r="AA391" s="9"/>
      <c r="AB391" s="9"/>
      <c r="AC391" s="9"/>
      <c r="AD391" s="9"/>
      <c r="AJ391" s="2"/>
      <c r="AK391" s="2"/>
      <c r="AL391" s="2"/>
      <c r="AM391" s="2"/>
      <c r="AN391" s="9"/>
      <c r="AO391" s="9"/>
      <c r="AP391" s="9"/>
    </row>
    <row r="392" spans="17:42" x14ac:dyDescent="0.25">
      <c r="Q392" s="3"/>
      <c r="R392" s="3"/>
      <c r="AA392" s="9"/>
      <c r="AB392" s="9"/>
      <c r="AC392" s="9"/>
      <c r="AD392" s="9"/>
      <c r="AJ392" s="2"/>
      <c r="AK392" s="2"/>
      <c r="AL392" s="2"/>
      <c r="AM392" s="2"/>
      <c r="AN392" s="9"/>
      <c r="AO392" s="9"/>
      <c r="AP392" s="9"/>
    </row>
    <row r="393" spans="17:42" x14ac:dyDescent="0.25">
      <c r="Q393" s="3"/>
      <c r="R393" s="3"/>
      <c r="AA393" s="9"/>
      <c r="AB393" s="9"/>
      <c r="AC393" s="9"/>
      <c r="AD393" s="9"/>
      <c r="AJ393" s="2"/>
      <c r="AK393" s="2"/>
      <c r="AL393" s="2"/>
      <c r="AM393" s="2"/>
      <c r="AN393" s="9"/>
      <c r="AO393" s="9"/>
      <c r="AP393" s="9"/>
    </row>
    <row r="394" spans="17:42" x14ac:dyDescent="0.25">
      <c r="Q394" s="3"/>
      <c r="R394" s="3"/>
      <c r="AA394" s="9"/>
      <c r="AB394" s="9"/>
      <c r="AC394" s="9"/>
      <c r="AD394" s="9"/>
      <c r="AJ394" s="2"/>
      <c r="AK394" s="2"/>
      <c r="AL394" s="2"/>
      <c r="AM394" s="2"/>
      <c r="AN394" s="9"/>
      <c r="AO394" s="9"/>
      <c r="AP394" s="9"/>
    </row>
    <row r="395" spans="17:42" x14ac:dyDescent="0.25">
      <c r="Q395" s="3"/>
      <c r="R395" s="3"/>
      <c r="AA395" s="9"/>
      <c r="AB395" s="9"/>
      <c r="AC395" s="9"/>
      <c r="AD395" s="9"/>
      <c r="AJ395" s="2"/>
      <c r="AK395" s="2"/>
      <c r="AL395" s="2"/>
      <c r="AM395" s="2"/>
      <c r="AN395" s="9"/>
      <c r="AO395" s="9"/>
      <c r="AP395" s="9"/>
    </row>
    <row r="396" spans="17:42" x14ac:dyDescent="0.25">
      <c r="Q396" s="3"/>
      <c r="R396" s="3"/>
      <c r="AA396" s="9"/>
      <c r="AB396" s="9"/>
      <c r="AC396" s="9"/>
      <c r="AD396" s="9"/>
      <c r="AJ396" s="2"/>
      <c r="AK396" s="2"/>
      <c r="AL396" s="2"/>
      <c r="AM396" s="2"/>
      <c r="AN396" s="9"/>
      <c r="AO396" s="9"/>
      <c r="AP396" s="9"/>
    </row>
    <row r="397" spans="17:42" x14ac:dyDescent="0.25">
      <c r="Q397" s="3"/>
      <c r="R397" s="3"/>
      <c r="AA397" s="9"/>
      <c r="AB397" s="9"/>
      <c r="AC397" s="9"/>
      <c r="AD397" s="9"/>
      <c r="AJ397" s="2"/>
      <c r="AK397" s="2"/>
      <c r="AL397" s="2"/>
      <c r="AM397" s="2"/>
      <c r="AN397" s="9"/>
      <c r="AO397" s="9"/>
      <c r="AP397" s="9"/>
    </row>
    <row r="398" spans="17:42" x14ac:dyDescent="0.25">
      <c r="Q398" s="3"/>
      <c r="R398" s="3"/>
      <c r="AA398" s="9"/>
      <c r="AB398" s="9"/>
      <c r="AC398" s="9"/>
      <c r="AD398" s="9"/>
      <c r="AJ398" s="2"/>
      <c r="AK398" s="2"/>
      <c r="AL398" s="2"/>
      <c r="AM398" s="2"/>
      <c r="AN398" s="9"/>
      <c r="AO398" s="9"/>
      <c r="AP398" s="9"/>
    </row>
    <row r="399" spans="17:42" x14ac:dyDescent="0.25">
      <c r="Q399" s="3"/>
      <c r="R399" s="3"/>
      <c r="AA399" s="9"/>
      <c r="AB399" s="9"/>
      <c r="AC399" s="9"/>
      <c r="AD399" s="9"/>
      <c r="AJ399" s="2"/>
      <c r="AK399" s="2"/>
      <c r="AL399" s="2"/>
      <c r="AM399" s="2"/>
      <c r="AN399" s="9"/>
      <c r="AO399" s="9"/>
      <c r="AP399" s="9"/>
    </row>
    <row r="400" spans="17:42" x14ac:dyDescent="0.25">
      <c r="Q400" s="3"/>
      <c r="R400" s="3"/>
      <c r="AA400" s="9"/>
      <c r="AB400" s="9"/>
      <c r="AC400" s="9"/>
      <c r="AD400" s="9"/>
      <c r="AJ400" s="2"/>
      <c r="AK400" s="2"/>
      <c r="AL400" s="2"/>
      <c r="AM400" s="2"/>
      <c r="AN400" s="9"/>
      <c r="AO400" s="9"/>
      <c r="AP400" s="9"/>
    </row>
    <row r="401" spans="17:42" x14ac:dyDescent="0.25">
      <c r="Q401" s="3"/>
      <c r="R401" s="3"/>
      <c r="AA401" s="9"/>
      <c r="AB401" s="9"/>
      <c r="AC401" s="9"/>
      <c r="AD401" s="9"/>
      <c r="AJ401" s="2"/>
      <c r="AK401" s="2"/>
      <c r="AL401" s="2"/>
      <c r="AM401" s="2"/>
      <c r="AN401" s="9"/>
      <c r="AO401" s="9"/>
      <c r="AP401" s="9"/>
    </row>
    <row r="402" spans="17:42" x14ac:dyDescent="0.25">
      <c r="Q402" s="3"/>
      <c r="R402" s="3"/>
      <c r="AA402" s="9"/>
      <c r="AB402" s="9"/>
      <c r="AC402" s="9"/>
      <c r="AD402" s="9"/>
      <c r="AJ402" s="2"/>
      <c r="AK402" s="2"/>
      <c r="AL402" s="2"/>
      <c r="AM402" s="2"/>
      <c r="AN402" s="9"/>
      <c r="AO402" s="9"/>
      <c r="AP402" s="9"/>
    </row>
    <row r="403" spans="17:42" x14ac:dyDescent="0.25">
      <c r="Q403" s="3"/>
      <c r="R403" s="3"/>
      <c r="AA403" s="9"/>
      <c r="AB403" s="9"/>
      <c r="AC403" s="9"/>
      <c r="AD403" s="9"/>
      <c r="AJ403" s="2"/>
      <c r="AK403" s="2"/>
      <c r="AL403" s="2"/>
      <c r="AM403" s="2"/>
      <c r="AN403" s="9"/>
      <c r="AO403" s="9"/>
      <c r="AP403" s="9"/>
    </row>
    <row r="404" spans="17:42" x14ac:dyDescent="0.25">
      <c r="Q404" s="3"/>
      <c r="R404" s="3"/>
      <c r="AA404" s="9"/>
      <c r="AB404" s="9"/>
      <c r="AC404" s="9"/>
      <c r="AD404" s="9"/>
      <c r="AJ404" s="2"/>
      <c r="AK404" s="2"/>
      <c r="AL404" s="2"/>
      <c r="AM404" s="2"/>
      <c r="AN404" s="9"/>
      <c r="AO404" s="9"/>
      <c r="AP404" s="9"/>
    </row>
    <row r="405" spans="17:42" x14ac:dyDescent="0.25">
      <c r="Q405" s="3"/>
      <c r="R405" s="3"/>
      <c r="AA405" s="9"/>
      <c r="AB405" s="9"/>
      <c r="AC405" s="9"/>
      <c r="AD405" s="9"/>
      <c r="AJ405" s="2"/>
      <c r="AK405" s="2"/>
      <c r="AL405" s="2"/>
      <c r="AM405" s="2"/>
      <c r="AN405" s="9"/>
      <c r="AO405" s="9"/>
      <c r="AP405" s="9"/>
    </row>
    <row r="406" spans="17:42" x14ac:dyDescent="0.25">
      <c r="Q406" s="3"/>
      <c r="R406" s="3"/>
      <c r="AA406" s="9"/>
      <c r="AB406" s="9"/>
      <c r="AC406" s="9"/>
      <c r="AD406" s="9"/>
      <c r="AJ406" s="2"/>
      <c r="AK406" s="2"/>
      <c r="AL406" s="2"/>
      <c r="AM406" s="2"/>
      <c r="AN406" s="9"/>
      <c r="AO406" s="9"/>
      <c r="AP406" s="9"/>
    </row>
    <row r="407" spans="17:42" x14ac:dyDescent="0.25">
      <c r="Q407" s="3"/>
      <c r="R407" s="3"/>
      <c r="AA407" s="9"/>
      <c r="AB407" s="9"/>
      <c r="AC407" s="9"/>
      <c r="AD407" s="9"/>
      <c r="AJ407" s="2"/>
      <c r="AK407" s="2"/>
      <c r="AL407" s="2"/>
      <c r="AM407" s="2"/>
      <c r="AN407" s="9"/>
      <c r="AO407" s="9"/>
      <c r="AP407" s="9"/>
    </row>
    <row r="408" spans="17:42" x14ac:dyDescent="0.25">
      <c r="Q408" s="3"/>
      <c r="R408" s="3"/>
      <c r="AA408" s="9"/>
      <c r="AB408" s="9"/>
      <c r="AC408" s="9"/>
      <c r="AD408" s="9"/>
      <c r="AJ408" s="2"/>
      <c r="AK408" s="2"/>
      <c r="AL408" s="2"/>
      <c r="AM408" s="2"/>
      <c r="AN408" s="9"/>
      <c r="AO408" s="9"/>
      <c r="AP408" s="9"/>
    </row>
    <row r="409" spans="17:42" x14ac:dyDescent="0.25">
      <c r="Q409" s="3"/>
      <c r="R409" s="3"/>
      <c r="AA409" s="9"/>
      <c r="AB409" s="9"/>
      <c r="AC409" s="9"/>
      <c r="AD409" s="9"/>
      <c r="AJ409" s="2"/>
      <c r="AK409" s="2"/>
      <c r="AL409" s="2"/>
      <c r="AM409" s="2"/>
      <c r="AN409" s="9"/>
      <c r="AO409" s="9"/>
      <c r="AP409" s="9"/>
    </row>
    <row r="410" spans="17:42" x14ac:dyDescent="0.25">
      <c r="Q410" s="3"/>
      <c r="R410" s="3"/>
      <c r="AA410" s="9"/>
      <c r="AB410" s="9"/>
      <c r="AC410" s="9"/>
      <c r="AD410" s="9"/>
      <c r="AJ410" s="2"/>
      <c r="AK410" s="2"/>
      <c r="AL410" s="2"/>
      <c r="AM410" s="2"/>
      <c r="AN410" s="9"/>
      <c r="AO410" s="9"/>
      <c r="AP410" s="9"/>
    </row>
    <row r="411" spans="17:42" x14ac:dyDescent="0.25">
      <c r="Q411" s="3"/>
      <c r="R411" s="3"/>
      <c r="AA411" s="9"/>
      <c r="AB411" s="9"/>
      <c r="AC411" s="9"/>
      <c r="AD411" s="9"/>
      <c r="AJ411" s="2"/>
      <c r="AK411" s="2"/>
      <c r="AL411" s="2"/>
      <c r="AM411" s="2"/>
      <c r="AN411" s="9"/>
      <c r="AO411" s="9"/>
      <c r="AP411" s="9"/>
    </row>
    <row r="412" spans="17:42" x14ac:dyDescent="0.25">
      <c r="Q412" s="3"/>
      <c r="R412" s="3"/>
      <c r="AA412" s="9"/>
      <c r="AB412" s="9"/>
      <c r="AC412" s="9"/>
      <c r="AD412" s="9"/>
      <c r="AJ412" s="2"/>
      <c r="AK412" s="2"/>
      <c r="AL412" s="2"/>
      <c r="AM412" s="2"/>
      <c r="AN412" s="9"/>
      <c r="AO412" s="9"/>
      <c r="AP412" s="9"/>
    </row>
    <row r="413" spans="17:42" x14ac:dyDescent="0.25">
      <c r="Q413" s="3"/>
      <c r="R413" s="3"/>
      <c r="AA413" s="9"/>
      <c r="AB413" s="9"/>
      <c r="AC413" s="9"/>
      <c r="AD413" s="9"/>
      <c r="AJ413" s="2"/>
      <c r="AK413" s="2"/>
      <c r="AL413" s="2"/>
      <c r="AM413" s="2"/>
      <c r="AN413" s="9"/>
      <c r="AO413" s="9"/>
      <c r="AP413" s="9"/>
    </row>
    <row r="414" spans="17:42" x14ac:dyDescent="0.25">
      <c r="Q414" s="3"/>
      <c r="R414" s="3"/>
      <c r="AA414" s="9"/>
      <c r="AB414" s="9"/>
      <c r="AC414" s="9"/>
      <c r="AD414" s="9"/>
      <c r="AJ414" s="2"/>
      <c r="AK414" s="2"/>
      <c r="AL414" s="2"/>
      <c r="AM414" s="2"/>
      <c r="AN414" s="9"/>
      <c r="AO414" s="9"/>
      <c r="AP414" s="9"/>
    </row>
    <row r="415" spans="17:42" x14ac:dyDescent="0.25">
      <c r="Q415" s="3"/>
      <c r="R415" s="3"/>
      <c r="AA415" s="9"/>
      <c r="AB415" s="9"/>
      <c r="AC415" s="9"/>
      <c r="AD415" s="9"/>
      <c r="AJ415" s="2"/>
      <c r="AK415" s="2"/>
      <c r="AL415" s="2"/>
      <c r="AM415" s="2"/>
      <c r="AN415" s="9"/>
      <c r="AO415" s="9"/>
      <c r="AP415" s="9"/>
    </row>
    <row r="416" spans="17:42" x14ac:dyDescent="0.25">
      <c r="Q416" s="3"/>
      <c r="R416" s="3"/>
      <c r="AA416" s="9"/>
      <c r="AB416" s="9"/>
      <c r="AC416" s="9"/>
      <c r="AD416" s="9"/>
      <c r="AJ416" s="2"/>
      <c r="AK416" s="2"/>
      <c r="AL416" s="2"/>
      <c r="AM416" s="2"/>
      <c r="AN416" s="9"/>
      <c r="AO416" s="9"/>
      <c r="AP416" s="9"/>
    </row>
    <row r="417" spans="17:42" x14ac:dyDescent="0.25">
      <c r="Q417" s="3"/>
      <c r="R417" s="3"/>
      <c r="AA417" s="9"/>
      <c r="AB417" s="9"/>
      <c r="AC417" s="9"/>
      <c r="AD417" s="9"/>
      <c r="AJ417" s="2"/>
      <c r="AK417" s="2"/>
      <c r="AL417" s="2"/>
      <c r="AM417" s="2"/>
      <c r="AN417" s="9"/>
      <c r="AO417" s="9"/>
      <c r="AP417" s="9"/>
    </row>
    <row r="418" spans="17:42" x14ac:dyDescent="0.25">
      <c r="Q418" s="3"/>
      <c r="R418" s="3"/>
      <c r="AA418" s="9"/>
      <c r="AB418" s="9"/>
      <c r="AC418" s="9"/>
      <c r="AD418" s="9"/>
      <c r="AJ418" s="2"/>
      <c r="AK418" s="2"/>
      <c r="AL418" s="2"/>
      <c r="AM418" s="2"/>
      <c r="AN418" s="9"/>
      <c r="AO418" s="9"/>
      <c r="AP418" s="9"/>
    </row>
    <row r="419" spans="17:42" x14ac:dyDescent="0.25">
      <c r="Q419" s="3"/>
      <c r="R419" s="3"/>
      <c r="AA419" s="9"/>
      <c r="AB419" s="9"/>
      <c r="AC419" s="9"/>
      <c r="AD419" s="9"/>
      <c r="AJ419" s="2"/>
      <c r="AK419" s="2"/>
      <c r="AL419" s="2"/>
      <c r="AM419" s="2"/>
      <c r="AN419" s="9"/>
      <c r="AO419" s="9"/>
      <c r="AP419" s="9"/>
    </row>
    <row r="420" spans="17:42" x14ac:dyDescent="0.25">
      <c r="Q420" s="3"/>
      <c r="R420" s="3"/>
      <c r="AA420" s="9"/>
      <c r="AB420" s="9"/>
      <c r="AC420" s="9"/>
      <c r="AD420" s="9"/>
      <c r="AJ420" s="2"/>
      <c r="AK420" s="2"/>
      <c r="AL420" s="2"/>
      <c r="AM420" s="2"/>
      <c r="AN420" s="9"/>
      <c r="AO420" s="9"/>
      <c r="AP420" s="9"/>
    </row>
    <row r="421" spans="17:42" x14ac:dyDescent="0.25">
      <c r="Q421" s="3"/>
      <c r="R421" s="3"/>
      <c r="AA421" s="9"/>
      <c r="AB421" s="9"/>
      <c r="AC421" s="9"/>
      <c r="AD421" s="9"/>
      <c r="AJ421" s="2"/>
      <c r="AK421" s="2"/>
      <c r="AL421" s="2"/>
      <c r="AM421" s="2"/>
      <c r="AN421" s="9"/>
      <c r="AO421" s="9"/>
      <c r="AP421" s="9"/>
    </row>
    <row r="422" spans="17:42" x14ac:dyDescent="0.25">
      <c r="Q422" s="3"/>
      <c r="R422" s="3"/>
      <c r="AA422" s="9"/>
      <c r="AB422" s="9"/>
      <c r="AC422" s="9"/>
      <c r="AD422" s="9"/>
      <c r="AJ422" s="2"/>
      <c r="AK422" s="2"/>
      <c r="AL422" s="2"/>
      <c r="AM422" s="2"/>
      <c r="AN422" s="9"/>
      <c r="AO422" s="9"/>
      <c r="AP422" s="9"/>
    </row>
    <row r="423" spans="17:42" x14ac:dyDescent="0.25">
      <c r="Q423" s="3"/>
      <c r="R423" s="3"/>
      <c r="AA423" s="9"/>
      <c r="AB423" s="9"/>
      <c r="AC423" s="9"/>
      <c r="AD423" s="9"/>
      <c r="AJ423" s="2"/>
      <c r="AK423" s="2"/>
      <c r="AL423" s="2"/>
      <c r="AM423" s="2"/>
      <c r="AN423" s="9"/>
      <c r="AO423" s="9"/>
      <c r="AP423" s="9"/>
    </row>
    <row r="424" spans="17:42" x14ac:dyDescent="0.25">
      <c r="Q424" s="3"/>
      <c r="R424" s="3"/>
      <c r="AA424" s="9"/>
      <c r="AB424" s="9"/>
      <c r="AC424" s="9"/>
      <c r="AD424" s="9"/>
      <c r="AJ424" s="2"/>
      <c r="AK424" s="2"/>
      <c r="AL424" s="2"/>
      <c r="AM424" s="2"/>
      <c r="AN424" s="9"/>
      <c r="AO424" s="9"/>
      <c r="AP424" s="9"/>
    </row>
    <row r="425" spans="17:42" x14ac:dyDescent="0.25">
      <c r="Q425" s="3"/>
      <c r="R425" s="3"/>
      <c r="AA425" s="9"/>
      <c r="AB425" s="9"/>
      <c r="AC425" s="9"/>
      <c r="AD425" s="9"/>
      <c r="AJ425" s="2"/>
      <c r="AK425" s="2"/>
      <c r="AL425" s="2"/>
      <c r="AM425" s="2"/>
      <c r="AN425" s="9"/>
      <c r="AO425" s="9"/>
      <c r="AP425" s="9"/>
    </row>
    <row r="426" spans="17:42" x14ac:dyDescent="0.25">
      <c r="Q426" s="3"/>
      <c r="R426" s="3"/>
      <c r="AA426" s="9"/>
      <c r="AB426" s="9"/>
      <c r="AC426" s="9"/>
      <c r="AD426" s="9"/>
      <c r="AJ426" s="2"/>
      <c r="AK426" s="2"/>
      <c r="AL426" s="2"/>
      <c r="AM426" s="2"/>
      <c r="AN426" s="9"/>
      <c r="AO426" s="9"/>
      <c r="AP426" s="9"/>
    </row>
    <row r="427" spans="17:42" x14ac:dyDescent="0.25">
      <c r="Q427" s="3"/>
      <c r="R427" s="3"/>
      <c r="AA427" s="9"/>
      <c r="AB427" s="9"/>
      <c r="AC427" s="9"/>
      <c r="AD427" s="9"/>
      <c r="AJ427" s="2"/>
      <c r="AK427" s="2"/>
      <c r="AL427" s="2"/>
      <c r="AM427" s="2"/>
      <c r="AN427" s="9"/>
      <c r="AO427" s="9"/>
      <c r="AP427" s="9"/>
    </row>
    <row r="428" spans="17:42" x14ac:dyDescent="0.25">
      <c r="Q428" s="3"/>
      <c r="R428" s="3"/>
      <c r="AA428" s="9"/>
      <c r="AB428" s="9"/>
      <c r="AC428" s="9"/>
      <c r="AD428" s="9"/>
      <c r="AJ428" s="2"/>
      <c r="AK428" s="2"/>
      <c r="AL428" s="2"/>
      <c r="AM428" s="2"/>
      <c r="AN428" s="9"/>
      <c r="AO428" s="9"/>
      <c r="AP428" s="9"/>
    </row>
    <row r="429" spans="17:42" x14ac:dyDescent="0.25">
      <c r="Q429" s="3"/>
      <c r="R429" s="3"/>
      <c r="AA429" s="9"/>
      <c r="AB429" s="9"/>
      <c r="AC429" s="9"/>
      <c r="AD429" s="9"/>
      <c r="AJ429" s="2"/>
      <c r="AK429" s="2"/>
      <c r="AL429" s="2"/>
      <c r="AM429" s="2"/>
      <c r="AN429" s="9"/>
      <c r="AO429" s="9"/>
      <c r="AP429" s="9"/>
    </row>
    <row r="430" spans="17:42" x14ac:dyDescent="0.25">
      <c r="Q430" s="3"/>
      <c r="R430" s="3"/>
      <c r="AA430" s="9"/>
      <c r="AB430" s="9"/>
      <c r="AC430" s="9"/>
      <c r="AD430" s="9"/>
      <c r="AJ430" s="2"/>
      <c r="AK430" s="2"/>
      <c r="AL430" s="2"/>
      <c r="AM430" s="2"/>
      <c r="AN430" s="9"/>
      <c r="AO430" s="9"/>
      <c r="AP430" s="9"/>
    </row>
    <row r="431" spans="17:42" x14ac:dyDescent="0.25">
      <c r="Q431" s="3"/>
      <c r="R431" s="3"/>
      <c r="AA431" s="9"/>
      <c r="AB431" s="9"/>
      <c r="AC431" s="9"/>
      <c r="AD431" s="9"/>
      <c r="AJ431" s="2"/>
      <c r="AK431" s="2"/>
      <c r="AL431" s="2"/>
      <c r="AM431" s="2"/>
      <c r="AN431" s="9"/>
      <c r="AO431" s="9"/>
      <c r="AP431" s="9"/>
    </row>
    <row r="432" spans="17:42" x14ac:dyDescent="0.25">
      <c r="Q432" s="3"/>
      <c r="R432" s="3"/>
      <c r="AA432" s="9"/>
      <c r="AB432" s="9"/>
      <c r="AC432" s="9"/>
      <c r="AD432" s="9"/>
      <c r="AJ432" s="2"/>
      <c r="AK432" s="2"/>
      <c r="AL432" s="2"/>
      <c r="AM432" s="2"/>
      <c r="AN432" s="9"/>
      <c r="AO432" s="9"/>
      <c r="AP432" s="9"/>
    </row>
    <row r="433" spans="17:42" x14ac:dyDescent="0.25">
      <c r="Q433" s="3"/>
      <c r="R433" s="3"/>
      <c r="AA433" s="9"/>
      <c r="AB433" s="9"/>
      <c r="AC433" s="9"/>
      <c r="AD433" s="9"/>
      <c r="AJ433" s="2"/>
      <c r="AK433" s="2"/>
      <c r="AL433" s="2"/>
      <c r="AM433" s="2"/>
      <c r="AN433" s="9"/>
      <c r="AO433" s="9"/>
      <c r="AP433" s="9"/>
    </row>
    <row r="434" spans="17:42" x14ac:dyDescent="0.25">
      <c r="Q434" s="3"/>
      <c r="R434" s="3"/>
      <c r="AA434" s="9"/>
      <c r="AB434" s="9"/>
      <c r="AC434" s="9"/>
      <c r="AD434" s="9"/>
      <c r="AJ434" s="2"/>
      <c r="AK434" s="2"/>
      <c r="AL434" s="2"/>
      <c r="AM434" s="2"/>
      <c r="AN434" s="9"/>
      <c r="AO434" s="9"/>
      <c r="AP434" s="9"/>
    </row>
    <row r="435" spans="17:42" x14ac:dyDescent="0.25">
      <c r="Q435" s="3"/>
      <c r="R435" s="3"/>
      <c r="AA435" s="9"/>
      <c r="AB435" s="9"/>
      <c r="AC435" s="9"/>
      <c r="AD435" s="9"/>
      <c r="AJ435" s="2"/>
      <c r="AK435" s="2"/>
      <c r="AL435" s="2"/>
      <c r="AM435" s="2"/>
      <c r="AN435" s="9"/>
      <c r="AO435" s="9"/>
      <c r="AP435" s="9"/>
    </row>
    <row r="436" spans="17:42" x14ac:dyDescent="0.25">
      <c r="Q436" s="3"/>
      <c r="R436" s="3"/>
      <c r="AA436" s="9"/>
      <c r="AB436" s="9"/>
      <c r="AC436" s="9"/>
      <c r="AD436" s="9"/>
      <c r="AJ436" s="2"/>
      <c r="AK436" s="2"/>
      <c r="AL436" s="2"/>
      <c r="AM436" s="2"/>
      <c r="AN436" s="9"/>
      <c r="AO436" s="9"/>
      <c r="AP436" s="9"/>
    </row>
    <row r="437" spans="17:42" x14ac:dyDescent="0.25">
      <c r="Q437" s="3"/>
      <c r="R437" s="3"/>
      <c r="AA437" s="9"/>
      <c r="AB437" s="9"/>
      <c r="AC437" s="9"/>
      <c r="AD437" s="9"/>
      <c r="AJ437" s="2"/>
      <c r="AK437" s="2"/>
      <c r="AL437" s="2"/>
      <c r="AM437" s="2"/>
      <c r="AN437" s="9"/>
      <c r="AO437" s="9"/>
      <c r="AP437" s="9"/>
    </row>
    <row r="438" spans="17:42" x14ac:dyDescent="0.25">
      <c r="Q438" s="3"/>
      <c r="R438" s="3"/>
      <c r="AA438" s="9"/>
      <c r="AB438" s="9"/>
      <c r="AC438" s="9"/>
      <c r="AD438" s="9"/>
      <c r="AJ438" s="2"/>
      <c r="AK438" s="2"/>
      <c r="AL438" s="2"/>
      <c r="AM438" s="2"/>
      <c r="AN438" s="9"/>
      <c r="AO438" s="9"/>
      <c r="AP438" s="9"/>
    </row>
    <row r="439" spans="17:42" x14ac:dyDescent="0.25">
      <c r="Q439" s="3"/>
      <c r="R439" s="3"/>
      <c r="AA439" s="9"/>
      <c r="AB439" s="9"/>
      <c r="AC439" s="9"/>
      <c r="AD439" s="9"/>
      <c r="AJ439" s="2"/>
      <c r="AK439" s="2"/>
      <c r="AL439" s="2"/>
      <c r="AM439" s="2"/>
      <c r="AN439" s="9"/>
      <c r="AO439" s="9"/>
      <c r="AP439" s="9"/>
    </row>
    <row r="440" spans="17:42" x14ac:dyDescent="0.25">
      <c r="Q440" s="3"/>
      <c r="R440" s="3"/>
      <c r="AA440" s="9"/>
      <c r="AB440" s="9"/>
      <c r="AC440" s="9"/>
      <c r="AD440" s="9"/>
      <c r="AJ440" s="2"/>
      <c r="AK440" s="2"/>
      <c r="AL440" s="2"/>
      <c r="AM440" s="2"/>
      <c r="AN440" s="9"/>
      <c r="AO440" s="9"/>
      <c r="AP440" s="9"/>
    </row>
    <row r="441" spans="17:42" x14ac:dyDescent="0.25">
      <c r="Q441" s="3"/>
      <c r="R441" s="3"/>
      <c r="AA441" s="9"/>
      <c r="AB441" s="9"/>
      <c r="AC441" s="9"/>
      <c r="AD441" s="9"/>
      <c r="AJ441" s="2"/>
      <c r="AK441" s="2"/>
      <c r="AL441" s="2"/>
      <c r="AM441" s="2"/>
      <c r="AN441" s="9"/>
      <c r="AO441" s="9"/>
      <c r="AP441" s="9"/>
    </row>
    <row r="442" spans="17:42" x14ac:dyDescent="0.25">
      <c r="Q442" s="3"/>
      <c r="R442" s="3"/>
      <c r="AA442" s="9"/>
      <c r="AB442" s="9"/>
      <c r="AC442" s="9"/>
      <c r="AD442" s="9"/>
      <c r="AJ442" s="2"/>
      <c r="AK442" s="2"/>
      <c r="AL442" s="2"/>
      <c r="AM442" s="2"/>
      <c r="AN442" s="9"/>
      <c r="AO442" s="9"/>
      <c r="AP442" s="9"/>
    </row>
    <row r="443" spans="17:42" x14ac:dyDescent="0.25">
      <c r="Q443" s="3"/>
      <c r="R443" s="3"/>
      <c r="AA443" s="9"/>
      <c r="AB443" s="9"/>
      <c r="AC443" s="9"/>
      <c r="AD443" s="9"/>
      <c r="AJ443" s="2"/>
      <c r="AK443" s="2"/>
      <c r="AL443" s="2"/>
      <c r="AM443" s="2"/>
      <c r="AN443" s="9"/>
      <c r="AO443" s="9"/>
      <c r="AP443" s="9"/>
    </row>
    <row r="444" spans="17:42" x14ac:dyDescent="0.25">
      <c r="Q444" s="3"/>
      <c r="R444" s="3"/>
      <c r="AA444" s="9"/>
      <c r="AB444" s="9"/>
      <c r="AC444" s="9"/>
      <c r="AD444" s="9"/>
      <c r="AJ444" s="2"/>
      <c r="AK444" s="2"/>
      <c r="AL444" s="2"/>
      <c r="AM444" s="2"/>
      <c r="AN444" s="9"/>
      <c r="AO444" s="9"/>
      <c r="AP444" s="9"/>
    </row>
    <row r="445" spans="17:42" x14ac:dyDescent="0.25">
      <c r="Q445" s="3"/>
      <c r="R445" s="3"/>
      <c r="AA445" s="9"/>
      <c r="AB445" s="9"/>
      <c r="AC445" s="9"/>
      <c r="AD445" s="9"/>
      <c r="AJ445" s="2"/>
      <c r="AK445" s="2"/>
      <c r="AL445" s="2"/>
      <c r="AM445" s="2"/>
      <c r="AN445" s="9"/>
      <c r="AO445" s="9"/>
      <c r="AP445" s="9"/>
    </row>
    <row r="446" spans="17:42" x14ac:dyDescent="0.25">
      <c r="Q446" s="3"/>
      <c r="R446" s="3"/>
      <c r="AA446" s="9"/>
      <c r="AB446" s="9"/>
      <c r="AC446" s="9"/>
      <c r="AD446" s="9"/>
      <c r="AJ446" s="2"/>
      <c r="AK446" s="2"/>
      <c r="AL446" s="2"/>
      <c r="AM446" s="2"/>
      <c r="AN446" s="9"/>
      <c r="AO446" s="9"/>
      <c r="AP446" s="9"/>
    </row>
    <row r="447" spans="17:42" x14ac:dyDescent="0.25">
      <c r="Q447" s="3"/>
      <c r="R447" s="3"/>
      <c r="AA447" s="9"/>
      <c r="AB447" s="9"/>
      <c r="AC447" s="9"/>
      <c r="AD447" s="9"/>
      <c r="AJ447" s="2"/>
      <c r="AK447" s="2"/>
      <c r="AL447" s="2"/>
      <c r="AM447" s="2"/>
      <c r="AN447" s="9"/>
      <c r="AO447" s="9"/>
      <c r="AP447" s="9"/>
    </row>
    <row r="448" spans="17:42" x14ac:dyDescent="0.25">
      <c r="Q448" s="3"/>
      <c r="R448" s="3"/>
      <c r="AA448" s="9"/>
      <c r="AB448" s="9"/>
      <c r="AC448" s="9"/>
      <c r="AD448" s="9"/>
      <c r="AJ448" s="2"/>
      <c r="AK448" s="2"/>
      <c r="AL448" s="2"/>
      <c r="AM448" s="2"/>
      <c r="AN448" s="9"/>
      <c r="AO448" s="9"/>
      <c r="AP448" s="9"/>
    </row>
    <row r="449" spans="17:42" x14ac:dyDescent="0.25">
      <c r="Q449" s="3"/>
      <c r="R449" s="3"/>
      <c r="AA449" s="9"/>
      <c r="AB449" s="9"/>
      <c r="AC449" s="9"/>
      <c r="AD449" s="9"/>
      <c r="AJ449" s="2"/>
      <c r="AK449" s="2"/>
      <c r="AL449" s="2"/>
      <c r="AM449" s="2"/>
      <c r="AN449" s="9"/>
      <c r="AO449" s="9"/>
      <c r="AP449" s="9"/>
    </row>
    <row r="450" spans="17:42" x14ac:dyDescent="0.25">
      <c r="Q450" s="3"/>
      <c r="R450" s="3"/>
      <c r="AA450" s="9"/>
      <c r="AB450" s="9"/>
      <c r="AC450" s="9"/>
      <c r="AD450" s="9"/>
      <c r="AJ450" s="2"/>
      <c r="AK450" s="2"/>
      <c r="AL450" s="2"/>
      <c r="AM450" s="2"/>
      <c r="AN450" s="9"/>
      <c r="AO450" s="9"/>
      <c r="AP450" s="9"/>
    </row>
    <row r="451" spans="17:42" x14ac:dyDescent="0.25">
      <c r="Q451" s="3"/>
      <c r="R451" s="3"/>
      <c r="AA451" s="9"/>
      <c r="AB451" s="9"/>
      <c r="AC451" s="9"/>
      <c r="AD451" s="9"/>
      <c r="AJ451" s="2"/>
      <c r="AK451" s="2"/>
      <c r="AL451" s="2"/>
      <c r="AM451" s="2"/>
      <c r="AN451" s="9"/>
      <c r="AO451" s="9"/>
      <c r="AP451" s="9"/>
    </row>
    <row r="452" spans="17:42" x14ac:dyDescent="0.25">
      <c r="Q452" s="3"/>
      <c r="R452" s="3"/>
      <c r="AA452" s="9"/>
      <c r="AB452" s="9"/>
      <c r="AC452" s="9"/>
      <c r="AD452" s="9"/>
      <c r="AJ452" s="2"/>
      <c r="AK452" s="2"/>
      <c r="AL452" s="2"/>
      <c r="AM452" s="2"/>
      <c r="AN452" s="9"/>
      <c r="AO452" s="9"/>
      <c r="AP452" s="9"/>
    </row>
    <row r="453" spans="17:42" x14ac:dyDescent="0.25">
      <c r="Q453" s="3"/>
      <c r="R453" s="3"/>
      <c r="AA453" s="9"/>
      <c r="AB453" s="9"/>
      <c r="AC453" s="9"/>
      <c r="AD453" s="9"/>
      <c r="AJ453" s="2"/>
      <c r="AK453" s="2"/>
      <c r="AL453" s="2"/>
      <c r="AM453" s="2"/>
      <c r="AN453" s="9"/>
      <c r="AO453" s="9"/>
      <c r="AP453" s="9"/>
    </row>
    <row r="454" spans="17:42" x14ac:dyDescent="0.25">
      <c r="Q454" s="3"/>
      <c r="R454" s="3"/>
      <c r="AA454" s="9"/>
      <c r="AB454" s="9"/>
      <c r="AC454" s="9"/>
      <c r="AD454" s="9"/>
      <c r="AJ454" s="2"/>
      <c r="AK454" s="2"/>
      <c r="AL454" s="2"/>
      <c r="AM454" s="2"/>
      <c r="AN454" s="9"/>
      <c r="AO454" s="9"/>
      <c r="AP454" s="9"/>
    </row>
    <row r="455" spans="17:42" x14ac:dyDescent="0.25">
      <c r="Q455" s="3"/>
      <c r="R455" s="3"/>
      <c r="AA455" s="9"/>
      <c r="AB455" s="9"/>
      <c r="AC455" s="9"/>
      <c r="AD455" s="9"/>
      <c r="AJ455" s="2"/>
      <c r="AK455" s="2"/>
      <c r="AL455" s="2"/>
      <c r="AM455" s="2"/>
      <c r="AN455" s="9"/>
      <c r="AO455" s="9"/>
      <c r="AP455" s="9"/>
    </row>
    <row r="456" spans="17:42" x14ac:dyDescent="0.25">
      <c r="Q456" s="3"/>
      <c r="R456" s="3"/>
      <c r="AA456" s="9"/>
      <c r="AB456" s="9"/>
      <c r="AC456" s="9"/>
      <c r="AD456" s="9"/>
      <c r="AJ456" s="2"/>
      <c r="AK456" s="2"/>
      <c r="AL456" s="2"/>
      <c r="AM456" s="2"/>
      <c r="AN456" s="9"/>
      <c r="AO456" s="9"/>
      <c r="AP456" s="9"/>
    </row>
    <row r="457" spans="17:42" x14ac:dyDescent="0.25">
      <c r="Q457" s="3"/>
      <c r="R457" s="3"/>
      <c r="AA457" s="9"/>
      <c r="AB457" s="9"/>
      <c r="AC457" s="9"/>
      <c r="AD457" s="9"/>
      <c r="AJ457" s="2"/>
      <c r="AK457" s="2"/>
      <c r="AL457" s="2"/>
      <c r="AM457" s="2"/>
      <c r="AN457" s="9"/>
      <c r="AO457" s="9"/>
      <c r="AP457" s="9"/>
    </row>
    <row r="458" spans="17:42" x14ac:dyDescent="0.25">
      <c r="Q458" s="3"/>
      <c r="R458" s="3"/>
      <c r="AA458" s="9"/>
      <c r="AB458" s="9"/>
      <c r="AC458" s="9"/>
      <c r="AD458" s="9"/>
      <c r="AJ458" s="2"/>
      <c r="AK458" s="2"/>
      <c r="AL458" s="2"/>
      <c r="AM458" s="2"/>
      <c r="AN458" s="9"/>
      <c r="AO458" s="9"/>
      <c r="AP458" s="9"/>
    </row>
    <row r="459" spans="17:42" x14ac:dyDescent="0.25">
      <c r="Q459" s="3"/>
      <c r="R459" s="3"/>
      <c r="AA459" s="9"/>
      <c r="AB459" s="9"/>
      <c r="AC459" s="9"/>
      <c r="AD459" s="9"/>
      <c r="AJ459" s="2"/>
      <c r="AK459" s="2"/>
      <c r="AL459" s="2"/>
      <c r="AM459" s="2"/>
      <c r="AN459" s="9"/>
      <c r="AO459" s="9"/>
      <c r="AP459" s="9"/>
    </row>
    <row r="460" spans="17:42" x14ac:dyDescent="0.25">
      <c r="Q460" s="3"/>
      <c r="R460" s="3"/>
      <c r="AA460" s="9"/>
      <c r="AB460" s="9"/>
      <c r="AC460" s="9"/>
      <c r="AD460" s="9"/>
      <c r="AJ460" s="2"/>
      <c r="AK460" s="2"/>
      <c r="AL460" s="2"/>
      <c r="AM460" s="2"/>
      <c r="AN460" s="9"/>
      <c r="AO460" s="9"/>
      <c r="AP460" s="9"/>
    </row>
    <row r="461" spans="17:42" x14ac:dyDescent="0.25">
      <c r="Q461" s="3"/>
      <c r="R461" s="3"/>
      <c r="AA461" s="9"/>
      <c r="AB461" s="9"/>
      <c r="AC461" s="9"/>
      <c r="AD461" s="9"/>
      <c r="AJ461" s="2"/>
      <c r="AK461" s="2"/>
      <c r="AL461" s="2"/>
      <c r="AM461" s="2"/>
      <c r="AN461" s="9"/>
      <c r="AO461" s="9"/>
      <c r="AP461" s="9"/>
    </row>
    <row r="462" spans="17:42" x14ac:dyDescent="0.25">
      <c r="Q462" s="3"/>
      <c r="R462" s="3"/>
      <c r="AA462" s="9"/>
      <c r="AB462" s="9"/>
      <c r="AC462" s="9"/>
      <c r="AD462" s="9"/>
      <c r="AJ462" s="2"/>
      <c r="AK462" s="2"/>
      <c r="AL462" s="2"/>
      <c r="AM462" s="2"/>
      <c r="AN462" s="9"/>
      <c r="AO462" s="9"/>
      <c r="AP462" s="9"/>
    </row>
    <row r="463" spans="17:42" x14ac:dyDescent="0.25">
      <c r="Q463" s="3"/>
      <c r="R463" s="3"/>
      <c r="AA463" s="9"/>
      <c r="AB463" s="9"/>
      <c r="AC463" s="9"/>
      <c r="AD463" s="9"/>
      <c r="AJ463" s="2"/>
      <c r="AK463" s="2"/>
      <c r="AL463" s="2"/>
      <c r="AM463" s="2"/>
      <c r="AN463" s="9"/>
      <c r="AO463" s="9"/>
      <c r="AP463" s="9"/>
    </row>
    <row r="464" spans="17:42" x14ac:dyDescent="0.25">
      <c r="Q464" s="3"/>
      <c r="R464" s="3"/>
      <c r="AA464" s="9"/>
      <c r="AB464" s="9"/>
      <c r="AC464" s="9"/>
      <c r="AD464" s="9"/>
      <c r="AJ464" s="2"/>
      <c r="AK464" s="2"/>
      <c r="AL464" s="2"/>
      <c r="AM464" s="2"/>
      <c r="AN464" s="9"/>
      <c r="AO464" s="9"/>
      <c r="AP464" s="9"/>
    </row>
    <row r="465" spans="17:42" x14ac:dyDescent="0.25">
      <c r="Q465" s="3"/>
      <c r="R465" s="3"/>
      <c r="AA465" s="9"/>
      <c r="AB465" s="9"/>
      <c r="AC465" s="9"/>
      <c r="AD465" s="9"/>
      <c r="AJ465" s="2"/>
      <c r="AK465" s="2"/>
      <c r="AL465" s="2"/>
      <c r="AM465" s="2"/>
      <c r="AN465" s="9"/>
      <c r="AO465" s="9"/>
      <c r="AP465" s="9"/>
    </row>
    <row r="466" spans="17:42" x14ac:dyDescent="0.25">
      <c r="Q466" s="3"/>
      <c r="R466" s="3"/>
      <c r="AA466" s="9"/>
      <c r="AB466" s="9"/>
      <c r="AC466" s="9"/>
      <c r="AD466" s="9"/>
      <c r="AJ466" s="2"/>
      <c r="AK466" s="2"/>
      <c r="AL466" s="2"/>
      <c r="AM466" s="2"/>
      <c r="AN466" s="9"/>
      <c r="AO466" s="9"/>
      <c r="AP466" s="9"/>
    </row>
    <row r="467" spans="17:42" x14ac:dyDescent="0.25">
      <c r="Q467" s="3"/>
      <c r="R467" s="3"/>
      <c r="AA467" s="9"/>
      <c r="AB467" s="9"/>
      <c r="AC467" s="9"/>
      <c r="AD467" s="9"/>
      <c r="AJ467" s="2"/>
      <c r="AK467" s="2"/>
      <c r="AL467" s="2"/>
      <c r="AM467" s="2"/>
      <c r="AN467" s="9"/>
      <c r="AO467" s="9"/>
      <c r="AP467" s="9"/>
    </row>
    <row r="468" spans="17:42" x14ac:dyDescent="0.25">
      <c r="Q468" s="3"/>
      <c r="R468" s="3"/>
      <c r="AA468" s="9"/>
      <c r="AB468" s="9"/>
      <c r="AC468" s="9"/>
      <c r="AD468" s="9"/>
      <c r="AJ468" s="2"/>
      <c r="AK468" s="2"/>
      <c r="AL468" s="2"/>
      <c r="AM468" s="2"/>
      <c r="AN468" s="9"/>
      <c r="AO468" s="9"/>
      <c r="AP468" s="9"/>
    </row>
    <row r="469" spans="17:42" x14ac:dyDescent="0.25">
      <c r="Q469" s="3"/>
      <c r="R469" s="3"/>
      <c r="AA469" s="9"/>
      <c r="AB469" s="9"/>
      <c r="AC469" s="9"/>
      <c r="AD469" s="9"/>
      <c r="AJ469" s="2"/>
      <c r="AK469" s="2"/>
      <c r="AL469" s="2"/>
      <c r="AM469" s="2"/>
      <c r="AN469" s="9"/>
      <c r="AO469" s="9"/>
      <c r="AP469" s="9"/>
    </row>
    <row r="470" spans="17:42" x14ac:dyDescent="0.25">
      <c r="Q470" s="3"/>
      <c r="R470" s="3"/>
      <c r="AA470" s="9"/>
      <c r="AB470" s="9"/>
      <c r="AC470" s="9"/>
      <c r="AD470" s="9"/>
      <c r="AJ470" s="2"/>
      <c r="AK470" s="2"/>
      <c r="AL470" s="2"/>
      <c r="AM470" s="2"/>
      <c r="AN470" s="9"/>
      <c r="AO470" s="9"/>
      <c r="AP470" s="9"/>
    </row>
    <row r="471" spans="17:42" x14ac:dyDescent="0.25">
      <c r="Q471" s="3"/>
      <c r="R471" s="3"/>
      <c r="AA471" s="9"/>
      <c r="AB471" s="9"/>
      <c r="AC471" s="9"/>
      <c r="AD471" s="9"/>
      <c r="AJ471" s="2"/>
      <c r="AK471" s="2"/>
      <c r="AL471" s="2"/>
      <c r="AM471" s="2"/>
      <c r="AN471" s="9"/>
      <c r="AO471" s="9"/>
      <c r="AP471" s="9"/>
    </row>
    <row r="472" spans="17:42" x14ac:dyDescent="0.25">
      <c r="Q472" s="3"/>
      <c r="R472" s="3"/>
      <c r="AA472" s="9"/>
      <c r="AB472" s="9"/>
      <c r="AC472" s="9"/>
      <c r="AD472" s="9"/>
      <c r="AJ472" s="2"/>
      <c r="AK472" s="2"/>
      <c r="AL472" s="2"/>
      <c r="AM472" s="2"/>
      <c r="AN472" s="9"/>
      <c r="AO472" s="9"/>
      <c r="AP472" s="9"/>
    </row>
    <row r="473" spans="17:42" x14ac:dyDescent="0.25">
      <c r="Q473" s="3"/>
      <c r="R473" s="3"/>
      <c r="AA473" s="9"/>
      <c r="AB473" s="9"/>
      <c r="AC473" s="9"/>
      <c r="AD473" s="9"/>
      <c r="AJ473" s="2"/>
      <c r="AK473" s="2"/>
      <c r="AL473" s="2"/>
      <c r="AM473" s="2"/>
      <c r="AN473" s="9"/>
      <c r="AO473" s="9"/>
      <c r="AP473" s="9"/>
    </row>
    <row r="474" spans="17:42" x14ac:dyDescent="0.25">
      <c r="Q474" s="3"/>
      <c r="R474" s="3"/>
      <c r="AA474" s="9"/>
      <c r="AB474" s="9"/>
      <c r="AC474" s="9"/>
      <c r="AD474" s="9"/>
      <c r="AJ474" s="2"/>
      <c r="AK474" s="2"/>
      <c r="AL474" s="2"/>
      <c r="AM474" s="2"/>
      <c r="AN474" s="9"/>
      <c r="AO474" s="9"/>
      <c r="AP474" s="9"/>
    </row>
    <row r="475" spans="17:42" x14ac:dyDescent="0.25">
      <c r="Q475" s="3"/>
      <c r="R475" s="3"/>
      <c r="AA475" s="9"/>
      <c r="AB475" s="9"/>
      <c r="AC475" s="9"/>
      <c r="AD475" s="9"/>
      <c r="AJ475" s="2"/>
      <c r="AK475" s="2"/>
      <c r="AL475" s="2"/>
      <c r="AM475" s="2"/>
      <c r="AN475" s="9"/>
      <c r="AO475" s="9"/>
      <c r="AP475" s="9"/>
    </row>
    <row r="476" spans="17:42" x14ac:dyDescent="0.25">
      <c r="Q476" s="3"/>
      <c r="R476" s="3"/>
      <c r="AA476" s="9"/>
      <c r="AB476" s="9"/>
      <c r="AC476" s="9"/>
      <c r="AD476" s="9"/>
      <c r="AJ476" s="2"/>
      <c r="AK476" s="2"/>
      <c r="AL476" s="2"/>
      <c r="AM476" s="2"/>
      <c r="AN476" s="9"/>
      <c r="AO476" s="9"/>
      <c r="AP476" s="9"/>
    </row>
    <row r="477" spans="17:42" x14ac:dyDescent="0.25">
      <c r="Q477" s="3"/>
      <c r="R477" s="3"/>
      <c r="AA477" s="9"/>
      <c r="AB477" s="9"/>
      <c r="AC477" s="9"/>
      <c r="AD477" s="9"/>
      <c r="AJ477" s="2"/>
      <c r="AK477" s="2"/>
      <c r="AL477" s="2"/>
      <c r="AM477" s="2"/>
      <c r="AN477" s="9"/>
      <c r="AO477" s="9"/>
      <c r="AP477" s="9"/>
    </row>
    <row r="478" spans="17:42" x14ac:dyDescent="0.25">
      <c r="Q478" s="3"/>
      <c r="R478" s="3"/>
      <c r="AA478" s="9"/>
      <c r="AB478" s="9"/>
      <c r="AC478" s="9"/>
      <c r="AD478" s="9"/>
      <c r="AJ478" s="2"/>
      <c r="AK478" s="2"/>
      <c r="AL478" s="2"/>
      <c r="AM478" s="2"/>
      <c r="AN478" s="9"/>
      <c r="AO478" s="9"/>
      <c r="AP478" s="9"/>
    </row>
    <row r="479" spans="17:42" x14ac:dyDescent="0.25">
      <c r="Q479" s="3"/>
      <c r="R479" s="3"/>
      <c r="AA479" s="9"/>
      <c r="AB479" s="9"/>
      <c r="AC479" s="9"/>
      <c r="AD479" s="9"/>
      <c r="AJ479" s="2"/>
      <c r="AK479" s="2"/>
      <c r="AL479" s="2"/>
      <c r="AM479" s="2"/>
      <c r="AN479" s="9"/>
      <c r="AO479" s="9"/>
      <c r="AP479" s="9"/>
    </row>
    <row r="480" spans="17:42" x14ac:dyDescent="0.25">
      <c r="Q480" s="3"/>
      <c r="R480" s="3"/>
      <c r="AA480" s="9"/>
      <c r="AB480" s="9"/>
      <c r="AC480" s="9"/>
      <c r="AD480" s="9"/>
      <c r="AJ480" s="2"/>
      <c r="AK480" s="2"/>
      <c r="AL480" s="2"/>
      <c r="AM480" s="2"/>
      <c r="AN480" s="9"/>
      <c r="AO480" s="9"/>
      <c r="AP480" s="9"/>
    </row>
    <row r="481" spans="17:42" x14ac:dyDescent="0.25">
      <c r="Q481" s="3"/>
      <c r="R481" s="3"/>
      <c r="AA481" s="9"/>
      <c r="AB481" s="9"/>
      <c r="AC481" s="9"/>
      <c r="AD481" s="9"/>
      <c r="AJ481" s="2"/>
      <c r="AK481" s="2"/>
      <c r="AL481" s="2"/>
      <c r="AM481" s="2"/>
      <c r="AN481" s="9"/>
      <c r="AO481" s="9"/>
      <c r="AP481" s="9"/>
    </row>
    <row r="482" spans="17:42" x14ac:dyDescent="0.25">
      <c r="Q482" s="3"/>
      <c r="R482" s="3"/>
      <c r="AA482" s="9"/>
      <c r="AB482" s="9"/>
      <c r="AC482" s="9"/>
      <c r="AD482" s="9"/>
      <c r="AJ482" s="2"/>
      <c r="AK482" s="2"/>
      <c r="AL482" s="2"/>
      <c r="AM482" s="2"/>
      <c r="AN482" s="9"/>
      <c r="AO482" s="9"/>
      <c r="AP482" s="9"/>
    </row>
    <row r="483" spans="17:42" x14ac:dyDescent="0.25">
      <c r="Q483" s="3"/>
      <c r="R483" s="3"/>
      <c r="AA483" s="9"/>
      <c r="AB483" s="9"/>
      <c r="AC483" s="9"/>
      <c r="AD483" s="9"/>
      <c r="AJ483" s="2"/>
      <c r="AK483" s="2"/>
      <c r="AL483" s="2"/>
      <c r="AM483" s="2"/>
      <c r="AN483" s="9"/>
      <c r="AO483" s="9"/>
      <c r="AP483" s="9"/>
    </row>
    <row r="484" spans="17:42" x14ac:dyDescent="0.25">
      <c r="Q484" s="3"/>
      <c r="R484" s="3"/>
      <c r="AA484" s="9"/>
      <c r="AB484" s="9"/>
      <c r="AC484" s="9"/>
      <c r="AD484" s="9"/>
      <c r="AJ484" s="2"/>
      <c r="AK484" s="2"/>
      <c r="AL484" s="2"/>
      <c r="AM484" s="2"/>
      <c r="AN484" s="9"/>
      <c r="AO484" s="9"/>
      <c r="AP484" s="9"/>
    </row>
    <row r="485" spans="17:42" x14ac:dyDescent="0.25">
      <c r="Q485" s="3"/>
      <c r="R485" s="3"/>
      <c r="AA485" s="9"/>
      <c r="AB485" s="9"/>
      <c r="AC485" s="9"/>
      <c r="AD485" s="9"/>
      <c r="AJ485" s="2"/>
      <c r="AK485" s="2"/>
      <c r="AL485" s="2"/>
      <c r="AM485" s="2"/>
      <c r="AN485" s="9"/>
      <c r="AO485" s="9"/>
      <c r="AP485" s="9"/>
    </row>
    <row r="486" spans="17:42" x14ac:dyDescent="0.25">
      <c r="Q486" s="3"/>
      <c r="R486" s="3"/>
      <c r="AA486" s="9"/>
      <c r="AB486" s="9"/>
      <c r="AC486" s="9"/>
      <c r="AD486" s="9"/>
      <c r="AJ486" s="2"/>
      <c r="AK486" s="2"/>
      <c r="AL486" s="2"/>
      <c r="AM486" s="2"/>
      <c r="AN486" s="9"/>
      <c r="AO486" s="9"/>
      <c r="AP486" s="9"/>
    </row>
    <row r="487" spans="17:42" x14ac:dyDescent="0.25">
      <c r="Q487" s="3"/>
      <c r="R487" s="3"/>
      <c r="AA487" s="9"/>
      <c r="AB487" s="9"/>
      <c r="AC487" s="9"/>
      <c r="AD487" s="9"/>
      <c r="AJ487" s="2"/>
      <c r="AK487" s="2"/>
      <c r="AL487" s="2"/>
      <c r="AM487" s="2"/>
      <c r="AN487" s="9"/>
      <c r="AO487" s="9"/>
      <c r="AP487" s="9"/>
    </row>
    <row r="488" spans="17:42" x14ac:dyDescent="0.25">
      <c r="Q488" s="3"/>
      <c r="R488" s="3"/>
      <c r="AA488" s="9"/>
      <c r="AB488" s="9"/>
      <c r="AC488" s="9"/>
      <c r="AD488" s="9"/>
      <c r="AJ488" s="2"/>
      <c r="AK488" s="2"/>
      <c r="AL488" s="2"/>
      <c r="AM488" s="2"/>
      <c r="AN488" s="9"/>
      <c r="AO488" s="9"/>
      <c r="AP488" s="9"/>
    </row>
    <row r="489" spans="17:42" x14ac:dyDescent="0.25">
      <c r="Q489" s="3"/>
      <c r="R489" s="3"/>
      <c r="AA489" s="9"/>
      <c r="AB489" s="9"/>
      <c r="AC489" s="9"/>
      <c r="AD489" s="9"/>
      <c r="AJ489" s="2"/>
      <c r="AK489" s="2"/>
      <c r="AL489" s="2"/>
      <c r="AM489" s="2"/>
      <c r="AN489" s="9"/>
      <c r="AO489" s="9"/>
      <c r="AP489" s="9"/>
    </row>
    <row r="490" spans="17:42" x14ac:dyDescent="0.25">
      <c r="Q490" s="3"/>
      <c r="R490" s="3"/>
      <c r="AA490" s="9"/>
      <c r="AB490" s="9"/>
      <c r="AC490" s="9"/>
      <c r="AD490" s="9"/>
      <c r="AJ490" s="2"/>
      <c r="AK490" s="2"/>
      <c r="AL490" s="2"/>
      <c r="AM490" s="2"/>
      <c r="AN490" s="9"/>
      <c r="AO490" s="9"/>
      <c r="AP490" s="9"/>
    </row>
    <row r="491" spans="17:42" x14ac:dyDescent="0.25">
      <c r="Q491" s="3"/>
      <c r="R491" s="3"/>
      <c r="AA491" s="9"/>
      <c r="AB491" s="9"/>
      <c r="AC491" s="9"/>
      <c r="AD491" s="9"/>
      <c r="AJ491" s="2"/>
      <c r="AK491" s="2"/>
      <c r="AL491" s="2"/>
      <c r="AM491" s="2"/>
      <c r="AN491" s="9"/>
      <c r="AO491" s="9"/>
      <c r="AP491" s="9"/>
    </row>
    <row r="492" spans="17:42" x14ac:dyDescent="0.25">
      <c r="Q492" s="3"/>
      <c r="R492" s="3"/>
      <c r="AA492" s="9"/>
      <c r="AB492" s="9"/>
      <c r="AC492" s="9"/>
      <c r="AD492" s="9"/>
      <c r="AJ492" s="2"/>
      <c r="AK492" s="2"/>
      <c r="AL492" s="2"/>
      <c r="AM492" s="2"/>
      <c r="AN492" s="9"/>
      <c r="AO492" s="9"/>
      <c r="AP492" s="9"/>
    </row>
    <row r="493" spans="17:42" x14ac:dyDescent="0.25">
      <c r="Q493" s="3"/>
      <c r="R493" s="3"/>
      <c r="AA493" s="9"/>
      <c r="AB493" s="9"/>
      <c r="AC493" s="9"/>
      <c r="AD493" s="9"/>
      <c r="AJ493" s="2"/>
      <c r="AK493" s="2"/>
      <c r="AL493" s="2"/>
      <c r="AM493" s="2"/>
      <c r="AN493" s="9"/>
      <c r="AO493" s="9"/>
      <c r="AP493" s="9"/>
    </row>
    <row r="494" spans="17:42" x14ac:dyDescent="0.25">
      <c r="Q494" s="3"/>
      <c r="R494" s="3"/>
      <c r="AA494" s="9"/>
      <c r="AB494" s="9"/>
      <c r="AC494" s="9"/>
      <c r="AD494" s="9"/>
      <c r="AJ494" s="2"/>
      <c r="AK494" s="2"/>
      <c r="AL494" s="2"/>
      <c r="AM494" s="2"/>
      <c r="AN494" s="9"/>
      <c r="AO494" s="9"/>
      <c r="AP494" s="9"/>
    </row>
    <row r="495" spans="17:42" x14ac:dyDescent="0.25">
      <c r="Q495" s="3"/>
      <c r="R495" s="3"/>
      <c r="AA495" s="9"/>
      <c r="AB495" s="9"/>
      <c r="AC495" s="9"/>
      <c r="AD495" s="9"/>
      <c r="AJ495" s="2"/>
      <c r="AK495" s="2"/>
      <c r="AL495" s="2"/>
      <c r="AM495" s="2"/>
      <c r="AN495" s="9"/>
      <c r="AO495" s="9"/>
      <c r="AP495" s="9"/>
    </row>
    <row r="496" spans="17:42" x14ac:dyDescent="0.25">
      <c r="Q496" s="3"/>
      <c r="R496" s="3"/>
      <c r="AA496" s="9"/>
      <c r="AB496" s="9"/>
      <c r="AC496" s="9"/>
      <c r="AD496" s="9"/>
      <c r="AJ496" s="2"/>
      <c r="AK496" s="2"/>
      <c r="AL496" s="2"/>
      <c r="AM496" s="2"/>
      <c r="AN496" s="9"/>
      <c r="AO496" s="9"/>
      <c r="AP496" s="9"/>
    </row>
    <row r="497" spans="17:42" x14ac:dyDescent="0.25">
      <c r="Q497" s="3"/>
      <c r="R497" s="3"/>
      <c r="AA497" s="9"/>
      <c r="AB497" s="9"/>
      <c r="AC497" s="9"/>
      <c r="AD497" s="9"/>
      <c r="AJ497" s="2"/>
      <c r="AK497" s="2"/>
      <c r="AL497" s="2"/>
      <c r="AM497" s="2"/>
      <c r="AN497" s="9"/>
      <c r="AO497" s="9"/>
      <c r="AP497" s="9"/>
    </row>
    <row r="498" spans="17:42" x14ac:dyDescent="0.25">
      <c r="Q498" s="3"/>
      <c r="R498" s="3"/>
      <c r="AA498" s="9"/>
      <c r="AB498" s="9"/>
      <c r="AC498" s="9"/>
      <c r="AD498" s="9"/>
      <c r="AJ498" s="2"/>
      <c r="AK498" s="2"/>
      <c r="AL498" s="2"/>
      <c r="AM498" s="2"/>
      <c r="AN498" s="9"/>
      <c r="AO498" s="9"/>
      <c r="AP498" s="9"/>
    </row>
    <row r="499" spans="17:42" x14ac:dyDescent="0.25">
      <c r="Q499" s="3"/>
      <c r="R499" s="3"/>
      <c r="AA499" s="9"/>
      <c r="AB499" s="9"/>
      <c r="AC499" s="9"/>
      <c r="AD499" s="9"/>
      <c r="AJ499" s="2"/>
      <c r="AK499" s="2"/>
      <c r="AL499" s="2"/>
      <c r="AM499" s="2"/>
      <c r="AN499" s="9"/>
      <c r="AO499" s="9"/>
      <c r="AP499" s="9"/>
    </row>
    <row r="500" spans="17:42" x14ac:dyDescent="0.25">
      <c r="Q500" s="3"/>
      <c r="R500" s="3"/>
      <c r="AA500" s="9"/>
      <c r="AB500" s="9"/>
      <c r="AC500" s="9"/>
      <c r="AD500" s="9"/>
      <c r="AJ500" s="2"/>
      <c r="AK500" s="2"/>
      <c r="AL500" s="2"/>
      <c r="AM500" s="2"/>
      <c r="AN500" s="9"/>
      <c r="AO500" s="9"/>
      <c r="AP500" s="9"/>
    </row>
    <row r="501" spans="17:42" x14ac:dyDescent="0.25">
      <c r="Q501" s="3"/>
      <c r="R501" s="3"/>
      <c r="AA501" s="9"/>
      <c r="AB501" s="9"/>
      <c r="AC501" s="9"/>
      <c r="AD501" s="9"/>
      <c r="AJ501" s="2"/>
      <c r="AK501" s="2"/>
      <c r="AL501" s="2"/>
      <c r="AM501" s="2"/>
      <c r="AN501" s="9"/>
      <c r="AO501" s="9"/>
      <c r="AP501" s="9"/>
    </row>
    <row r="502" spans="17:42" x14ac:dyDescent="0.25">
      <c r="Q502" s="3"/>
      <c r="R502" s="3"/>
      <c r="AA502" s="9"/>
      <c r="AB502" s="9"/>
      <c r="AC502" s="9"/>
      <c r="AD502" s="9"/>
      <c r="AJ502" s="2"/>
      <c r="AK502" s="2"/>
      <c r="AL502" s="2"/>
      <c r="AM502" s="2"/>
      <c r="AN502" s="9"/>
      <c r="AO502" s="9"/>
      <c r="AP502" s="9"/>
    </row>
    <row r="503" spans="17:42" x14ac:dyDescent="0.25">
      <c r="Q503" s="3"/>
      <c r="R503" s="3"/>
      <c r="AA503" s="9"/>
      <c r="AB503" s="9"/>
      <c r="AC503" s="9"/>
      <c r="AD503" s="9"/>
      <c r="AJ503" s="2"/>
      <c r="AK503" s="2"/>
      <c r="AL503" s="2"/>
      <c r="AM503" s="2"/>
      <c r="AN503" s="9"/>
      <c r="AO503" s="9"/>
      <c r="AP503" s="9"/>
    </row>
    <row r="504" spans="17:42" x14ac:dyDescent="0.25">
      <c r="Q504" s="3"/>
      <c r="R504" s="3"/>
      <c r="AA504" s="9"/>
      <c r="AB504" s="9"/>
      <c r="AC504" s="9"/>
      <c r="AD504" s="9"/>
      <c r="AJ504" s="2"/>
      <c r="AK504" s="2"/>
      <c r="AL504" s="2"/>
      <c r="AM504" s="2"/>
      <c r="AN504" s="9"/>
      <c r="AO504" s="9"/>
      <c r="AP504" s="9"/>
    </row>
    <row r="505" spans="17:42" x14ac:dyDescent="0.25">
      <c r="Q505" s="3"/>
      <c r="R505" s="3"/>
      <c r="AA505" s="9"/>
      <c r="AB505" s="9"/>
      <c r="AC505" s="9"/>
      <c r="AD505" s="9"/>
      <c r="AJ505" s="2"/>
      <c r="AK505" s="2"/>
      <c r="AL505" s="2"/>
      <c r="AM505" s="2"/>
      <c r="AN505" s="9"/>
      <c r="AO505" s="9"/>
      <c r="AP505" s="9"/>
    </row>
    <row r="506" spans="17:42" x14ac:dyDescent="0.25">
      <c r="Q506" s="3"/>
      <c r="R506" s="3"/>
      <c r="AA506" s="9"/>
      <c r="AB506" s="9"/>
      <c r="AC506" s="9"/>
      <c r="AD506" s="9"/>
      <c r="AJ506" s="2"/>
      <c r="AK506" s="2"/>
      <c r="AL506" s="2"/>
      <c r="AM506" s="2"/>
      <c r="AN506" s="9"/>
      <c r="AO506" s="9"/>
      <c r="AP506" s="9"/>
    </row>
    <row r="507" spans="17:42" x14ac:dyDescent="0.25">
      <c r="Q507" s="3"/>
      <c r="R507" s="3"/>
      <c r="AA507" s="9"/>
      <c r="AB507" s="9"/>
      <c r="AC507" s="9"/>
      <c r="AD507" s="9"/>
      <c r="AJ507" s="2"/>
      <c r="AK507" s="2"/>
      <c r="AL507" s="2"/>
      <c r="AM507" s="2"/>
      <c r="AN507" s="9"/>
      <c r="AO507" s="9"/>
      <c r="AP507" s="9"/>
    </row>
    <row r="508" spans="17:42" x14ac:dyDescent="0.25">
      <c r="Q508" s="3"/>
      <c r="R508" s="3"/>
      <c r="AA508" s="9"/>
      <c r="AB508" s="9"/>
      <c r="AC508" s="9"/>
      <c r="AD508" s="9"/>
      <c r="AJ508" s="2"/>
      <c r="AK508" s="2"/>
      <c r="AL508" s="2"/>
      <c r="AM508" s="2"/>
      <c r="AN508" s="9"/>
      <c r="AO508" s="9"/>
      <c r="AP508" s="9"/>
    </row>
    <row r="509" spans="17:42" x14ac:dyDescent="0.25">
      <c r="Q509" s="3"/>
      <c r="R509" s="3"/>
      <c r="AA509" s="9"/>
      <c r="AB509" s="9"/>
      <c r="AC509" s="9"/>
      <c r="AD509" s="9"/>
      <c r="AJ509" s="2"/>
      <c r="AK509" s="2"/>
      <c r="AL509" s="2"/>
      <c r="AM509" s="2"/>
      <c r="AN509" s="9"/>
      <c r="AO509" s="9"/>
      <c r="AP509" s="9"/>
    </row>
    <row r="510" spans="17:42" x14ac:dyDescent="0.25">
      <c r="Q510" s="3"/>
      <c r="R510" s="3"/>
      <c r="AA510" s="9"/>
      <c r="AB510" s="9"/>
      <c r="AC510" s="9"/>
      <c r="AD510" s="9"/>
      <c r="AJ510" s="2"/>
      <c r="AK510" s="2"/>
      <c r="AL510" s="2"/>
      <c r="AM510" s="2"/>
      <c r="AN510" s="9"/>
      <c r="AO510" s="9"/>
      <c r="AP510" s="9"/>
    </row>
    <row r="511" spans="17:42" x14ac:dyDescent="0.25">
      <c r="Q511" s="3"/>
      <c r="R511" s="3"/>
      <c r="AA511" s="9"/>
      <c r="AB511" s="9"/>
      <c r="AC511" s="9"/>
      <c r="AD511" s="9"/>
      <c r="AJ511" s="2"/>
      <c r="AK511" s="2"/>
      <c r="AL511" s="2"/>
      <c r="AM511" s="2"/>
      <c r="AN511" s="9"/>
      <c r="AO511" s="9"/>
      <c r="AP511" s="9"/>
    </row>
    <row r="512" spans="17:42" x14ac:dyDescent="0.25">
      <c r="Q512" s="3"/>
      <c r="R512" s="3"/>
      <c r="AA512" s="9"/>
      <c r="AB512" s="9"/>
      <c r="AC512" s="9"/>
      <c r="AD512" s="9"/>
      <c r="AJ512" s="2"/>
      <c r="AK512" s="2"/>
      <c r="AL512" s="2"/>
      <c r="AM512" s="2"/>
      <c r="AN512" s="9"/>
      <c r="AO512" s="9"/>
      <c r="AP512" s="9"/>
    </row>
    <row r="513" spans="17:42" x14ac:dyDescent="0.25">
      <c r="Q513" s="3"/>
      <c r="R513" s="3"/>
      <c r="AA513" s="9"/>
      <c r="AB513" s="9"/>
      <c r="AC513" s="9"/>
      <c r="AD513" s="9"/>
      <c r="AJ513" s="2"/>
      <c r="AK513" s="2"/>
      <c r="AL513" s="2"/>
      <c r="AM513" s="2"/>
      <c r="AN513" s="9"/>
      <c r="AO513" s="9"/>
      <c r="AP513" s="9"/>
    </row>
    <row r="514" spans="17:42" x14ac:dyDescent="0.25">
      <c r="Q514" s="3"/>
      <c r="R514" s="3"/>
      <c r="AA514" s="9"/>
      <c r="AB514" s="9"/>
      <c r="AC514" s="9"/>
      <c r="AD514" s="9"/>
      <c r="AJ514" s="2"/>
      <c r="AK514" s="2"/>
      <c r="AL514" s="2"/>
      <c r="AM514" s="2"/>
      <c r="AN514" s="9"/>
      <c r="AO514" s="9"/>
      <c r="AP514" s="9"/>
    </row>
    <row r="515" spans="17:42" x14ac:dyDescent="0.25">
      <c r="Q515" s="3"/>
      <c r="R515" s="3"/>
      <c r="AA515" s="9"/>
      <c r="AB515" s="9"/>
      <c r="AC515" s="9"/>
      <c r="AD515" s="9"/>
      <c r="AJ515" s="2"/>
      <c r="AK515" s="2"/>
      <c r="AL515" s="2"/>
      <c r="AM515" s="2"/>
      <c r="AN515" s="9"/>
      <c r="AO515" s="9"/>
      <c r="AP515" s="9"/>
    </row>
    <row r="516" spans="17:42" x14ac:dyDescent="0.25">
      <c r="Q516" s="3"/>
      <c r="R516" s="3"/>
      <c r="AA516" s="9"/>
      <c r="AB516" s="9"/>
      <c r="AC516" s="9"/>
      <c r="AD516" s="9"/>
      <c r="AJ516" s="2"/>
      <c r="AK516" s="2"/>
      <c r="AL516" s="2"/>
      <c r="AM516" s="2"/>
      <c r="AN516" s="9"/>
      <c r="AO516" s="9"/>
      <c r="AP516" s="9"/>
    </row>
    <row r="517" spans="17:42" x14ac:dyDescent="0.25">
      <c r="Q517" s="3"/>
      <c r="R517" s="3"/>
      <c r="AA517" s="9"/>
      <c r="AB517" s="9"/>
      <c r="AC517" s="9"/>
      <c r="AD517" s="9"/>
      <c r="AJ517" s="2"/>
      <c r="AK517" s="2"/>
      <c r="AL517" s="2"/>
      <c r="AM517" s="2"/>
      <c r="AN517" s="9"/>
      <c r="AO517" s="9"/>
      <c r="AP517" s="9"/>
    </row>
    <row r="518" spans="17:42" x14ac:dyDescent="0.25">
      <c r="Q518" s="3"/>
      <c r="R518" s="3"/>
      <c r="AA518" s="9"/>
      <c r="AB518" s="9"/>
      <c r="AC518" s="9"/>
      <c r="AD518" s="9"/>
      <c r="AJ518" s="2"/>
      <c r="AK518" s="2"/>
      <c r="AL518" s="2"/>
      <c r="AM518" s="2"/>
      <c r="AN518" s="9"/>
      <c r="AO518" s="9"/>
      <c r="AP518" s="9"/>
    </row>
    <row r="519" spans="17:42" x14ac:dyDescent="0.25">
      <c r="Q519" s="3"/>
      <c r="R519" s="3"/>
      <c r="AA519" s="9"/>
      <c r="AB519" s="9"/>
      <c r="AC519" s="9"/>
      <c r="AD519" s="9"/>
      <c r="AJ519" s="2"/>
      <c r="AK519" s="2"/>
      <c r="AL519" s="2"/>
      <c r="AM519" s="2"/>
      <c r="AN519" s="9"/>
      <c r="AO519" s="9"/>
      <c r="AP519" s="9"/>
    </row>
    <row r="520" spans="17:42" x14ac:dyDescent="0.25">
      <c r="Q520" s="3"/>
      <c r="R520" s="3"/>
      <c r="AA520" s="9"/>
      <c r="AB520" s="9"/>
      <c r="AC520" s="9"/>
      <c r="AD520" s="9"/>
      <c r="AJ520" s="2"/>
      <c r="AK520" s="2"/>
      <c r="AL520" s="2"/>
      <c r="AM520" s="2"/>
      <c r="AN520" s="9"/>
      <c r="AO520" s="9"/>
      <c r="AP520" s="9"/>
    </row>
    <row r="521" spans="17:42" x14ac:dyDescent="0.25">
      <c r="Q521" s="3"/>
      <c r="R521" s="3"/>
      <c r="AA521" s="9"/>
      <c r="AB521" s="9"/>
      <c r="AC521" s="9"/>
      <c r="AD521" s="9"/>
      <c r="AJ521" s="2"/>
      <c r="AK521" s="2"/>
      <c r="AL521" s="2"/>
      <c r="AM521" s="2"/>
      <c r="AN521" s="9"/>
      <c r="AO521" s="9"/>
      <c r="AP521" s="9"/>
    </row>
    <row r="522" spans="17:42" x14ac:dyDescent="0.25">
      <c r="Q522" s="3"/>
      <c r="R522" s="3"/>
      <c r="AA522" s="9"/>
      <c r="AB522" s="9"/>
      <c r="AC522" s="9"/>
      <c r="AD522" s="9"/>
      <c r="AJ522" s="2"/>
      <c r="AK522" s="2"/>
      <c r="AL522" s="2"/>
      <c r="AM522" s="2"/>
      <c r="AN522" s="9"/>
      <c r="AO522" s="9"/>
      <c r="AP522" s="9"/>
    </row>
    <row r="523" spans="17:42" x14ac:dyDescent="0.25">
      <c r="Q523" s="3"/>
      <c r="R523" s="3"/>
      <c r="AA523" s="9"/>
      <c r="AB523" s="9"/>
      <c r="AC523" s="9"/>
      <c r="AD523" s="9"/>
      <c r="AJ523" s="2"/>
      <c r="AK523" s="2"/>
      <c r="AL523" s="2"/>
      <c r="AM523" s="2"/>
      <c r="AN523" s="9"/>
      <c r="AO523" s="9"/>
      <c r="AP523" s="9"/>
    </row>
    <row r="524" spans="17:42" x14ac:dyDescent="0.25">
      <c r="Q524" s="3"/>
      <c r="R524" s="3"/>
      <c r="AA524" s="9"/>
      <c r="AB524" s="9"/>
      <c r="AC524" s="9"/>
      <c r="AD524" s="9"/>
      <c r="AJ524" s="2"/>
      <c r="AK524" s="2"/>
      <c r="AL524" s="2"/>
      <c r="AM524" s="2"/>
      <c r="AN524" s="9"/>
      <c r="AO524" s="9"/>
      <c r="AP524" s="9"/>
    </row>
    <row r="525" spans="17:42" x14ac:dyDescent="0.25">
      <c r="Q525" s="3"/>
      <c r="R525" s="3"/>
      <c r="AA525" s="9"/>
      <c r="AB525" s="9"/>
      <c r="AC525" s="9"/>
      <c r="AD525" s="9"/>
      <c r="AJ525" s="2"/>
      <c r="AK525" s="2"/>
      <c r="AL525" s="2"/>
      <c r="AM525" s="2"/>
      <c r="AN525" s="9"/>
      <c r="AO525" s="9"/>
      <c r="AP525" s="9"/>
    </row>
    <row r="526" spans="17:42" x14ac:dyDescent="0.25">
      <c r="Q526" s="3"/>
      <c r="R526" s="3"/>
      <c r="AA526" s="9"/>
      <c r="AB526" s="9"/>
      <c r="AC526" s="9"/>
      <c r="AD526" s="9"/>
      <c r="AJ526" s="2"/>
      <c r="AK526" s="2"/>
      <c r="AL526" s="2"/>
      <c r="AM526" s="2"/>
      <c r="AN526" s="9"/>
      <c r="AO526" s="9"/>
      <c r="AP526" s="9"/>
    </row>
    <row r="527" spans="17:42" x14ac:dyDescent="0.25">
      <c r="Q527" s="3"/>
      <c r="R527" s="3"/>
      <c r="AA527" s="9"/>
      <c r="AB527" s="9"/>
      <c r="AC527" s="9"/>
      <c r="AD527" s="9"/>
      <c r="AJ527" s="2"/>
      <c r="AK527" s="2"/>
      <c r="AL527" s="2"/>
      <c r="AM527" s="2"/>
      <c r="AN527" s="9"/>
      <c r="AO527" s="9"/>
      <c r="AP527" s="9"/>
    </row>
    <row r="528" spans="17:42" x14ac:dyDescent="0.25">
      <c r="Q528" s="3"/>
      <c r="R528" s="3"/>
      <c r="AA528" s="9"/>
      <c r="AB528" s="9"/>
      <c r="AC528" s="9"/>
      <c r="AD528" s="9"/>
      <c r="AJ528" s="2"/>
      <c r="AK528" s="2"/>
      <c r="AL528" s="2"/>
      <c r="AM528" s="2"/>
      <c r="AN528" s="9"/>
      <c r="AO528" s="9"/>
      <c r="AP528" s="9"/>
    </row>
    <row r="529" spans="17:42" x14ac:dyDescent="0.25">
      <c r="Q529" s="3"/>
      <c r="R529" s="3"/>
      <c r="AA529" s="9"/>
      <c r="AB529" s="9"/>
      <c r="AC529" s="9"/>
      <c r="AD529" s="9"/>
      <c r="AJ529" s="2"/>
      <c r="AK529" s="2"/>
      <c r="AL529" s="2"/>
      <c r="AM529" s="2"/>
      <c r="AN529" s="9"/>
      <c r="AO529" s="9"/>
      <c r="AP529" s="9"/>
    </row>
    <row r="530" spans="17:42" x14ac:dyDescent="0.25">
      <c r="Q530" s="3"/>
      <c r="R530" s="3"/>
      <c r="AA530" s="9"/>
      <c r="AB530" s="9"/>
      <c r="AC530" s="9"/>
      <c r="AD530" s="9"/>
      <c r="AJ530" s="2"/>
      <c r="AK530" s="2"/>
      <c r="AL530" s="2"/>
      <c r="AM530" s="2"/>
      <c r="AN530" s="9"/>
      <c r="AO530" s="9"/>
      <c r="AP530" s="9"/>
    </row>
    <row r="531" spans="17:42" x14ac:dyDescent="0.25">
      <c r="Q531" s="3"/>
      <c r="R531" s="3"/>
      <c r="AA531" s="9"/>
      <c r="AB531" s="9"/>
      <c r="AC531" s="9"/>
      <c r="AD531" s="9"/>
      <c r="AJ531" s="2"/>
      <c r="AK531" s="2"/>
      <c r="AL531" s="2"/>
      <c r="AM531" s="2"/>
      <c r="AN531" s="9"/>
      <c r="AO531" s="9"/>
      <c r="AP531" s="9"/>
    </row>
    <row r="532" spans="17:42" x14ac:dyDescent="0.25">
      <c r="Q532" s="3"/>
      <c r="R532" s="3"/>
      <c r="AA532" s="9"/>
      <c r="AB532" s="9"/>
      <c r="AC532" s="9"/>
      <c r="AD532" s="9"/>
      <c r="AJ532" s="2"/>
      <c r="AK532" s="2"/>
      <c r="AL532" s="2"/>
      <c r="AM532" s="2"/>
      <c r="AN532" s="9"/>
      <c r="AO532" s="9"/>
      <c r="AP532" s="9"/>
    </row>
    <row r="533" spans="17:42" x14ac:dyDescent="0.25">
      <c r="Q533" s="3"/>
      <c r="R533" s="3"/>
      <c r="AA533" s="9"/>
      <c r="AB533" s="9"/>
      <c r="AC533" s="9"/>
      <c r="AD533" s="9"/>
      <c r="AJ533" s="2"/>
      <c r="AK533" s="2"/>
      <c r="AL533" s="2"/>
      <c r="AM533" s="2"/>
      <c r="AN533" s="9"/>
      <c r="AO533" s="9"/>
      <c r="AP533" s="9"/>
    </row>
    <row r="534" spans="17:42" x14ac:dyDescent="0.25">
      <c r="Q534" s="3"/>
      <c r="R534" s="3"/>
      <c r="AA534" s="9"/>
      <c r="AB534" s="9"/>
      <c r="AC534" s="9"/>
      <c r="AD534" s="9"/>
      <c r="AJ534" s="2"/>
      <c r="AK534" s="2"/>
      <c r="AL534" s="2"/>
      <c r="AM534" s="2"/>
      <c r="AN534" s="9"/>
      <c r="AO534" s="9"/>
      <c r="AP534" s="9"/>
    </row>
    <row r="535" spans="17:42" x14ac:dyDescent="0.25">
      <c r="Q535" s="3"/>
      <c r="R535" s="3"/>
      <c r="AA535" s="9"/>
      <c r="AB535" s="9"/>
      <c r="AC535" s="9"/>
      <c r="AD535" s="9"/>
      <c r="AJ535" s="2"/>
      <c r="AK535" s="2"/>
      <c r="AL535" s="2"/>
      <c r="AM535" s="2"/>
      <c r="AN535" s="9"/>
      <c r="AO535" s="9"/>
      <c r="AP535" s="9"/>
    </row>
    <row r="536" spans="17:42" x14ac:dyDescent="0.25">
      <c r="Q536" s="3"/>
      <c r="R536" s="3"/>
      <c r="AA536" s="9"/>
      <c r="AB536" s="9"/>
      <c r="AC536" s="9"/>
      <c r="AD536" s="9"/>
      <c r="AJ536" s="2"/>
      <c r="AK536" s="2"/>
      <c r="AL536" s="2"/>
      <c r="AM536" s="2"/>
      <c r="AN536" s="9"/>
      <c r="AO536" s="9"/>
      <c r="AP536" s="9"/>
    </row>
    <row r="537" spans="17:42" x14ac:dyDescent="0.25">
      <c r="Q537" s="3"/>
      <c r="R537" s="3"/>
      <c r="AA537" s="9"/>
      <c r="AB537" s="9"/>
      <c r="AC537" s="9"/>
      <c r="AD537" s="9"/>
      <c r="AJ537" s="2"/>
      <c r="AK537" s="2"/>
      <c r="AL537" s="2"/>
      <c r="AM537" s="2"/>
      <c r="AN537" s="9"/>
      <c r="AO537" s="9"/>
      <c r="AP537" s="9"/>
    </row>
    <row r="538" spans="17:42" x14ac:dyDescent="0.25">
      <c r="Q538" s="3"/>
      <c r="R538" s="3"/>
      <c r="AA538" s="9"/>
      <c r="AB538" s="9"/>
      <c r="AC538" s="9"/>
      <c r="AD538" s="9"/>
      <c r="AJ538" s="2"/>
      <c r="AK538" s="2"/>
      <c r="AL538" s="2"/>
      <c r="AM538" s="2"/>
      <c r="AN538" s="9"/>
      <c r="AO538" s="9"/>
      <c r="AP538" s="9"/>
    </row>
    <row r="539" spans="17:42" x14ac:dyDescent="0.25">
      <c r="Q539" s="3"/>
      <c r="R539" s="3"/>
      <c r="AA539" s="9"/>
      <c r="AB539" s="9"/>
      <c r="AC539" s="9"/>
      <c r="AD539" s="9"/>
      <c r="AJ539" s="2"/>
      <c r="AK539" s="2"/>
      <c r="AL539" s="2"/>
      <c r="AM539" s="2"/>
      <c r="AN539" s="9"/>
      <c r="AO539" s="9"/>
      <c r="AP539" s="9"/>
    </row>
    <row r="540" spans="17:42" x14ac:dyDescent="0.25">
      <c r="Q540" s="3"/>
      <c r="R540" s="3"/>
      <c r="AA540" s="9"/>
      <c r="AB540" s="9"/>
      <c r="AC540" s="9"/>
      <c r="AD540" s="9"/>
      <c r="AJ540" s="2"/>
      <c r="AK540" s="2"/>
      <c r="AL540" s="2"/>
      <c r="AM540" s="2"/>
      <c r="AN540" s="9"/>
      <c r="AO540" s="9"/>
      <c r="AP540" s="9"/>
    </row>
    <row r="541" spans="17:42" x14ac:dyDescent="0.25">
      <c r="Q541" s="3"/>
      <c r="R541" s="3"/>
      <c r="AA541" s="9"/>
      <c r="AB541" s="9"/>
      <c r="AC541" s="9"/>
      <c r="AD541" s="9"/>
      <c r="AJ541" s="2"/>
      <c r="AK541" s="2"/>
      <c r="AL541" s="2"/>
      <c r="AM541" s="2"/>
      <c r="AN541" s="9"/>
      <c r="AO541" s="9"/>
      <c r="AP541" s="9"/>
    </row>
    <row r="542" spans="17:42" x14ac:dyDescent="0.25">
      <c r="Q542" s="3"/>
      <c r="R542" s="3"/>
      <c r="AA542" s="9"/>
      <c r="AB542" s="9"/>
      <c r="AC542" s="9"/>
      <c r="AD542" s="9"/>
      <c r="AJ542" s="2"/>
      <c r="AK542" s="2"/>
      <c r="AL542" s="2"/>
      <c r="AM542" s="2"/>
      <c r="AN542" s="9"/>
      <c r="AO542" s="9"/>
      <c r="AP542" s="9"/>
    </row>
    <row r="543" spans="17:42" x14ac:dyDescent="0.25">
      <c r="Q543" s="3"/>
      <c r="R543" s="3"/>
      <c r="AA543" s="9"/>
      <c r="AB543" s="9"/>
      <c r="AC543" s="9"/>
      <c r="AD543" s="9"/>
      <c r="AJ543" s="2"/>
      <c r="AK543" s="2"/>
      <c r="AL543" s="2"/>
      <c r="AM543" s="2"/>
      <c r="AN543" s="9"/>
      <c r="AO543" s="9"/>
      <c r="AP543" s="9"/>
    </row>
    <row r="544" spans="17:42" x14ac:dyDescent="0.25">
      <c r="Q544" s="3"/>
      <c r="R544" s="3"/>
      <c r="AA544" s="9"/>
      <c r="AB544" s="9"/>
      <c r="AC544" s="9"/>
      <c r="AD544" s="9"/>
      <c r="AJ544" s="2"/>
      <c r="AK544" s="2"/>
      <c r="AL544" s="2"/>
      <c r="AM544" s="2"/>
      <c r="AN544" s="9"/>
      <c r="AO544" s="9"/>
      <c r="AP544" s="9"/>
    </row>
    <row r="545" spans="17:42" x14ac:dyDescent="0.25">
      <c r="Q545" s="3"/>
      <c r="R545" s="3"/>
      <c r="AA545" s="9"/>
      <c r="AB545" s="9"/>
      <c r="AC545" s="9"/>
      <c r="AD545" s="9"/>
      <c r="AJ545" s="2"/>
      <c r="AK545" s="2"/>
      <c r="AL545" s="2"/>
      <c r="AM545" s="2"/>
      <c r="AN545" s="9"/>
      <c r="AO545" s="9"/>
      <c r="AP545" s="9"/>
    </row>
    <row r="546" spans="17:42" x14ac:dyDescent="0.25">
      <c r="Q546" s="3"/>
      <c r="R546" s="3"/>
      <c r="AA546" s="9"/>
      <c r="AB546" s="9"/>
      <c r="AC546" s="9"/>
      <c r="AD546" s="9"/>
      <c r="AJ546" s="2"/>
      <c r="AK546" s="2"/>
      <c r="AL546" s="2"/>
      <c r="AM546" s="2"/>
      <c r="AN546" s="9"/>
      <c r="AO546" s="9"/>
      <c r="AP546" s="9"/>
    </row>
    <row r="547" spans="17:42" x14ac:dyDescent="0.25">
      <c r="Q547" s="3"/>
      <c r="R547" s="3"/>
      <c r="AA547" s="9"/>
      <c r="AB547" s="9"/>
      <c r="AC547" s="9"/>
      <c r="AD547" s="9"/>
      <c r="AJ547" s="2"/>
      <c r="AK547" s="2"/>
      <c r="AL547" s="2"/>
      <c r="AM547" s="2"/>
      <c r="AN547" s="9"/>
      <c r="AO547" s="9"/>
      <c r="AP547" s="9"/>
    </row>
    <row r="548" spans="17:42" x14ac:dyDescent="0.25">
      <c r="Q548" s="3"/>
      <c r="R548" s="3"/>
      <c r="AA548" s="9"/>
      <c r="AB548" s="9"/>
      <c r="AC548" s="9"/>
      <c r="AD548" s="9"/>
      <c r="AJ548" s="2"/>
      <c r="AK548" s="2"/>
      <c r="AL548" s="2"/>
      <c r="AM548" s="2"/>
      <c r="AN548" s="9"/>
      <c r="AO548" s="9"/>
      <c r="AP548" s="9"/>
    </row>
    <row r="549" spans="17:42" x14ac:dyDescent="0.25">
      <c r="Q549" s="3"/>
      <c r="R549" s="3"/>
      <c r="AA549" s="9"/>
      <c r="AB549" s="9"/>
      <c r="AC549" s="9"/>
      <c r="AD549" s="9"/>
      <c r="AJ549" s="2"/>
      <c r="AK549" s="2"/>
      <c r="AL549" s="2"/>
      <c r="AM549" s="2"/>
      <c r="AN549" s="9"/>
      <c r="AO549" s="9"/>
      <c r="AP549" s="9"/>
    </row>
    <row r="550" spans="17:42" x14ac:dyDescent="0.25">
      <c r="Q550" s="3"/>
      <c r="R550" s="3"/>
      <c r="AA550" s="9"/>
      <c r="AB550" s="9"/>
      <c r="AC550" s="9"/>
      <c r="AD550" s="9"/>
      <c r="AJ550" s="2"/>
      <c r="AK550" s="2"/>
      <c r="AL550" s="2"/>
      <c r="AM550" s="2"/>
      <c r="AN550" s="9"/>
      <c r="AO550" s="9"/>
      <c r="AP550" s="9"/>
    </row>
    <row r="551" spans="17:42" x14ac:dyDescent="0.25">
      <c r="Q551" s="3"/>
      <c r="R551" s="3"/>
      <c r="AA551" s="9"/>
      <c r="AB551" s="9"/>
      <c r="AC551" s="9"/>
      <c r="AD551" s="9"/>
      <c r="AJ551" s="2"/>
      <c r="AK551" s="2"/>
      <c r="AL551" s="2"/>
      <c r="AM551" s="2"/>
      <c r="AN551" s="9"/>
      <c r="AO551" s="9"/>
      <c r="AP551" s="9"/>
    </row>
    <row r="552" spans="17:42" x14ac:dyDescent="0.25">
      <c r="Q552" s="3"/>
      <c r="R552" s="3"/>
      <c r="AA552" s="9"/>
      <c r="AB552" s="9"/>
      <c r="AC552" s="9"/>
      <c r="AD552" s="9"/>
      <c r="AJ552" s="2"/>
      <c r="AK552" s="2"/>
      <c r="AL552" s="2"/>
      <c r="AM552" s="2"/>
      <c r="AN552" s="9"/>
      <c r="AO552" s="9"/>
      <c r="AP552" s="9"/>
    </row>
    <row r="553" spans="17:42" x14ac:dyDescent="0.25">
      <c r="Q553" s="3"/>
      <c r="R553" s="3"/>
      <c r="AA553" s="9"/>
      <c r="AB553" s="9"/>
      <c r="AC553" s="9"/>
      <c r="AD553" s="9"/>
      <c r="AJ553" s="2"/>
      <c r="AK553" s="2"/>
      <c r="AL553" s="2"/>
      <c r="AM553" s="2"/>
      <c r="AN553" s="9"/>
      <c r="AO553" s="9"/>
      <c r="AP553" s="9"/>
    </row>
    <row r="554" spans="17:42" x14ac:dyDescent="0.25">
      <c r="Q554" s="3"/>
      <c r="R554" s="3"/>
      <c r="AA554" s="9"/>
      <c r="AB554" s="9"/>
      <c r="AC554" s="9"/>
      <c r="AD554" s="9"/>
      <c r="AJ554" s="2"/>
      <c r="AK554" s="2"/>
      <c r="AL554" s="2"/>
      <c r="AM554" s="2"/>
      <c r="AN554" s="9"/>
      <c r="AO554" s="9"/>
      <c r="AP554" s="9"/>
    </row>
    <row r="555" spans="17:42" x14ac:dyDescent="0.25">
      <c r="Q555" s="3"/>
      <c r="R555" s="3"/>
      <c r="AA555" s="9"/>
      <c r="AB555" s="9"/>
      <c r="AC555" s="9"/>
      <c r="AD555" s="9"/>
      <c r="AJ555" s="2"/>
      <c r="AK555" s="2"/>
      <c r="AL555" s="2"/>
      <c r="AM555" s="2"/>
      <c r="AN555" s="9"/>
      <c r="AO555" s="9"/>
      <c r="AP555" s="9"/>
    </row>
    <row r="556" spans="17:42" x14ac:dyDescent="0.25">
      <c r="Q556" s="3"/>
      <c r="R556" s="3"/>
      <c r="AA556" s="9"/>
      <c r="AB556" s="9"/>
      <c r="AC556" s="9"/>
      <c r="AD556" s="9"/>
      <c r="AJ556" s="2"/>
      <c r="AK556" s="2"/>
      <c r="AL556" s="2"/>
      <c r="AM556" s="2"/>
      <c r="AN556" s="9"/>
      <c r="AO556" s="9"/>
      <c r="AP556" s="9"/>
    </row>
    <row r="557" spans="17:42" x14ac:dyDescent="0.25">
      <c r="Q557" s="3"/>
      <c r="R557" s="3"/>
      <c r="AA557" s="9"/>
      <c r="AB557" s="9"/>
      <c r="AC557" s="9"/>
      <c r="AD557" s="9"/>
      <c r="AJ557" s="2"/>
      <c r="AK557" s="2"/>
      <c r="AL557" s="2"/>
      <c r="AM557" s="2"/>
      <c r="AN557" s="9"/>
      <c r="AO557" s="9"/>
      <c r="AP557" s="9"/>
    </row>
    <row r="558" spans="17:42" x14ac:dyDescent="0.25">
      <c r="Q558" s="3"/>
      <c r="R558" s="3"/>
      <c r="AA558" s="9"/>
      <c r="AB558" s="9"/>
      <c r="AC558" s="9"/>
      <c r="AD558" s="9"/>
      <c r="AJ558" s="2"/>
      <c r="AK558" s="2"/>
      <c r="AL558" s="2"/>
      <c r="AM558" s="2"/>
      <c r="AN558" s="9"/>
      <c r="AO558" s="9"/>
      <c r="AP558" s="9"/>
    </row>
    <row r="559" spans="17:42" x14ac:dyDescent="0.25">
      <c r="Q559" s="3"/>
      <c r="R559" s="3"/>
      <c r="AA559" s="9"/>
      <c r="AB559" s="9"/>
      <c r="AC559" s="9"/>
      <c r="AD559" s="9"/>
      <c r="AJ559" s="2"/>
      <c r="AK559" s="2"/>
      <c r="AL559" s="2"/>
      <c r="AM559" s="2"/>
      <c r="AN559" s="9"/>
      <c r="AO559" s="9"/>
      <c r="AP559" s="9"/>
    </row>
    <row r="560" spans="17:42" x14ac:dyDescent="0.25">
      <c r="Q560" s="3"/>
      <c r="R560" s="3"/>
      <c r="AA560" s="9"/>
      <c r="AB560" s="9"/>
      <c r="AC560" s="9"/>
      <c r="AD560" s="9"/>
      <c r="AJ560" s="2"/>
      <c r="AK560" s="2"/>
      <c r="AL560" s="2"/>
      <c r="AM560" s="2"/>
      <c r="AN560" s="9"/>
      <c r="AO560" s="9"/>
      <c r="AP560" s="9"/>
    </row>
    <row r="561" spans="17:42" x14ac:dyDescent="0.25">
      <c r="Q561" s="3"/>
      <c r="R561" s="3"/>
      <c r="AA561" s="9"/>
      <c r="AB561" s="9"/>
      <c r="AC561" s="9"/>
      <c r="AD561" s="9"/>
      <c r="AJ561" s="2"/>
      <c r="AK561" s="2"/>
      <c r="AL561" s="2"/>
      <c r="AM561" s="2"/>
      <c r="AN561" s="9"/>
      <c r="AO561" s="9"/>
      <c r="AP561" s="9"/>
    </row>
    <row r="562" spans="17:42" x14ac:dyDescent="0.25">
      <c r="Q562" s="3"/>
      <c r="R562" s="3"/>
      <c r="AA562" s="9"/>
      <c r="AB562" s="9"/>
      <c r="AC562" s="9"/>
      <c r="AD562" s="9"/>
      <c r="AJ562" s="2"/>
      <c r="AK562" s="2"/>
      <c r="AL562" s="2"/>
      <c r="AM562" s="2"/>
      <c r="AN562" s="9"/>
      <c r="AO562" s="9"/>
      <c r="AP562" s="9"/>
    </row>
    <row r="563" spans="17:42" x14ac:dyDescent="0.25">
      <c r="Q563" s="3"/>
      <c r="R563" s="3"/>
      <c r="AA563" s="9"/>
      <c r="AB563" s="9"/>
      <c r="AC563" s="9"/>
      <c r="AD563" s="9"/>
      <c r="AJ563" s="2"/>
      <c r="AK563" s="2"/>
      <c r="AL563" s="2"/>
      <c r="AM563" s="2"/>
      <c r="AN563" s="9"/>
      <c r="AO563" s="9"/>
      <c r="AP563" s="9"/>
    </row>
    <row r="564" spans="17:42" x14ac:dyDescent="0.25">
      <c r="Q564" s="3"/>
      <c r="R564" s="3"/>
      <c r="AA564" s="9"/>
      <c r="AB564" s="9"/>
      <c r="AC564" s="9"/>
      <c r="AD564" s="9"/>
      <c r="AJ564" s="2"/>
      <c r="AK564" s="2"/>
      <c r="AL564" s="2"/>
      <c r="AM564" s="2"/>
      <c r="AN564" s="9"/>
      <c r="AO564" s="9"/>
      <c r="AP564" s="9"/>
    </row>
    <row r="565" spans="17:42" x14ac:dyDescent="0.25">
      <c r="Q565" s="3"/>
      <c r="R565" s="3"/>
      <c r="AA565" s="9"/>
      <c r="AB565" s="9"/>
      <c r="AC565" s="9"/>
      <c r="AD565" s="9"/>
      <c r="AJ565" s="2"/>
      <c r="AK565" s="2"/>
      <c r="AL565" s="2"/>
      <c r="AM565" s="2"/>
      <c r="AN565" s="9"/>
      <c r="AO565" s="9"/>
      <c r="AP565" s="9"/>
    </row>
    <row r="566" spans="17:42" x14ac:dyDescent="0.25">
      <c r="Q566" s="3"/>
      <c r="R566" s="3"/>
      <c r="AA566" s="9"/>
      <c r="AB566" s="9"/>
      <c r="AC566" s="9"/>
      <c r="AD566" s="9"/>
      <c r="AJ566" s="2"/>
      <c r="AK566" s="2"/>
      <c r="AL566" s="2"/>
      <c r="AM566" s="2"/>
      <c r="AN566" s="9"/>
      <c r="AO566" s="9"/>
      <c r="AP566" s="9"/>
    </row>
    <row r="567" spans="17:42" x14ac:dyDescent="0.25">
      <c r="Q567" s="3"/>
      <c r="R567" s="3"/>
      <c r="AA567" s="9"/>
      <c r="AB567" s="9"/>
      <c r="AC567" s="9"/>
      <c r="AD567" s="9"/>
      <c r="AJ567" s="2"/>
      <c r="AK567" s="2"/>
      <c r="AL567" s="2"/>
      <c r="AM567" s="2"/>
      <c r="AN567" s="9"/>
      <c r="AO567" s="9"/>
      <c r="AP567" s="9"/>
    </row>
    <row r="568" spans="17:42" x14ac:dyDescent="0.25">
      <c r="Q568" s="3"/>
      <c r="R568" s="3"/>
      <c r="AA568" s="9"/>
      <c r="AB568" s="9"/>
      <c r="AC568" s="9"/>
      <c r="AD568" s="9"/>
      <c r="AJ568" s="2"/>
      <c r="AK568" s="2"/>
      <c r="AL568" s="2"/>
      <c r="AM568" s="2"/>
      <c r="AN568" s="9"/>
      <c r="AO568" s="9"/>
      <c r="AP568" s="9"/>
    </row>
    <row r="569" spans="17:42" x14ac:dyDescent="0.25">
      <c r="Q569" s="3"/>
      <c r="R569" s="3"/>
      <c r="AA569" s="9"/>
      <c r="AB569" s="9"/>
      <c r="AC569" s="9"/>
      <c r="AD569" s="9"/>
      <c r="AJ569" s="2"/>
      <c r="AK569" s="2"/>
      <c r="AL569" s="2"/>
      <c r="AM569" s="2"/>
      <c r="AN569" s="9"/>
      <c r="AO569" s="9"/>
      <c r="AP569" s="9"/>
    </row>
    <row r="570" spans="17:42" x14ac:dyDescent="0.25">
      <c r="Q570" s="3"/>
      <c r="R570" s="3"/>
      <c r="AA570" s="9"/>
      <c r="AB570" s="9"/>
      <c r="AC570" s="9"/>
      <c r="AD570" s="9"/>
      <c r="AJ570" s="2"/>
      <c r="AK570" s="2"/>
      <c r="AL570" s="2"/>
      <c r="AM570" s="2"/>
      <c r="AN570" s="9"/>
      <c r="AO570" s="9"/>
      <c r="AP570" s="9"/>
    </row>
    <row r="571" spans="17:42" x14ac:dyDescent="0.25">
      <c r="Q571" s="3"/>
      <c r="R571" s="3"/>
      <c r="AA571" s="9"/>
      <c r="AB571" s="9"/>
      <c r="AC571" s="9"/>
      <c r="AD571" s="9"/>
      <c r="AJ571" s="2"/>
      <c r="AK571" s="2"/>
      <c r="AL571" s="2"/>
      <c r="AM571" s="2"/>
      <c r="AN571" s="9"/>
      <c r="AO571" s="9"/>
      <c r="AP571" s="9"/>
    </row>
    <row r="572" spans="17:42" x14ac:dyDescent="0.25">
      <c r="Q572" s="3"/>
      <c r="R572" s="3"/>
      <c r="AA572" s="9"/>
      <c r="AB572" s="9"/>
      <c r="AC572" s="9"/>
      <c r="AD572" s="9"/>
      <c r="AJ572" s="2"/>
      <c r="AK572" s="2"/>
      <c r="AL572" s="2"/>
      <c r="AM572" s="2"/>
      <c r="AN572" s="9"/>
      <c r="AO572" s="9"/>
      <c r="AP572" s="9"/>
    </row>
    <row r="573" spans="17:42" x14ac:dyDescent="0.25">
      <c r="Q573" s="3"/>
      <c r="R573" s="3"/>
      <c r="AA573" s="9"/>
      <c r="AB573" s="9"/>
      <c r="AC573" s="9"/>
      <c r="AD573" s="9"/>
      <c r="AJ573" s="2"/>
      <c r="AK573" s="2"/>
      <c r="AL573" s="2"/>
      <c r="AM573" s="2"/>
      <c r="AN573" s="9"/>
      <c r="AO573" s="9"/>
      <c r="AP573" s="9"/>
    </row>
    <row r="574" spans="17:42" x14ac:dyDescent="0.25">
      <c r="Q574" s="3"/>
      <c r="R574" s="3"/>
      <c r="AA574" s="9"/>
      <c r="AB574" s="9"/>
      <c r="AC574" s="9"/>
      <c r="AD574" s="9"/>
      <c r="AJ574" s="2"/>
      <c r="AK574" s="2"/>
      <c r="AL574" s="2"/>
      <c r="AM574" s="2"/>
      <c r="AN574" s="9"/>
      <c r="AO574" s="9"/>
      <c r="AP574" s="9"/>
    </row>
    <row r="575" spans="17:42" x14ac:dyDescent="0.25">
      <c r="Q575" s="3"/>
      <c r="R575" s="3"/>
      <c r="AA575" s="9"/>
      <c r="AB575" s="9"/>
      <c r="AC575" s="9"/>
      <c r="AD575" s="9"/>
      <c r="AJ575" s="2"/>
      <c r="AK575" s="2"/>
      <c r="AL575" s="2"/>
      <c r="AM575" s="2"/>
      <c r="AN575" s="9"/>
      <c r="AO575" s="9"/>
      <c r="AP575" s="9"/>
    </row>
    <row r="576" spans="17:42" x14ac:dyDescent="0.25">
      <c r="Q576" s="3"/>
      <c r="R576" s="3"/>
      <c r="AA576" s="9"/>
      <c r="AB576" s="9"/>
      <c r="AC576" s="9"/>
      <c r="AD576" s="9"/>
      <c r="AJ576" s="2"/>
      <c r="AK576" s="2"/>
      <c r="AL576" s="2"/>
      <c r="AM576" s="2"/>
      <c r="AN576" s="9"/>
      <c r="AO576" s="9"/>
      <c r="AP576" s="9"/>
    </row>
    <row r="577" spans="17:42" x14ac:dyDescent="0.25">
      <c r="Q577" s="3"/>
      <c r="R577" s="3"/>
      <c r="AA577" s="9"/>
      <c r="AB577" s="9"/>
      <c r="AC577" s="9"/>
      <c r="AD577" s="9"/>
      <c r="AJ577" s="2"/>
      <c r="AK577" s="2"/>
      <c r="AL577" s="2"/>
      <c r="AM577" s="2"/>
      <c r="AN577" s="9"/>
      <c r="AO577" s="9"/>
      <c r="AP577" s="9"/>
    </row>
    <row r="578" spans="17:42" x14ac:dyDescent="0.25">
      <c r="Q578" s="3"/>
      <c r="R578" s="3"/>
      <c r="AA578" s="9"/>
      <c r="AB578" s="9"/>
      <c r="AC578" s="9"/>
      <c r="AD578" s="9"/>
      <c r="AJ578" s="2"/>
      <c r="AK578" s="2"/>
      <c r="AL578" s="2"/>
      <c r="AM578" s="2"/>
      <c r="AN578" s="9"/>
      <c r="AO578" s="9"/>
      <c r="AP578" s="9"/>
    </row>
    <row r="579" spans="17:42" x14ac:dyDescent="0.25">
      <c r="Q579" s="3"/>
      <c r="R579" s="3"/>
      <c r="AA579" s="9"/>
      <c r="AB579" s="9"/>
      <c r="AC579" s="9"/>
      <c r="AD579" s="9"/>
      <c r="AJ579" s="2"/>
      <c r="AK579" s="2"/>
      <c r="AL579" s="2"/>
      <c r="AM579" s="2"/>
      <c r="AN579" s="9"/>
      <c r="AO579" s="9"/>
      <c r="AP579" s="9"/>
    </row>
    <row r="580" spans="17:42" x14ac:dyDescent="0.25">
      <c r="Q580" s="3"/>
      <c r="R580" s="3"/>
      <c r="AA580" s="9"/>
      <c r="AB580" s="9"/>
      <c r="AC580" s="9"/>
      <c r="AD580" s="9"/>
      <c r="AJ580" s="2"/>
      <c r="AK580" s="2"/>
      <c r="AL580" s="2"/>
      <c r="AM580" s="2"/>
      <c r="AN580" s="9"/>
      <c r="AO580" s="9"/>
      <c r="AP580" s="9"/>
    </row>
    <row r="581" spans="17:42" x14ac:dyDescent="0.25">
      <c r="Q581" s="3"/>
      <c r="R581" s="3"/>
      <c r="AA581" s="9"/>
      <c r="AB581" s="9"/>
      <c r="AC581" s="9"/>
      <c r="AD581" s="9"/>
      <c r="AJ581" s="2"/>
      <c r="AK581" s="2"/>
      <c r="AL581" s="2"/>
      <c r="AM581" s="2"/>
      <c r="AN581" s="9"/>
      <c r="AO581" s="9"/>
      <c r="AP581" s="9"/>
    </row>
    <row r="582" spans="17:42" x14ac:dyDescent="0.25">
      <c r="Q582" s="3"/>
      <c r="R582" s="3"/>
      <c r="AA582" s="9"/>
      <c r="AB582" s="9"/>
      <c r="AC582" s="9"/>
      <c r="AD582" s="9"/>
      <c r="AJ582" s="2"/>
      <c r="AK582" s="2"/>
      <c r="AL582" s="2"/>
      <c r="AM582" s="2"/>
      <c r="AN582" s="9"/>
      <c r="AO582" s="9"/>
      <c r="AP582" s="9"/>
    </row>
    <row r="583" spans="17:42" x14ac:dyDescent="0.25">
      <c r="Q583" s="3"/>
      <c r="R583" s="3"/>
      <c r="AA583" s="9"/>
      <c r="AB583" s="9"/>
      <c r="AC583" s="9"/>
      <c r="AD583" s="9"/>
      <c r="AJ583" s="2"/>
      <c r="AK583" s="2"/>
      <c r="AL583" s="2"/>
      <c r="AM583" s="2"/>
      <c r="AN583" s="9"/>
      <c r="AO583" s="9"/>
      <c r="AP583" s="9"/>
    </row>
    <row r="584" spans="17:42" x14ac:dyDescent="0.25">
      <c r="Q584" s="3"/>
      <c r="R584" s="3"/>
      <c r="AA584" s="9"/>
      <c r="AB584" s="9"/>
      <c r="AC584" s="9"/>
      <c r="AD584" s="9"/>
      <c r="AJ584" s="2"/>
      <c r="AK584" s="2"/>
      <c r="AL584" s="2"/>
      <c r="AM584" s="2"/>
      <c r="AN584" s="9"/>
      <c r="AO584" s="9"/>
      <c r="AP584" s="9"/>
    </row>
    <row r="585" spans="17:42" x14ac:dyDescent="0.25">
      <c r="Q585" s="3"/>
      <c r="R585" s="3"/>
      <c r="AA585" s="9"/>
      <c r="AB585" s="9"/>
      <c r="AC585" s="9"/>
      <c r="AD585" s="9"/>
      <c r="AJ585" s="2"/>
      <c r="AK585" s="2"/>
      <c r="AL585" s="2"/>
      <c r="AM585" s="2"/>
      <c r="AN585" s="9"/>
      <c r="AO585" s="9"/>
      <c r="AP585" s="9"/>
    </row>
    <row r="586" spans="17:42" x14ac:dyDescent="0.25">
      <c r="Q586" s="3"/>
      <c r="R586" s="3"/>
      <c r="AA586" s="9"/>
      <c r="AB586" s="9"/>
      <c r="AC586" s="9"/>
      <c r="AD586" s="9"/>
      <c r="AJ586" s="2"/>
      <c r="AK586" s="2"/>
      <c r="AL586" s="2"/>
      <c r="AM586" s="2"/>
      <c r="AN586" s="9"/>
      <c r="AO586" s="9"/>
      <c r="AP586" s="9"/>
    </row>
    <row r="587" spans="17:42" x14ac:dyDescent="0.25">
      <c r="Q587" s="3"/>
      <c r="R587" s="3"/>
      <c r="AA587" s="9"/>
      <c r="AB587" s="9"/>
      <c r="AC587" s="9"/>
      <c r="AD587" s="9"/>
      <c r="AJ587" s="2"/>
      <c r="AK587" s="2"/>
      <c r="AL587" s="2"/>
      <c r="AM587" s="2"/>
      <c r="AN587" s="9"/>
      <c r="AO587" s="9"/>
      <c r="AP587" s="9"/>
    </row>
    <row r="588" spans="17:42" x14ac:dyDescent="0.25">
      <c r="Q588" s="3"/>
      <c r="R588" s="3"/>
      <c r="AA588" s="9"/>
      <c r="AB588" s="9"/>
      <c r="AC588" s="9"/>
      <c r="AD588" s="9"/>
      <c r="AJ588" s="2"/>
      <c r="AK588" s="2"/>
      <c r="AL588" s="2"/>
      <c r="AM588" s="2"/>
      <c r="AN588" s="9"/>
      <c r="AO588" s="9"/>
      <c r="AP588" s="9"/>
    </row>
    <row r="589" spans="17:42" x14ac:dyDescent="0.25">
      <c r="Q589" s="3"/>
      <c r="R589" s="3"/>
      <c r="AA589" s="9"/>
      <c r="AB589" s="9"/>
      <c r="AC589" s="9"/>
      <c r="AD589" s="9"/>
      <c r="AJ589" s="2"/>
      <c r="AK589" s="2"/>
      <c r="AL589" s="2"/>
      <c r="AM589" s="2"/>
      <c r="AN589" s="9"/>
      <c r="AO589" s="9"/>
      <c r="AP589" s="9"/>
    </row>
    <row r="590" spans="17:42" x14ac:dyDescent="0.25">
      <c r="Q590" s="3"/>
      <c r="R590" s="3"/>
      <c r="AA590" s="9"/>
      <c r="AB590" s="9"/>
      <c r="AC590" s="9"/>
      <c r="AD590" s="9"/>
      <c r="AJ590" s="2"/>
      <c r="AK590" s="2"/>
      <c r="AL590" s="2"/>
      <c r="AM590" s="2"/>
      <c r="AN590" s="9"/>
      <c r="AO590" s="9"/>
      <c r="AP590" s="9"/>
    </row>
    <row r="591" spans="17:42" x14ac:dyDescent="0.25">
      <c r="Q591" s="3"/>
      <c r="R591" s="3"/>
      <c r="AA591" s="9"/>
      <c r="AB591" s="9"/>
      <c r="AC591" s="9"/>
      <c r="AD591" s="9"/>
      <c r="AJ591" s="2"/>
      <c r="AK591" s="2"/>
      <c r="AL591" s="2"/>
      <c r="AM591" s="2"/>
      <c r="AN591" s="9"/>
      <c r="AO591" s="9"/>
      <c r="AP591" s="9"/>
    </row>
    <row r="592" spans="17:42" x14ac:dyDescent="0.25">
      <c r="Q592" s="3"/>
      <c r="R592" s="3"/>
      <c r="AA592" s="9"/>
      <c r="AB592" s="9"/>
      <c r="AC592" s="9"/>
      <c r="AD592" s="9"/>
      <c r="AJ592" s="2"/>
      <c r="AK592" s="2"/>
      <c r="AL592" s="2"/>
      <c r="AM592" s="2"/>
      <c r="AN592" s="9"/>
      <c r="AO592" s="9"/>
      <c r="AP592" s="9"/>
    </row>
    <row r="593" spans="17:42" x14ac:dyDescent="0.25">
      <c r="Q593" s="3"/>
      <c r="R593" s="3"/>
      <c r="AA593" s="9"/>
      <c r="AB593" s="9"/>
      <c r="AC593" s="9"/>
      <c r="AD593" s="9"/>
      <c r="AJ593" s="2"/>
      <c r="AK593" s="2"/>
      <c r="AL593" s="2"/>
      <c r="AM593" s="2"/>
      <c r="AN593" s="9"/>
      <c r="AO593" s="9"/>
      <c r="AP593" s="9"/>
    </row>
    <row r="594" spans="17:42" x14ac:dyDescent="0.25">
      <c r="Q594" s="3"/>
      <c r="R594" s="3"/>
      <c r="AA594" s="9"/>
      <c r="AB594" s="9"/>
      <c r="AC594" s="9"/>
      <c r="AD594" s="9"/>
      <c r="AJ594" s="2"/>
      <c r="AK594" s="2"/>
      <c r="AL594" s="2"/>
      <c r="AM594" s="2"/>
      <c r="AN594" s="9"/>
      <c r="AO594" s="9"/>
      <c r="AP594" s="9"/>
    </row>
    <row r="595" spans="17:42" x14ac:dyDescent="0.25">
      <c r="Q595" s="3"/>
      <c r="R595" s="3"/>
      <c r="AA595" s="9"/>
      <c r="AB595" s="9"/>
      <c r="AC595" s="9"/>
      <c r="AD595" s="9"/>
      <c r="AJ595" s="2"/>
      <c r="AK595" s="2"/>
      <c r="AL595" s="2"/>
      <c r="AM595" s="2"/>
      <c r="AN595" s="9"/>
      <c r="AO595" s="9"/>
      <c r="AP595" s="9"/>
    </row>
    <row r="596" spans="17:42" x14ac:dyDescent="0.25">
      <c r="Q596" s="3"/>
      <c r="R596" s="3"/>
      <c r="AA596" s="9"/>
      <c r="AB596" s="9"/>
      <c r="AC596" s="9"/>
      <c r="AD596" s="9"/>
      <c r="AJ596" s="2"/>
      <c r="AK596" s="2"/>
      <c r="AL596" s="2"/>
      <c r="AM596" s="2"/>
      <c r="AN596" s="9"/>
      <c r="AO596" s="9"/>
      <c r="AP596" s="9"/>
    </row>
    <row r="597" spans="17:42" x14ac:dyDescent="0.25">
      <c r="Q597" s="3"/>
      <c r="R597" s="3"/>
      <c r="AA597" s="9"/>
      <c r="AB597" s="9"/>
      <c r="AC597" s="9"/>
      <c r="AD597" s="9"/>
      <c r="AJ597" s="2"/>
      <c r="AK597" s="2"/>
      <c r="AL597" s="2"/>
      <c r="AM597" s="2"/>
      <c r="AN597" s="9"/>
      <c r="AO597" s="9"/>
      <c r="AP597" s="9"/>
    </row>
    <row r="598" spans="17:42" x14ac:dyDescent="0.25">
      <c r="Q598" s="3"/>
      <c r="R598" s="3"/>
      <c r="AA598" s="9"/>
      <c r="AB598" s="9"/>
      <c r="AC598" s="9"/>
      <c r="AD598" s="9"/>
      <c r="AJ598" s="2"/>
      <c r="AK598" s="2"/>
      <c r="AL598" s="2"/>
      <c r="AM598" s="2"/>
      <c r="AN598" s="9"/>
      <c r="AO598" s="9"/>
      <c r="AP598" s="9"/>
    </row>
    <row r="599" spans="17:42" x14ac:dyDescent="0.25">
      <c r="Q599" s="3"/>
      <c r="R599" s="3"/>
      <c r="AA599" s="9"/>
      <c r="AB599" s="9"/>
      <c r="AC599" s="9"/>
      <c r="AD599" s="9"/>
      <c r="AJ599" s="2"/>
      <c r="AK599" s="2"/>
      <c r="AL599" s="2"/>
      <c r="AM599" s="2"/>
      <c r="AN599" s="9"/>
      <c r="AO599" s="9"/>
      <c r="AP599" s="9"/>
    </row>
    <row r="600" spans="17:42" x14ac:dyDescent="0.25">
      <c r="Q600" s="3"/>
      <c r="R600" s="3"/>
      <c r="AA600" s="9"/>
      <c r="AB600" s="9"/>
      <c r="AC600" s="9"/>
      <c r="AD600" s="9"/>
      <c r="AJ600" s="2"/>
      <c r="AK600" s="2"/>
      <c r="AL600" s="2"/>
      <c r="AM600" s="2"/>
      <c r="AN600" s="9"/>
      <c r="AO600" s="9"/>
      <c r="AP600" s="9"/>
    </row>
    <row r="601" spans="17:42" x14ac:dyDescent="0.25">
      <c r="Q601" s="3"/>
      <c r="R601" s="3"/>
      <c r="AA601" s="9"/>
      <c r="AB601" s="9"/>
      <c r="AC601" s="9"/>
      <c r="AD601" s="9"/>
      <c r="AJ601" s="2"/>
      <c r="AK601" s="2"/>
      <c r="AL601" s="2"/>
      <c r="AM601" s="2"/>
      <c r="AN601" s="9"/>
      <c r="AO601" s="9"/>
      <c r="AP601" s="9"/>
    </row>
    <row r="602" spans="17:42" x14ac:dyDescent="0.25">
      <c r="Q602" s="3"/>
      <c r="R602" s="3"/>
      <c r="AA602" s="9"/>
      <c r="AB602" s="9"/>
      <c r="AC602" s="9"/>
      <c r="AD602" s="9"/>
      <c r="AJ602" s="2"/>
      <c r="AK602" s="2"/>
      <c r="AL602" s="2"/>
      <c r="AM602" s="2"/>
      <c r="AN602" s="9"/>
      <c r="AO602" s="9"/>
      <c r="AP602" s="9"/>
    </row>
    <row r="603" spans="17:42" x14ac:dyDescent="0.25">
      <c r="Q603" s="3"/>
      <c r="R603" s="3"/>
      <c r="AA603" s="9"/>
      <c r="AB603" s="9"/>
      <c r="AC603" s="9"/>
      <c r="AD603" s="9"/>
      <c r="AJ603" s="2"/>
      <c r="AK603" s="2"/>
      <c r="AL603" s="2"/>
      <c r="AM603" s="2"/>
      <c r="AN603" s="9"/>
      <c r="AO603" s="9"/>
      <c r="AP603" s="9"/>
    </row>
    <row r="604" spans="17:42" x14ac:dyDescent="0.25">
      <c r="Q604" s="3"/>
      <c r="R604" s="3"/>
      <c r="AA604" s="9"/>
      <c r="AB604" s="9"/>
      <c r="AC604" s="9"/>
      <c r="AD604" s="9"/>
      <c r="AJ604" s="2"/>
      <c r="AK604" s="2"/>
      <c r="AL604" s="2"/>
      <c r="AM604" s="2"/>
      <c r="AN604" s="9"/>
      <c r="AO604" s="9"/>
      <c r="AP604" s="9"/>
    </row>
    <row r="605" spans="17:42" x14ac:dyDescent="0.25">
      <c r="Q605" s="3"/>
      <c r="R605" s="3"/>
      <c r="AA605" s="9"/>
      <c r="AB605" s="9"/>
      <c r="AC605" s="9"/>
      <c r="AD605" s="9"/>
      <c r="AJ605" s="2"/>
      <c r="AK605" s="2"/>
      <c r="AL605" s="2"/>
      <c r="AM605" s="2"/>
      <c r="AN605" s="9"/>
      <c r="AO605" s="9"/>
      <c r="AP605" s="9"/>
    </row>
    <row r="606" spans="17:42" x14ac:dyDescent="0.25">
      <c r="Q606" s="3"/>
      <c r="R606" s="3"/>
      <c r="AA606" s="9"/>
      <c r="AB606" s="9"/>
      <c r="AC606" s="9"/>
      <c r="AD606" s="9"/>
      <c r="AJ606" s="2"/>
      <c r="AK606" s="2"/>
      <c r="AL606" s="2"/>
      <c r="AM606" s="2"/>
      <c r="AN606" s="9"/>
      <c r="AO606" s="9"/>
      <c r="AP606" s="9"/>
    </row>
    <row r="607" spans="17:42" x14ac:dyDescent="0.25">
      <c r="Q607" s="3"/>
      <c r="R607" s="3"/>
      <c r="AA607" s="9"/>
      <c r="AB607" s="9"/>
      <c r="AC607" s="9"/>
      <c r="AD607" s="9"/>
      <c r="AJ607" s="2"/>
      <c r="AK607" s="2"/>
      <c r="AL607" s="2"/>
      <c r="AM607" s="2"/>
      <c r="AN607" s="9"/>
      <c r="AO607" s="9"/>
      <c r="AP607" s="9"/>
    </row>
    <row r="608" spans="17:42" x14ac:dyDescent="0.25">
      <c r="Q608" s="3"/>
      <c r="R608" s="3"/>
      <c r="AA608" s="9"/>
      <c r="AB608" s="9"/>
      <c r="AC608" s="9"/>
      <c r="AD608" s="9"/>
      <c r="AJ608" s="2"/>
      <c r="AK608" s="2"/>
      <c r="AL608" s="2"/>
      <c r="AM608" s="2"/>
      <c r="AN608" s="9"/>
      <c r="AO608" s="9"/>
      <c r="AP608" s="9"/>
    </row>
    <row r="609" spans="17:42" x14ac:dyDescent="0.25">
      <c r="Q609" s="3"/>
      <c r="R609" s="3"/>
      <c r="AA609" s="9"/>
      <c r="AB609" s="9"/>
      <c r="AC609" s="9"/>
      <c r="AD609" s="9"/>
      <c r="AJ609" s="2"/>
      <c r="AK609" s="2"/>
      <c r="AL609" s="2"/>
      <c r="AM609" s="2"/>
      <c r="AN609" s="9"/>
      <c r="AO609" s="9"/>
      <c r="AP609" s="9"/>
    </row>
    <row r="610" spans="17:42" x14ac:dyDescent="0.25">
      <c r="Q610" s="3"/>
      <c r="R610" s="3"/>
      <c r="AA610" s="9"/>
      <c r="AB610" s="9"/>
      <c r="AC610" s="9"/>
      <c r="AD610" s="9"/>
      <c r="AJ610" s="2"/>
      <c r="AK610" s="2"/>
      <c r="AL610" s="2"/>
      <c r="AM610" s="2"/>
      <c r="AN610" s="9"/>
      <c r="AO610" s="9"/>
      <c r="AP610" s="9"/>
    </row>
    <row r="611" spans="17:42" x14ac:dyDescent="0.25">
      <c r="Q611" s="3"/>
      <c r="R611" s="3"/>
      <c r="AA611" s="9"/>
      <c r="AB611" s="9"/>
      <c r="AC611" s="9"/>
      <c r="AD611" s="9"/>
      <c r="AJ611" s="2"/>
      <c r="AK611" s="2"/>
      <c r="AL611" s="2"/>
      <c r="AM611" s="2"/>
      <c r="AN611" s="9"/>
      <c r="AO611" s="9"/>
      <c r="AP611" s="9"/>
    </row>
    <row r="612" spans="17:42" x14ac:dyDescent="0.25">
      <c r="Q612" s="3"/>
      <c r="R612" s="3"/>
      <c r="AA612" s="9"/>
      <c r="AB612" s="9"/>
      <c r="AC612" s="9"/>
      <c r="AD612" s="9"/>
      <c r="AJ612" s="2"/>
      <c r="AK612" s="2"/>
      <c r="AL612" s="2"/>
      <c r="AM612" s="2"/>
      <c r="AN612" s="9"/>
      <c r="AO612" s="9"/>
      <c r="AP612" s="9"/>
    </row>
    <row r="613" spans="17:42" x14ac:dyDescent="0.25">
      <c r="Q613" s="3"/>
      <c r="R613" s="3"/>
      <c r="AA613" s="9"/>
      <c r="AB613" s="9"/>
      <c r="AC613" s="9"/>
      <c r="AD613" s="9"/>
      <c r="AJ613" s="2"/>
      <c r="AK613" s="2"/>
      <c r="AL613" s="2"/>
      <c r="AM613" s="2"/>
      <c r="AN613" s="9"/>
      <c r="AO613" s="9"/>
      <c r="AP613" s="9"/>
    </row>
    <row r="614" spans="17:42" x14ac:dyDescent="0.25">
      <c r="Q614" s="3"/>
      <c r="R614" s="3"/>
      <c r="AA614" s="9"/>
      <c r="AB614" s="9"/>
      <c r="AC614" s="9"/>
      <c r="AD614" s="9"/>
      <c r="AJ614" s="2"/>
      <c r="AK614" s="2"/>
      <c r="AL614" s="2"/>
      <c r="AM614" s="2"/>
      <c r="AN614" s="9"/>
      <c r="AO614" s="9"/>
      <c r="AP614" s="9"/>
    </row>
    <row r="615" spans="17:42" x14ac:dyDescent="0.25">
      <c r="Q615" s="3"/>
      <c r="R615" s="3"/>
      <c r="AA615" s="9"/>
      <c r="AB615" s="9"/>
      <c r="AC615" s="9"/>
      <c r="AD615" s="9"/>
      <c r="AJ615" s="2"/>
      <c r="AK615" s="2"/>
      <c r="AL615" s="2"/>
      <c r="AM615" s="2"/>
      <c r="AN615" s="9"/>
      <c r="AO615" s="9"/>
      <c r="AP615" s="9"/>
    </row>
    <row r="616" spans="17:42" x14ac:dyDescent="0.25">
      <c r="Q616" s="3"/>
      <c r="R616" s="3"/>
      <c r="AA616" s="9"/>
      <c r="AB616" s="9"/>
      <c r="AC616" s="9"/>
      <c r="AD616" s="9"/>
      <c r="AJ616" s="2"/>
      <c r="AK616" s="2"/>
      <c r="AL616" s="2"/>
      <c r="AM616" s="2"/>
      <c r="AN616" s="9"/>
      <c r="AO616" s="9"/>
      <c r="AP616" s="9"/>
    </row>
    <row r="617" spans="17:42" x14ac:dyDescent="0.25">
      <c r="Q617" s="3"/>
      <c r="R617" s="3"/>
      <c r="AA617" s="9"/>
      <c r="AB617" s="9"/>
      <c r="AC617" s="9"/>
      <c r="AD617" s="9"/>
      <c r="AJ617" s="2"/>
      <c r="AK617" s="2"/>
      <c r="AL617" s="2"/>
      <c r="AM617" s="2"/>
      <c r="AN617" s="9"/>
      <c r="AO617" s="9"/>
      <c r="AP617" s="9"/>
    </row>
    <row r="618" spans="17:42" x14ac:dyDescent="0.25">
      <c r="Q618" s="3"/>
      <c r="R618" s="3"/>
      <c r="AA618" s="9"/>
      <c r="AB618" s="9"/>
      <c r="AC618" s="9"/>
      <c r="AD618" s="9"/>
      <c r="AJ618" s="2"/>
      <c r="AK618" s="2"/>
      <c r="AL618" s="2"/>
      <c r="AM618" s="2"/>
      <c r="AN618" s="9"/>
      <c r="AO618" s="9"/>
      <c r="AP618" s="9"/>
    </row>
    <row r="619" spans="17:42" x14ac:dyDescent="0.25">
      <c r="Q619" s="3"/>
      <c r="R619" s="3"/>
      <c r="AA619" s="9"/>
      <c r="AB619" s="9"/>
      <c r="AC619" s="9"/>
      <c r="AD619" s="9"/>
      <c r="AJ619" s="2"/>
      <c r="AK619" s="2"/>
      <c r="AL619" s="2"/>
      <c r="AM619" s="2"/>
      <c r="AN619" s="9"/>
      <c r="AO619" s="9"/>
      <c r="AP619" s="9"/>
    </row>
    <row r="620" spans="17:42" x14ac:dyDescent="0.25">
      <c r="Q620" s="3"/>
      <c r="R620" s="3"/>
      <c r="AA620" s="9"/>
      <c r="AB620" s="9"/>
      <c r="AC620" s="9"/>
      <c r="AD620" s="9"/>
      <c r="AJ620" s="2"/>
      <c r="AK620" s="2"/>
      <c r="AL620" s="2"/>
      <c r="AM620" s="2"/>
      <c r="AN620" s="9"/>
      <c r="AO620" s="9"/>
      <c r="AP620" s="9"/>
    </row>
    <row r="621" spans="17:42" x14ac:dyDescent="0.25">
      <c r="Q621" s="3"/>
      <c r="R621" s="3"/>
      <c r="AA621" s="9"/>
      <c r="AB621" s="9"/>
      <c r="AC621" s="9"/>
      <c r="AD621" s="9"/>
      <c r="AJ621" s="2"/>
      <c r="AK621" s="2"/>
      <c r="AL621" s="2"/>
      <c r="AM621" s="2"/>
      <c r="AN621" s="9"/>
      <c r="AO621" s="9"/>
      <c r="AP621" s="9"/>
    </row>
    <row r="622" spans="17:42" x14ac:dyDescent="0.25">
      <c r="Q622" s="3"/>
      <c r="R622" s="3"/>
      <c r="AA622" s="9"/>
      <c r="AB622" s="9"/>
      <c r="AC622" s="9"/>
      <c r="AD622" s="9"/>
      <c r="AJ622" s="2"/>
      <c r="AK622" s="2"/>
      <c r="AL622" s="2"/>
      <c r="AM622" s="2"/>
      <c r="AN622" s="9"/>
      <c r="AO622" s="9"/>
      <c r="AP622" s="9"/>
    </row>
    <row r="623" spans="17:42" x14ac:dyDescent="0.25">
      <c r="Q623" s="3"/>
      <c r="R623" s="3"/>
      <c r="AA623" s="9"/>
      <c r="AB623" s="9"/>
      <c r="AC623" s="9"/>
      <c r="AD623" s="9"/>
      <c r="AJ623" s="2"/>
      <c r="AK623" s="2"/>
      <c r="AL623" s="2"/>
      <c r="AM623" s="2"/>
      <c r="AN623" s="9"/>
      <c r="AO623" s="9"/>
      <c r="AP623" s="9"/>
    </row>
    <row r="624" spans="17:42" x14ac:dyDescent="0.25">
      <c r="Q624" s="3"/>
      <c r="R624" s="3"/>
      <c r="AA624" s="9"/>
      <c r="AB624" s="9"/>
      <c r="AC624" s="9"/>
      <c r="AD624" s="9"/>
      <c r="AJ624" s="2"/>
      <c r="AK624" s="2"/>
      <c r="AL624" s="2"/>
      <c r="AM624" s="2"/>
      <c r="AN624" s="9"/>
      <c r="AO624" s="9"/>
      <c r="AP624" s="9"/>
    </row>
    <row r="625" spans="17:42" x14ac:dyDescent="0.25">
      <c r="Q625" s="3"/>
      <c r="R625" s="3"/>
      <c r="AA625" s="9"/>
      <c r="AB625" s="9"/>
      <c r="AC625" s="9"/>
      <c r="AD625" s="9"/>
      <c r="AJ625" s="2"/>
      <c r="AK625" s="2"/>
      <c r="AL625" s="2"/>
      <c r="AM625" s="2"/>
      <c r="AN625" s="9"/>
      <c r="AO625" s="9"/>
      <c r="AP625" s="9"/>
    </row>
    <row r="626" spans="17:42" x14ac:dyDescent="0.25">
      <c r="Q626" s="3"/>
      <c r="R626" s="3"/>
      <c r="AA626" s="9"/>
      <c r="AB626" s="9"/>
      <c r="AC626" s="9"/>
      <c r="AD626" s="9"/>
      <c r="AJ626" s="2"/>
      <c r="AK626" s="2"/>
      <c r="AL626" s="2"/>
      <c r="AM626" s="2"/>
      <c r="AN626" s="9"/>
      <c r="AO626" s="9"/>
      <c r="AP626" s="9"/>
    </row>
    <row r="627" spans="17:42" x14ac:dyDescent="0.25">
      <c r="Q627" s="3"/>
      <c r="R627" s="3"/>
      <c r="AA627" s="9"/>
      <c r="AB627" s="9"/>
      <c r="AC627" s="9"/>
      <c r="AD627" s="9"/>
      <c r="AJ627" s="2"/>
      <c r="AK627" s="2"/>
      <c r="AL627" s="2"/>
      <c r="AM627" s="2"/>
      <c r="AN627" s="9"/>
      <c r="AO627" s="9"/>
      <c r="AP627" s="9"/>
    </row>
    <row r="628" spans="17:42" x14ac:dyDescent="0.25">
      <c r="Q628" s="3"/>
      <c r="R628" s="3"/>
      <c r="AA628" s="9"/>
      <c r="AB628" s="9"/>
      <c r="AC628" s="9"/>
      <c r="AD628" s="9"/>
      <c r="AJ628" s="2"/>
      <c r="AK628" s="2"/>
      <c r="AL628" s="2"/>
      <c r="AM628" s="2"/>
      <c r="AN628" s="9"/>
      <c r="AO628" s="9"/>
      <c r="AP628" s="9"/>
    </row>
    <row r="629" spans="17:42" x14ac:dyDescent="0.25">
      <c r="Q629" s="3"/>
      <c r="R629" s="3"/>
      <c r="AA629" s="9"/>
      <c r="AB629" s="9"/>
      <c r="AC629" s="9"/>
      <c r="AD629" s="9"/>
      <c r="AJ629" s="2"/>
      <c r="AK629" s="2"/>
      <c r="AL629" s="2"/>
      <c r="AM629" s="2"/>
      <c r="AN629" s="9"/>
      <c r="AO629" s="9"/>
      <c r="AP629" s="9"/>
    </row>
    <row r="630" spans="17:42" x14ac:dyDescent="0.25">
      <c r="Q630" s="3"/>
      <c r="R630" s="3"/>
      <c r="AA630" s="9"/>
      <c r="AB630" s="9"/>
      <c r="AC630" s="9"/>
      <c r="AD630" s="9"/>
      <c r="AJ630" s="2"/>
      <c r="AK630" s="2"/>
      <c r="AL630" s="2"/>
      <c r="AM630" s="2"/>
      <c r="AN630" s="9"/>
      <c r="AO630" s="9"/>
      <c r="AP630" s="9"/>
    </row>
    <row r="631" spans="17:42" x14ac:dyDescent="0.25">
      <c r="Q631" s="3"/>
      <c r="R631" s="3"/>
      <c r="AA631" s="9"/>
      <c r="AB631" s="9"/>
      <c r="AC631" s="9"/>
      <c r="AD631" s="9"/>
      <c r="AJ631" s="2"/>
      <c r="AK631" s="2"/>
      <c r="AL631" s="2"/>
      <c r="AM631" s="2"/>
      <c r="AN631" s="9"/>
      <c r="AO631" s="9"/>
      <c r="AP631" s="9"/>
    </row>
    <row r="632" spans="17:42" x14ac:dyDescent="0.25">
      <c r="Q632" s="3"/>
      <c r="R632" s="3"/>
      <c r="AA632" s="9"/>
      <c r="AB632" s="9"/>
      <c r="AC632" s="9"/>
      <c r="AD632" s="9"/>
      <c r="AJ632" s="2"/>
      <c r="AK632" s="2"/>
      <c r="AL632" s="2"/>
      <c r="AM632" s="2"/>
      <c r="AN632" s="9"/>
      <c r="AO632" s="9"/>
      <c r="AP632" s="9"/>
    </row>
    <row r="633" spans="17:42" x14ac:dyDescent="0.25">
      <c r="Q633" s="3"/>
      <c r="R633" s="3"/>
    </row>
    <row r="634" spans="17:42" x14ac:dyDescent="0.25">
      <c r="Q634" s="3"/>
      <c r="R634" s="3"/>
    </row>
    <row r="635" spans="17:42" x14ac:dyDescent="0.25">
      <c r="Q635" s="3"/>
      <c r="R635" s="3"/>
    </row>
    <row r="636" spans="17:42" x14ac:dyDescent="0.25">
      <c r="Q636" s="3"/>
      <c r="R636" s="3"/>
    </row>
    <row r="637" spans="17:42" x14ac:dyDescent="0.25">
      <c r="Q637" s="3"/>
      <c r="R637" s="3"/>
    </row>
    <row r="638" spans="17:42" x14ac:dyDescent="0.25">
      <c r="Q638" s="3"/>
      <c r="R638" s="3"/>
    </row>
    <row r="639" spans="17:42" x14ac:dyDescent="0.25">
      <c r="Q639" s="3"/>
      <c r="R639" s="3"/>
    </row>
    <row r="640" spans="17:42" x14ac:dyDescent="0.25">
      <c r="Q640" s="3"/>
      <c r="R640" s="3"/>
    </row>
    <row r="641" spans="17:18" x14ac:dyDescent="0.25">
      <c r="Q641" s="3"/>
      <c r="R641" s="3"/>
    </row>
    <row r="642" spans="17:18" x14ac:dyDescent="0.25">
      <c r="Q642" s="3"/>
      <c r="R642" s="3"/>
    </row>
    <row r="643" spans="17:18" x14ac:dyDescent="0.25">
      <c r="Q643" s="3"/>
      <c r="R643" s="3"/>
    </row>
    <row r="644" spans="17:18" x14ac:dyDescent="0.25">
      <c r="Q644" s="3"/>
      <c r="R644" s="3"/>
    </row>
    <row r="645" spans="17:18" x14ac:dyDescent="0.25">
      <c r="Q645" s="3"/>
      <c r="R645" s="3"/>
    </row>
    <row r="646" spans="17:18" x14ac:dyDescent="0.25">
      <c r="Q646" s="3"/>
      <c r="R646" s="3"/>
    </row>
    <row r="647" spans="17:18" x14ac:dyDescent="0.25">
      <c r="Q647" s="3"/>
      <c r="R647" s="3"/>
    </row>
    <row r="648" spans="17:18" x14ac:dyDescent="0.25">
      <c r="Q648" s="3"/>
      <c r="R648" s="3"/>
    </row>
    <row r="649" spans="17:18" x14ac:dyDescent="0.25">
      <c r="Q649" s="3"/>
      <c r="R649" s="3"/>
    </row>
    <row r="650" spans="17:18" x14ac:dyDescent="0.25">
      <c r="Q650" s="3"/>
      <c r="R650" s="3"/>
    </row>
    <row r="651" spans="17:18" x14ac:dyDescent="0.25">
      <c r="Q651" s="3"/>
      <c r="R651" s="3"/>
    </row>
    <row r="652" spans="17:18" x14ac:dyDescent="0.25">
      <c r="Q652" s="3"/>
      <c r="R652" s="3"/>
    </row>
    <row r="653" spans="17:18" x14ac:dyDescent="0.25">
      <c r="Q653" s="3"/>
      <c r="R653" s="3"/>
    </row>
    <row r="654" spans="17:18" x14ac:dyDescent="0.25">
      <c r="Q654" s="3"/>
      <c r="R654" s="3"/>
    </row>
    <row r="655" spans="17:18" x14ac:dyDescent="0.25">
      <c r="Q655" s="3"/>
      <c r="R655" s="3"/>
    </row>
    <row r="656" spans="17:18" x14ac:dyDescent="0.25">
      <c r="Q656" s="3"/>
      <c r="R656" s="3"/>
    </row>
    <row r="657" spans="17:18" x14ac:dyDescent="0.25">
      <c r="Q657" s="3"/>
      <c r="R657" s="3"/>
    </row>
    <row r="658" spans="17:18" x14ac:dyDescent="0.25">
      <c r="Q658" s="3"/>
      <c r="R658" s="3"/>
    </row>
    <row r="659" spans="17:18" x14ac:dyDescent="0.25">
      <c r="Q659" s="3"/>
      <c r="R659" s="3"/>
    </row>
    <row r="660" spans="17:18" x14ac:dyDescent="0.25">
      <c r="Q660" s="3"/>
      <c r="R660" s="3"/>
    </row>
    <row r="661" spans="17:18" x14ac:dyDescent="0.25">
      <c r="Q661" s="3"/>
      <c r="R661" s="3"/>
    </row>
    <row r="662" spans="17:18" x14ac:dyDescent="0.25">
      <c r="Q662" s="3"/>
      <c r="R662" s="3"/>
    </row>
    <row r="663" spans="17:18" x14ac:dyDescent="0.25">
      <c r="Q663" s="3"/>
      <c r="R663" s="3"/>
    </row>
    <row r="664" spans="17:18" x14ac:dyDescent="0.25">
      <c r="Q664" s="3"/>
      <c r="R664" s="3"/>
    </row>
    <row r="665" spans="17:18" x14ac:dyDescent="0.25">
      <c r="Q665" s="3"/>
      <c r="R665" s="3"/>
    </row>
    <row r="666" spans="17:18" x14ac:dyDescent="0.25">
      <c r="Q666" s="3"/>
      <c r="R666" s="3"/>
    </row>
    <row r="667" spans="17:18" x14ac:dyDescent="0.25">
      <c r="Q667" s="3"/>
      <c r="R667" s="3"/>
    </row>
    <row r="668" spans="17:18" x14ac:dyDescent="0.25">
      <c r="Q668" s="3"/>
      <c r="R668" s="3"/>
    </row>
    <row r="669" spans="17:18" x14ac:dyDescent="0.25">
      <c r="Q669" s="3"/>
      <c r="R669" s="3"/>
    </row>
    <row r="670" spans="17:18" x14ac:dyDescent="0.25">
      <c r="Q670" s="3"/>
      <c r="R670" s="3"/>
    </row>
    <row r="671" spans="17:18" x14ac:dyDescent="0.25">
      <c r="Q671" s="3"/>
      <c r="R671" s="3"/>
    </row>
    <row r="672" spans="17:18" x14ac:dyDescent="0.25">
      <c r="Q672" s="3"/>
      <c r="R672" s="3"/>
    </row>
    <row r="673" spans="17:18" x14ac:dyDescent="0.25">
      <c r="Q673" s="3"/>
      <c r="R673" s="3"/>
    </row>
    <row r="674" spans="17:18" x14ac:dyDescent="0.25">
      <c r="Q674" s="3"/>
      <c r="R674" s="3"/>
    </row>
    <row r="675" spans="17:18" x14ac:dyDescent="0.25">
      <c r="Q675" s="3"/>
      <c r="R675" s="3"/>
    </row>
    <row r="676" spans="17:18" x14ac:dyDescent="0.25">
      <c r="Q676" s="3"/>
      <c r="R676" s="3"/>
    </row>
    <row r="677" spans="17:18" x14ac:dyDescent="0.25">
      <c r="Q677" s="3"/>
      <c r="R677" s="3"/>
    </row>
    <row r="678" spans="17:18" x14ac:dyDescent="0.25">
      <c r="Q678" s="3"/>
      <c r="R678" s="3"/>
    </row>
    <row r="679" spans="17:18" x14ac:dyDescent="0.25">
      <c r="Q679" s="3"/>
      <c r="R679" s="3"/>
    </row>
    <row r="680" spans="17:18" x14ac:dyDescent="0.25">
      <c r="Q680" s="3"/>
      <c r="R680" s="3"/>
    </row>
    <row r="681" spans="17:18" x14ac:dyDescent="0.25">
      <c r="Q681" s="3"/>
      <c r="R681" s="3"/>
    </row>
    <row r="682" spans="17:18" x14ac:dyDescent="0.25">
      <c r="Q682" s="3"/>
      <c r="R682" s="3"/>
    </row>
    <row r="683" spans="17:18" x14ac:dyDescent="0.25">
      <c r="Q683" s="3"/>
      <c r="R683" s="3"/>
    </row>
    <row r="684" spans="17:18" x14ac:dyDescent="0.25">
      <c r="Q684" s="3"/>
      <c r="R684" s="3"/>
    </row>
    <row r="685" spans="17:18" x14ac:dyDescent="0.25">
      <c r="Q685" s="3"/>
      <c r="R685" s="3"/>
    </row>
    <row r="686" spans="17:18" x14ac:dyDescent="0.25">
      <c r="Q686" s="3"/>
      <c r="R686" s="3"/>
    </row>
    <row r="687" spans="17:18" x14ac:dyDescent="0.25">
      <c r="Q687" s="3"/>
      <c r="R687" s="3"/>
    </row>
    <row r="688" spans="17:18" x14ac:dyDescent="0.25">
      <c r="Q688" s="3"/>
      <c r="R688" s="3"/>
    </row>
    <row r="689" spans="17:18" x14ac:dyDescent="0.25">
      <c r="Q689" s="3"/>
      <c r="R689" s="3"/>
    </row>
    <row r="690" spans="17:18" x14ac:dyDescent="0.25">
      <c r="Q690" s="3"/>
      <c r="R690" s="3"/>
    </row>
    <row r="691" spans="17:18" x14ac:dyDescent="0.25">
      <c r="Q691" s="3"/>
      <c r="R691" s="3"/>
    </row>
    <row r="692" spans="17:18" x14ac:dyDescent="0.25">
      <c r="Q692" s="3"/>
      <c r="R692" s="3"/>
    </row>
    <row r="693" spans="17:18" x14ac:dyDescent="0.25">
      <c r="Q693" s="3"/>
      <c r="R693" s="3"/>
    </row>
    <row r="694" spans="17:18" x14ac:dyDescent="0.25">
      <c r="Q694" s="3"/>
      <c r="R694" s="3"/>
    </row>
    <row r="695" spans="17:18" x14ac:dyDescent="0.25">
      <c r="Q695" s="3"/>
      <c r="R695" s="3"/>
    </row>
    <row r="696" spans="17:18" x14ac:dyDescent="0.25">
      <c r="Q696" s="3"/>
      <c r="R696" s="3"/>
    </row>
    <row r="697" spans="17:18" x14ac:dyDescent="0.25">
      <c r="Q697" s="3"/>
      <c r="R697" s="3"/>
    </row>
    <row r="698" spans="17:18" x14ac:dyDescent="0.25">
      <c r="Q698" s="3"/>
      <c r="R698" s="3"/>
    </row>
    <row r="699" spans="17:18" x14ac:dyDescent="0.25">
      <c r="Q699" s="3"/>
      <c r="R699" s="3"/>
    </row>
    <row r="700" spans="17:18" x14ac:dyDescent="0.25">
      <c r="Q700" s="3"/>
      <c r="R700" s="3"/>
    </row>
    <row r="701" spans="17:18" x14ac:dyDescent="0.25">
      <c r="Q701" s="3"/>
      <c r="R701" s="3"/>
    </row>
    <row r="702" spans="17:18" x14ac:dyDescent="0.25">
      <c r="Q702" s="3"/>
      <c r="R702" s="3"/>
    </row>
    <row r="703" spans="17:18" x14ac:dyDescent="0.25">
      <c r="Q703" s="3"/>
      <c r="R703" s="3"/>
    </row>
    <row r="704" spans="17:18" x14ac:dyDescent="0.25">
      <c r="Q704" s="3"/>
      <c r="R704" s="3"/>
    </row>
    <row r="705" spans="17:18" x14ac:dyDescent="0.25">
      <c r="Q705" s="3"/>
      <c r="R705" s="3"/>
    </row>
    <row r="706" spans="17:18" x14ac:dyDescent="0.25">
      <c r="Q706" s="3"/>
      <c r="R706" s="3"/>
    </row>
    <row r="707" spans="17:18" x14ac:dyDescent="0.25">
      <c r="Q707" s="3"/>
      <c r="R707" s="3"/>
    </row>
    <row r="708" spans="17:18" x14ac:dyDescent="0.25">
      <c r="Q708" s="3"/>
      <c r="R708" s="3"/>
    </row>
    <row r="709" spans="17:18" x14ac:dyDescent="0.25">
      <c r="Q709" s="3"/>
      <c r="R709" s="3"/>
    </row>
    <row r="710" spans="17:18" x14ac:dyDescent="0.25">
      <c r="Q710" s="3"/>
      <c r="R710" s="3"/>
    </row>
    <row r="711" spans="17:18" x14ac:dyDescent="0.25">
      <c r="Q711" s="3"/>
      <c r="R711" s="3"/>
    </row>
    <row r="712" spans="17:18" x14ac:dyDescent="0.25">
      <c r="Q712" s="3"/>
      <c r="R712" s="3"/>
    </row>
    <row r="713" spans="17:18" x14ac:dyDescent="0.25">
      <c r="Q713" s="3"/>
      <c r="R713" s="3"/>
    </row>
    <row r="714" spans="17:18" x14ac:dyDescent="0.25">
      <c r="Q714" s="3"/>
      <c r="R714" s="3"/>
    </row>
    <row r="715" spans="17:18" x14ac:dyDescent="0.25">
      <c r="Q715" s="3"/>
      <c r="R715" s="3"/>
    </row>
    <row r="716" spans="17:18" x14ac:dyDescent="0.25">
      <c r="Q716" s="3"/>
      <c r="R716" s="3"/>
    </row>
    <row r="717" spans="17:18" x14ac:dyDescent="0.25">
      <c r="Q717" s="3"/>
      <c r="R717" s="3"/>
    </row>
    <row r="718" spans="17:18" x14ac:dyDescent="0.25">
      <c r="Q718" s="3"/>
      <c r="R718" s="3"/>
    </row>
    <row r="719" spans="17:18" x14ac:dyDescent="0.25">
      <c r="Q719" s="3"/>
      <c r="R719" s="3"/>
    </row>
    <row r="720" spans="17:18" x14ac:dyDescent="0.25">
      <c r="Q720" s="3"/>
      <c r="R720" s="3"/>
    </row>
    <row r="721" spans="17:18" x14ac:dyDescent="0.25">
      <c r="Q721" s="3"/>
      <c r="R721" s="3"/>
    </row>
    <row r="722" spans="17:18" x14ac:dyDescent="0.25">
      <c r="Q722" s="3"/>
      <c r="R722" s="3"/>
    </row>
    <row r="723" spans="17:18" x14ac:dyDescent="0.25">
      <c r="Q723" s="3"/>
      <c r="R723" s="3"/>
    </row>
    <row r="724" spans="17:18" x14ac:dyDescent="0.25">
      <c r="Q724" s="3"/>
      <c r="R724" s="3"/>
    </row>
    <row r="725" spans="17:18" x14ac:dyDescent="0.25">
      <c r="Q725" s="3"/>
      <c r="R725" s="3"/>
    </row>
    <row r="726" spans="17:18" x14ac:dyDescent="0.25">
      <c r="Q726" s="3"/>
      <c r="R726" s="3"/>
    </row>
    <row r="727" spans="17:18" x14ac:dyDescent="0.25">
      <c r="Q727" s="3"/>
      <c r="R727" s="3"/>
    </row>
    <row r="728" spans="17:18" x14ac:dyDescent="0.25">
      <c r="Q728" s="3"/>
      <c r="R728" s="3"/>
    </row>
    <row r="729" spans="17:18" x14ac:dyDescent="0.25">
      <c r="Q729" s="3"/>
      <c r="R729" s="3"/>
    </row>
    <row r="730" spans="17:18" x14ac:dyDescent="0.25">
      <c r="Q730" s="3"/>
      <c r="R730" s="3"/>
    </row>
    <row r="731" spans="17:18" x14ac:dyDescent="0.25">
      <c r="Q731" s="3"/>
      <c r="R731" s="3"/>
    </row>
    <row r="732" spans="17:18" x14ac:dyDescent="0.25">
      <c r="Q732" s="3"/>
      <c r="R732" s="3"/>
    </row>
    <row r="733" spans="17:18" x14ac:dyDescent="0.25">
      <c r="Q733" s="3"/>
      <c r="R733" s="3"/>
    </row>
    <row r="734" spans="17:18" x14ac:dyDescent="0.25">
      <c r="Q734" s="3"/>
      <c r="R734" s="3"/>
    </row>
    <row r="735" spans="17:18" x14ac:dyDescent="0.25">
      <c r="Q735" s="3"/>
      <c r="R735" s="3"/>
    </row>
    <row r="736" spans="17:18" x14ac:dyDescent="0.25">
      <c r="Q736" s="3"/>
      <c r="R736" s="3"/>
    </row>
    <row r="737" spans="17:18" x14ac:dyDescent="0.25">
      <c r="Q737" s="3"/>
      <c r="R737" s="3"/>
    </row>
    <row r="738" spans="17:18" x14ac:dyDescent="0.25">
      <c r="Q738" s="3"/>
      <c r="R738" s="3"/>
    </row>
    <row r="739" spans="17:18" x14ac:dyDescent="0.25">
      <c r="Q739" s="3"/>
      <c r="R739" s="3"/>
    </row>
    <row r="740" spans="17:18" x14ac:dyDescent="0.25">
      <c r="Q740" s="3"/>
      <c r="R740" s="3"/>
    </row>
    <row r="741" spans="17:18" x14ac:dyDescent="0.25">
      <c r="Q741" s="3"/>
      <c r="R741" s="3"/>
    </row>
    <row r="742" spans="17:18" x14ac:dyDescent="0.25">
      <c r="Q742" s="3"/>
      <c r="R742" s="3"/>
    </row>
    <row r="743" spans="17:18" x14ac:dyDescent="0.25">
      <c r="Q743" s="3"/>
      <c r="R743" s="3"/>
    </row>
    <row r="744" spans="17:18" x14ac:dyDescent="0.25">
      <c r="Q744" s="3"/>
      <c r="R744" s="3"/>
    </row>
    <row r="745" spans="17:18" x14ac:dyDescent="0.25">
      <c r="Q745" s="3"/>
      <c r="R745" s="3"/>
    </row>
    <row r="746" spans="17:18" x14ac:dyDescent="0.25">
      <c r="Q746" s="3"/>
      <c r="R746" s="3"/>
    </row>
    <row r="747" spans="17:18" x14ac:dyDescent="0.25">
      <c r="Q747" s="3"/>
      <c r="R747" s="3"/>
    </row>
    <row r="748" spans="17:18" x14ac:dyDescent="0.25">
      <c r="Q748" s="3"/>
      <c r="R748" s="3"/>
    </row>
    <row r="749" spans="17:18" x14ac:dyDescent="0.25">
      <c r="Q749" s="3"/>
      <c r="R749" s="3"/>
    </row>
    <row r="750" spans="17:18" x14ac:dyDescent="0.25">
      <c r="Q750" s="3"/>
      <c r="R750" s="3"/>
    </row>
    <row r="751" spans="17:18" x14ac:dyDescent="0.25">
      <c r="Q751" s="3"/>
      <c r="R751" s="3"/>
    </row>
    <row r="752" spans="17:18" x14ac:dyDescent="0.25">
      <c r="Q752" s="3"/>
      <c r="R752" s="3"/>
    </row>
    <row r="753" spans="17:18" x14ac:dyDescent="0.25">
      <c r="Q753" s="3"/>
      <c r="R753" s="3"/>
    </row>
    <row r="754" spans="17:18" x14ac:dyDescent="0.25">
      <c r="Q754" s="3"/>
      <c r="R754" s="3"/>
    </row>
    <row r="755" spans="17:18" x14ac:dyDescent="0.25">
      <c r="Q755" s="3"/>
      <c r="R755" s="3"/>
    </row>
    <row r="756" spans="17:18" x14ac:dyDescent="0.25">
      <c r="Q756" s="3"/>
      <c r="R756" s="3"/>
    </row>
    <row r="757" spans="17:18" x14ac:dyDescent="0.25">
      <c r="Q757" s="3"/>
      <c r="R757" s="3"/>
    </row>
    <row r="758" spans="17:18" x14ac:dyDescent="0.25">
      <c r="Q758" s="3"/>
      <c r="R758" s="3"/>
    </row>
    <row r="759" spans="17:18" x14ac:dyDescent="0.25">
      <c r="Q759" s="3"/>
      <c r="R759" s="3"/>
    </row>
    <row r="760" spans="17:18" x14ac:dyDescent="0.25">
      <c r="Q760" s="3"/>
      <c r="R760" s="3"/>
    </row>
    <row r="761" spans="17:18" x14ac:dyDescent="0.25">
      <c r="Q761" s="3"/>
      <c r="R761" s="3"/>
    </row>
    <row r="762" spans="17:18" x14ac:dyDescent="0.25">
      <c r="Q762" s="3"/>
      <c r="R762" s="3"/>
    </row>
    <row r="763" spans="17:18" x14ac:dyDescent="0.25">
      <c r="Q763" s="3"/>
      <c r="R763" s="3"/>
    </row>
    <row r="764" spans="17:18" x14ac:dyDescent="0.25">
      <c r="Q764" s="3"/>
      <c r="R764" s="3"/>
    </row>
    <row r="765" spans="17:18" x14ac:dyDescent="0.25">
      <c r="Q765" s="3"/>
      <c r="R765" s="3"/>
    </row>
    <row r="766" spans="17:18" x14ac:dyDescent="0.25">
      <c r="Q766" s="3"/>
      <c r="R766" s="3"/>
    </row>
    <row r="767" spans="17:18" x14ac:dyDescent="0.25">
      <c r="Q767" s="3"/>
      <c r="R767" s="3"/>
    </row>
    <row r="768" spans="17:18" x14ac:dyDescent="0.25">
      <c r="Q768" s="3"/>
      <c r="R768" s="3"/>
    </row>
    <row r="769" spans="17:18" x14ac:dyDescent="0.25">
      <c r="Q769" s="3"/>
      <c r="R769" s="3"/>
    </row>
    <row r="770" spans="17:18" x14ac:dyDescent="0.25">
      <c r="Q770" s="3"/>
      <c r="R770" s="3"/>
    </row>
    <row r="771" spans="17:18" x14ac:dyDescent="0.25">
      <c r="Q771" s="3"/>
      <c r="R771" s="3"/>
    </row>
    <row r="772" spans="17:18" x14ac:dyDescent="0.25">
      <c r="Q772" s="3"/>
      <c r="R772" s="3"/>
    </row>
    <row r="773" spans="17:18" x14ac:dyDescent="0.25">
      <c r="Q773" s="3"/>
      <c r="R773" s="3"/>
    </row>
    <row r="774" spans="17:18" x14ac:dyDescent="0.25">
      <c r="Q774" s="3"/>
      <c r="R774" s="3"/>
    </row>
    <row r="775" spans="17:18" x14ac:dyDescent="0.25">
      <c r="Q775" s="3"/>
      <c r="R775" s="3"/>
    </row>
    <row r="776" spans="17:18" x14ac:dyDescent="0.25">
      <c r="Q776" s="3"/>
      <c r="R776" s="3"/>
    </row>
    <row r="777" spans="17:18" x14ac:dyDescent="0.25">
      <c r="Q777" s="3"/>
      <c r="R777" s="3"/>
    </row>
    <row r="778" spans="17:18" x14ac:dyDescent="0.25">
      <c r="Q778" s="3"/>
      <c r="R778" s="3"/>
    </row>
    <row r="779" spans="17:18" x14ac:dyDescent="0.25">
      <c r="Q779" s="3"/>
      <c r="R779" s="3"/>
    </row>
    <row r="780" spans="17:18" x14ac:dyDescent="0.25">
      <c r="Q780" s="3"/>
      <c r="R780" s="3"/>
    </row>
    <row r="781" spans="17:18" x14ac:dyDescent="0.25">
      <c r="Q781" s="3"/>
      <c r="R781" s="3"/>
    </row>
    <row r="782" spans="17:18" x14ac:dyDescent="0.25">
      <c r="Q782" s="3"/>
      <c r="R782" s="3"/>
    </row>
    <row r="783" spans="17:18" x14ac:dyDescent="0.25">
      <c r="Q783" s="3"/>
      <c r="R783" s="3"/>
    </row>
    <row r="784" spans="17:18" x14ac:dyDescent="0.25">
      <c r="Q784" s="3"/>
      <c r="R784" s="3"/>
    </row>
    <row r="785" spans="17:18" x14ac:dyDescent="0.25">
      <c r="Q785" s="3"/>
      <c r="R785" s="3"/>
    </row>
    <row r="786" spans="17:18" x14ac:dyDescent="0.25">
      <c r="Q786" s="3"/>
      <c r="R786" s="3"/>
    </row>
    <row r="787" spans="17:18" x14ac:dyDescent="0.25">
      <c r="Q787" s="3"/>
      <c r="R787" s="3"/>
    </row>
    <row r="788" spans="17:18" x14ac:dyDescent="0.25">
      <c r="Q788" s="3"/>
      <c r="R788" s="3"/>
    </row>
    <row r="789" spans="17:18" x14ac:dyDescent="0.25">
      <c r="Q789" s="3"/>
      <c r="R789" s="3"/>
    </row>
    <row r="790" spans="17:18" x14ac:dyDescent="0.25">
      <c r="Q790" s="3"/>
      <c r="R790" s="3"/>
    </row>
    <row r="791" spans="17:18" x14ac:dyDescent="0.25">
      <c r="Q791" s="3"/>
      <c r="R791" s="3"/>
    </row>
    <row r="792" spans="17:18" x14ac:dyDescent="0.25">
      <c r="Q792" s="3"/>
      <c r="R792" s="3"/>
    </row>
    <row r="793" spans="17:18" x14ac:dyDescent="0.25">
      <c r="Q793" s="3"/>
      <c r="R793" s="3"/>
    </row>
    <row r="794" spans="17:18" x14ac:dyDescent="0.25">
      <c r="Q794" s="3"/>
      <c r="R794" s="3"/>
    </row>
    <row r="795" spans="17:18" x14ac:dyDescent="0.25">
      <c r="Q795" s="3"/>
      <c r="R795" s="3"/>
    </row>
    <row r="796" spans="17:18" x14ac:dyDescent="0.25">
      <c r="Q796" s="3"/>
      <c r="R796" s="3"/>
    </row>
    <row r="797" spans="17:18" x14ac:dyDescent="0.25">
      <c r="Q797" s="3"/>
      <c r="R797" s="3"/>
    </row>
    <row r="798" spans="17:18" x14ac:dyDescent="0.25">
      <c r="Q798" s="3"/>
      <c r="R798" s="3"/>
    </row>
    <row r="799" spans="17:18" x14ac:dyDescent="0.25">
      <c r="Q799" s="3"/>
      <c r="R799" s="3"/>
    </row>
    <row r="800" spans="17:18" x14ac:dyDescent="0.25">
      <c r="Q800" s="3"/>
      <c r="R800" s="3"/>
    </row>
    <row r="801" spans="17:18" x14ac:dyDescent="0.25">
      <c r="Q801" s="3"/>
      <c r="R801" s="3"/>
    </row>
    <row r="802" spans="17:18" x14ac:dyDescent="0.25">
      <c r="Q802" s="3"/>
      <c r="R802" s="3"/>
    </row>
    <row r="803" spans="17:18" x14ac:dyDescent="0.25">
      <c r="Q803" s="3"/>
      <c r="R803" s="3"/>
    </row>
    <row r="804" spans="17:18" x14ac:dyDescent="0.25">
      <c r="Q804" s="3"/>
      <c r="R804" s="3"/>
    </row>
    <row r="805" spans="17:18" x14ac:dyDescent="0.25">
      <c r="Q805" s="3"/>
      <c r="R805" s="3"/>
    </row>
    <row r="806" spans="17:18" x14ac:dyDescent="0.25">
      <c r="Q806" s="3"/>
      <c r="R806" s="3"/>
    </row>
    <row r="807" spans="17:18" x14ac:dyDescent="0.25">
      <c r="Q807" s="3"/>
      <c r="R807" s="3"/>
    </row>
    <row r="808" spans="17:18" x14ac:dyDescent="0.25">
      <c r="Q808" s="3"/>
      <c r="R808" s="3"/>
    </row>
    <row r="809" spans="17:18" x14ac:dyDescent="0.25">
      <c r="Q809" s="3"/>
      <c r="R809" s="3"/>
    </row>
    <row r="810" spans="17:18" x14ac:dyDescent="0.25">
      <c r="Q810" s="3"/>
      <c r="R810" s="3"/>
    </row>
    <row r="811" spans="17:18" x14ac:dyDescent="0.25">
      <c r="Q811" s="3"/>
      <c r="R811" s="3"/>
    </row>
    <row r="812" spans="17:18" x14ac:dyDescent="0.25">
      <c r="Q812" s="3"/>
      <c r="R812" s="3"/>
    </row>
    <row r="813" spans="17:18" x14ac:dyDescent="0.25">
      <c r="Q813" s="3"/>
      <c r="R813" s="3"/>
    </row>
    <row r="814" spans="17:18" x14ac:dyDescent="0.25">
      <c r="Q814" s="3"/>
      <c r="R814" s="3"/>
    </row>
    <row r="815" spans="17:18" x14ac:dyDescent="0.25">
      <c r="Q815" s="3"/>
      <c r="R815" s="3"/>
    </row>
    <row r="816" spans="17:18" x14ac:dyDescent="0.25">
      <c r="Q816" s="3"/>
      <c r="R816" s="3"/>
    </row>
    <row r="817" spans="17:18" x14ac:dyDescent="0.25">
      <c r="Q817" s="3"/>
      <c r="R817" s="3"/>
    </row>
    <row r="818" spans="17:18" x14ac:dyDescent="0.25">
      <c r="Q818" s="3"/>
      <c r="R818" s="3"/>
    </row>
    <row r="819" spans="17:18" x14ac:dyDescent="0.25">
      <c r="Q819" s="3"/>
      <c r="R819" s="3"/>
    </row>
    <row r="820" spans="17:18" x14ac:dyDescent="0.25">
      <c r="Q820" s="3"/>
      <c r="R820" s="3"/>
    </row>
    <row r="821" spans="17:18" x14ac:dyDescent="0.25">
      <c r="Q821" s="3"/>
      <c r="R821" s="3"/>
    </row>
    <row r="822" spans="17:18" x14ac:dyDescent="0.25">
      <c r="Q822" s="3"/>
      <c r="R822" s="3"/>
    </row>
    <row r="823" spans="17:18" x14ac:dyDescent="0.25">
      <c r="Q823" s="3"/>
      <c r="R823" s="3"/>
    </row>
    <row r="824" spans="17:18" x14ac:dyDescent="0.25">
      <c r="Q824" s="3"/>
      <c r="R824" s="3"/>
    </row>
    <row r="825" spans="17:18" x14ac:dyDescent="0.25">
      <c r="Q825" s="3"/>
      <c r="R825" s="3"/>
    </row>
    <row r="826" spans="17:18" x14ac:dyDescent="0.25">
      <c r="Q826" s="3"/>
      <c r="R826" s="3"/>
    </row>
    <row r="827" spans="17:18" x14ac:dyDescent="0.25">
      <c r="Q827" s="3"/>
      <c r="R827" s="3"/>
    </row>
    <row r="828" spans="17:18" x14ac:dyDescent="0.25">
      <c r="Q828" s="3"/>
      <c r="R828" s="3"/>
    </row>
    <row r="829" spans="17:18" x14ac:dyDescent="0.25">
      <c r="Q829" s="3"/>
      <c r="R829" s="3"/>
    </row>
    <row r="830" spans="17:18" x14ac:dyDescent="0.25">
      <c r="Q830" s="3"/>
      <c r="R830" s="3"/>
    </row>
    <row r="831" spans="17:18" x14ac:dyDescent="0.25">
      <c r="Q831" s="3"/>
      <c r="R831" s="3"/>
    </row>
    <row r="832" spans="17:18" x14ac:dyDescent="0.25">
      <c r="Q832" s="3"/>
      <c r="R832" s="3"/>
    </row>
    <row r="833" spans="17:18" x14ac:dyDescent="0.25">
      <c r="Q833" s="3"/>
      <c r="R833" s="3"/>
    </row>
    <row r="834" spans="17:18" x14ac:dyDescent="0.25">
      <c r="Q834" s="3"/>
      <c r="R834" s="3"/>
    </row>
    <row r="835" spans="17:18" x14ac:dyDescent="0.25">
      <c r="Q835" s="3"/>
      <c r="R835" s="3"/>
    </row>
    <row r="836" spans="17:18" x14ac:dyDescent="0.25">
      <c r="Q836" s="3"/>
      <c r="R836" s="3"/>
    </row>
    <row r="837" spans="17:18" x14ac:dyDescent="0.25">
      <c r="Q837" s="3"/>
      <c r="R837" s="3"/>
    </row>
    <row r="838" spans="17:18" x14ac:dyDescent="0.25">
      <c r="Q838" s="3"/>
      <c r="R838" s="3"/>
    </row>
    <row r="839" spans="17:18" x14ac:dyDescent="0.25">
      <c r="Q839" s="3"/>
      <c r="R839" s="3"/>
    </row>
    <row r="840" spans="17:18" x14ac:dyDescent="0.25">
      <c r="Q840" s="3"/>
      <c r="R840" s="3"/>
    </row>
    <row r="841" spans="17:18" x14ac:dyDescent="0.25">
      <c r="Q841" s="3"/>
      <c r="R841" s="3"/>
    </row>
    <row r="842" spans="17:18" x14ac:dyDescent="0.25">
      <c r="Q842" s="3"/>
      <c r="R842" s="3"/>
    </row>
    <row r="843" spans="17:18" x14ac:dyDescent="0.25">
      <c r="Q843" s="3"/>
      <c r="R843" s="3"/>
    </row>
    <row r="844" spans="17:18" x14ac:dyDescent="0.25">
      <c r="Q844" s="3"/>
      <c r="R844" s="3"/>
    </row>
    <row r="845" spans="17:18" x14ac:dyDescent="0.25">
      <c r="Q845" s="3"/>
      <c r="R845" s="3"/>
    </row>
    <row r="846" spans="17:18" x14ac:dyDescent="0.25">
      <c r="Q846" s="3"/>
      <c r="R846" s="3"/>
    </row>
    <row r="847" spans="17:18" x14ac:dyDescent="0.25">
      <c r="Q847" s="3"/>
      <c r="R847" s="3"/>
    </row>
    <row r="848" spans="17:18" x14ac:dyDescent="0.25">
      <c r="Q848" s="3"/>
      <c r="R848" s="3"/>
    </row>
    <row r="849" spans="17:18" x14ac:dyDescent="0.25">
      <c r="Q849" s="3"/>
      <c r="R849" s="3"/>
    </row>
    <row r="850" spans="17:18" x14ac:dyDescent="0.25">
      <c r="Q850" s="3"/>
      <c r="R850" s="3"/>
    </row>
    <row r="851" spans="17:18" x14ac:dyDescent="0.25">
      <c r="Q851" s="3"/>
      <c r="R851" s="3"/>
    </row>
    <row r="852" spans="17:18" x14ac:dyDescent="0.25">
      <c r="Q852" s="3"/>
      <c r="R852" s="3"/>
    </row>
    <row r="853" spans="17:18" x14ac:dyDescent="0.25">
      <c r="Q853" s="3"/>
      <c r="R853" s="3"/>
    </row>
    <row r="854" spans="17:18" x14ac:dyDescent="0.25">
      <c r="Q854" s="3"/>
      <c r="R854" s="3"/>
    </row>
    <row r="855" spans="17:18" x14ac:dyDescent="0.25">
      <c r="Q855" s="3"/>
      <c r="R855" s="3"/>
    </row>
    <row r="856" spans="17:18" x14ac:dyDescent="0.25">
      <c r="Q856" s="3"/>
      <c r="R856" s="3"/>
    </row>
    <row r="857" spans="17:18" x14ac:dyDescent="0.25">
      <c r="Q857" s="3"/>
      <c r="R857" s="3"/>
    </row>
    <row r="858" spans="17:18" x14ac:dyDescent="0.25">
      <c r="Q858" s="3"/>
      <c r="R858" s="3"/>
    </row>
    <row r="859" spans="17:18" x14ac:dyDescent="0.25">
      <c r="Q859" s="3"/>
      <c r="R859" s="3"/>
    </row>
    <row r="860" spans="17:18" x14ac:dyDescent="0.25">
      <c r="Q860" s="3"/>
      <c r="R860" s="3"/>
    </row>
    <row r="861" spans="17:18" x14ac:dyDescent="0.25">
      <c r="Q861" s="3"/>
      <c r="R861" s="3"/>
    </row>
    <row r="862" spans="17:18" x14ac:dyDescent="0.25">
      <c r="Q862" s="3"/>
      <c r="R862" s="3"/>
    </row>
    <row r="863" spans="17:18" x14ac:dyDescent="0.25">
      <c r="Q863" s="3"/>
      <c r="R863" s="3"/>
    </row>
    <row r="864" spans="17:18" x14ac:dyDescent="0.25">
      <c r="Q864" s="3"/>
      <c r="R864" s="3"/>
    </row>
    <row r="865" spans="17:18" x14ac:dyDescent="0.25">
      <c r="Q865" s="3"/>
      <c r="R865" s="3"/>
    </row>
    <row r="866" spans="17:18" x14ac:dyDescent="0.25">
      <c r="Q866" s="3"/>
      <c r="R866" s="3"/>
    </row>
    <row r="867" spans="17:18" x14ac:dyDescent="0.25">
      <c r="Q867" s="3"/>
      <c r="R867" s="3"/>
    </row>
    <row r="868" spans="17:18" x14ac:dyDescent="0.25">
      <c r="Q868" s="3"/>
      <c r="R868" s="3"/>
    </row>
    <row r="869" spans="17:18" x14ac:dyDescent="0.25">
      <c r="Q869" s="3"/>
      <c r="R869" s="3"/>
    </row>
    <row r="870" spans="17:18" x14ac:dyDescent="0.25">
      <c r="Q870" s="3"/>
      <c r="R870" s="3"/>
    </row>
    <row r="871" spans="17:18" x14ac:dyDescent="0.25">
      <c r="Q871" s="3"/>
      <c r="R871" s="3"/>
    </row>
    <row r="872" spans="17:18" x14ac:dyDescent="0.25">
      <c r="Q872" s="3"/>
      <c r="R872" s="3"/>
    </row>
    <row r="873" spans="17:18" x14ac:dyDescent="0.25">
      <c r="Q873" s="3"/>
      <c r="R873" s="3"/>
    </row>
    <row r="874" spans="17:18" x14ac:dyDescent="0.25">
      <c r="Q874" s="3"/>
      <c r="R874" s="3"/>
    </row>
    <row r="875" spans="17:18" x14ac:dyDescent="0.25">
      <c r="Q875" s="3"/>
      <c r="R875" s="3"/>
    </row>
    <row r="876" spans="17:18" x14ac:dyDescent="0.25">
      <c r="Q876" s="3"/>
      <c r="R876" s="3"/>
    </row>
    <row r="877" spans="17:18" x14ac:dyDescent="0.25">
      <c r="Q877" s="3"/>
      <c r="R877" s="3"/>
    </row>
    <row r="878" spans="17:18" x14ac:dyDescent="0.25">
      <c r="Q878" s="3"/>
      <c r="R878" s="3"/>
    </row>
    <row r="879" spans="17:18" x14ac:dyDescent="0.25">
      <c r="Q879" s="3"/>
      <c r="R879" s="3"/>
    </row>
    <row r="880" spans="17:18" x14ac:dyDescent="0.25">
      <c r="Q880" s="3"/>
      <c r="R880" s="3"/>
    </row>
    <row r="881" spans="17:18" x14ac:dyDescent="0.25">
      <c r="Q881" s="3"/>
      <c r="R881" s="3"/>
    </row>
    <row r="882" spans="17:18" x14ac:dyDescent="0.25">
      <c r="Q882" s="3"/>
      <c r="R882" s="3"/>
    </row>
    <row r="883" spans="17:18" x14ac:dyDescent="0.25">
      <c r="Q883" s="3"/>
      <c r="R883" s="3"/>
    </row>
    <row r="884" spans="17:18" x14ac:dyDescent="0.25">
      <c r="Q884" s="3"/>
      <c r="R884" s="3"/>
    </row>
    <row r="885" spans="17:18" x14ac:dyDescent="0.25">
      <c r="Q885" s="3"/>
      <c r="R885" s="3"/>
    </row>
    <row r="886" spans="17:18" x14ac:dyDescent="0.25">
      <c r="Q886" s="3"/>
      <c r="R886" s="3"/>
    </row>
    <row r="887" spans="17:18" x14ac:dyDescent="0.25">
      <c r="Q887" s="3"/>
      <c r="R887" s="3"/>
    </row>
    <row r="888" spans="17:18" x14ac:dyDescent="0.25">
      <c r="Q888" s="3"/>
      <c r="R888" s="3"/>
    </row>
    <row r="889" spans="17:18" x14ac:dyDescent="0.25">
      <c r="Q889" s="3"/>
      <c r="R889" s="3"/>
    </row>
    <row r="890" spans="17:18" x14ac:dyDescent="0.25">
      <c r="Q890" s="3"/>
      <c r="R890" s="3"/>
    </row>
    <row r="891" spans="17:18" x14ac:dyDescent="0.25">
      <c r="Q891" s="3"/>
      <c r="R891" s="3"/>
    </row>
    <row r="892" spans="17:18" x14ac:dyDescent="0.25">
      <c r="Q892" s="3"/>
      <c r="R892" s="3"/>
    </row>
    <row r="893" spans="17:18" x14ac:dyDescent="0.25">
      <c r="Q893" s="3"/>
      <c r="R893" s="3"/>
    </row>
    <row r="894" spans="17:18" x14ac:dyDescent="0.25">
      <c r="Q894" s="3"/>
      <c r="R894" s="3"/>
    </row>
    <row r="895" spans="17:18" x14ac:dyDescent="0.25">
      <c r="Q895" s="3"/>
      <c r="R895" s="3"/>
    </row>
    <row r="896" spans="17:18" x14ac:dyDescent="0.25">
      <c r="Q896" s="3"/>
      <c r="R896" s="3"/>
    </row>
    <row r="897" spans="17:18" x14ac:dyDescent="0.25">
      <c r="Q897" s="3"/>
      <c r="R897" s="3"/>
    </row>
    <row r="898" spans="17:18" x14ac:dyDescent="0.25">
      <c r="Q898" s="3"/>
      <c r="R898" s="3"/>
    </row>
    <row r="899" spans="17:18" x14ac:dyDescent="0.25">
      <c r="Q899" s="3"/>
      <c r="R899" s="3"/>
    </row>
    <row r="900" spans="17:18" x14ac:dyDescent="0.25">
      <c r="Q900" s="3"/>
      <c r="R900" s="3"/>
    </row>
    <row r="901" spans="17:18" x14ac:dyDescent="0.25">
      <c r="Q901" s="3"/>
      <c r="R901" s="3"/>
    </row>
    <row r="902" spans="17:18" x14ac:dyDescent="0.25">
      <c r="Q902" s="3"/>
      <c r="R902" s="3"/>
    </row>
    <row r="903" spans="17:18" x14ac:dyDescent="0.25">
      <c r="Q903" s="3"/>
      <c r="R903" s="3"/>
    </row>
    <row r="904" spans="17:18" x14ac:dyDescent="0.25">
      <c r="Q904" s="3"/>
      <c r="R904" s="3"/>
    </row>
    <row r="905" spans="17:18" x14ac:dyDescent="0.25">
      <c r="Q905" s="3"/>
      <c r="R905" s="3"/>
    </row>
    <row r="906" spans="17:18" x14ac:dyDescent="0.25">
      <c r="Q906" s="3"/>
      <c r="R906" s="3"/>
    </row>
    <row r="907" spans="17:18" x14ac:dyDescent="0.25">
      <c r="Q907" s="3"/>
      <c r="R907" s="3"/>
    </row>
    <row r="908" spans="17:18" x14ac:dyDescent="0.25">
      <c r="Q908" s="3"/>
      <c r="R908" s="3"/>
    </row>
    <row r="909" spans="17:18" x14ac:dyDescent="0.25">
      <c r="Q909" s="3"/>
      <c r="R909" s="3"/>
    </row>
    <row r="910" spans="17:18" x14ac:dyDescent="0.25">
      <c r="Q910" s="3"/>
      <c r="R910" s="3"/>
    </row>
    <row r="911" spans="17:18" x14ac:dyDescent="0.25">
      <c r="Q911" s="3"/>
      <c r="R911" s="3"/>
    </row>
    <row r="912" spans="17:18" x14ac:dyDescent="0.25">
      <c r="Q912" s="3"/>
      <c r="R912" s="3"/>
    </row>
    <row r="913" spans="17:18" x14ac:dyDescent="0.25">
      <c r="Q913" s="3"/>
      <c r="R913" s="3"/>
    </row>
    <row r="914" spans="17:18" x14ac:dyDescent="0.25">
      <c r="Q914" s="3"/>
      <c r="R914" s="3"/>
    </row>
    <row r="915" spans="17:18" x14ac:dyDescent="0.25">
      <c r="Q915" s="3"/>
      <c r="R915" s="3"/>
    </row>
    <row r="916" spans="17:18" x14ac:dyDescent="0.25">
      <c r="Q916" s="3"/>
      <c r="R916" s="3"/>
    </row>
    <row r="917" spans="17:18" x14ac:dyDescent="0.25">
      <c r="Q917" s="3"/>
      <c r="R917" s="3"/>
    </row>
    <row r="918" spans="17:18" x14ac:dyDescent="0.25">
      <c r="Q918" s="3"/>
      <c r="R918" s="3"/>
    </row>
    <row r="919" spans="17:18" x14ac:dyDescent="0.25">
      <c r="Q919" s="3"/>
      <c r="R919" s="3"/>
    </row>
    <row r="920" spans="17:18" x14ac:dyDescent="0.25">
      <c r="Q920" s="3"/>
      <c r="R920" s="3"/>
    </row>
    <row r="921" spans="17:18" x14ac:dyDescent="0.25">
      <c r="Q921" s="3"/>
      <c r="R921" s="3"/>
    </row>
    <row r="922" spans="17:18" x14ac:dyDescent="0.25">
      <c r="Q922" s="3"/>
      <c r="R922" s="3"/>
    </row>
    <row r="923" spans="17:18" x14ac:dyDescent="0.25">
      <c r="Q923" s="3"/>
      <c r="R923" s="3"/>
    </row>
    <row r="924" spans="17:18" x14ac:dyDescent="0.25">
      <c r="Q924" s="3"/>
      <c r="R924" s="3"/>
    </row>
    <row r="925" spans="17:18" x14ac:dyDescent="0.25">
      <c r="Q925" s="3"/>
      <c r="R925" s="3"/>
    </row>
    <row r="926" spans="17:18" x14ac:dyDescent="0.25">
      <c r="Q926" s="3"/>
      <c r="R926" s="3"/>
    </row>
    <row r="927" spans="17:18" x14ac:dyDescent="0.25">
      <c r="Q927" s="3"/>
      <c r="R927" s="3"/>
    </row>
    <row r="928" spans="17:18" x14ac:dyDescent="0.25">
      <c r="Q928" s="3"/>
      <c r="R928" s="3"/>
    </row>
    <row r="929" spans="17:18" x14ac:dyDescent="0.25">
      <c r="Q929" s="3"/>
      <c r="R929" s="3"/>
    </row>
    <row r="930" spans="17:18" x14ac:dyDescent="0.25">
      <c r="Q930" s="3"/>
      <c r="R930" s="3"/>
    </row>
    <row r="931" spans="17:18" x14ac:dyDescent="0.25">
      <c r="Q931" s="3"/>
      <c r="R931" s="3"/>
    </row>
    <row r="932" spans="17:18" x14ac:dyDescent="0.25">
      <c r="Q932" s="3"/>
      <c r="R932" s="3"/>
    </row>
    <row r="933" spans="17:18" x14ac:dyDescent="0.25">
      <c r="Q933" s="3"/>
      <c r="R933" s="3"/>
    </row>
    <row r="934" spans="17:18" x14ac:dyDescent="0.25">
      <c r="Q934" s="3"/>
      <c r="R934" s="3"/>
    </row>
    <row r="935" spans="17:18" x14ac:dyDescent="0.25">
      <c r="Q935" s="3"/>
      <c r="R935" s="3"/>
    </row>
    <row r="936" spans="17:18" x14ac:dyDescent="0.25">
      <c r="Q936" s="3"/>
      <c r="R936" s="3"/>
    </row>
    <row r="937" spans="17:18" x14ac:dyDescent="0.25">
      <c r="Q937" s="3"/>
      <c r="R937" s="3"/>
    </row>
    <row r="938" spans="17:18" x14ac:dyDescent="0.25">
      <c r="Q938" s="3"/>
      <c r="R938" s="3"/>
    </row>
    <row r="939" spans="17:18" x14ac:dyDescent="0.25">
      <c r="Q939" s="3"/>
      <c r="R939" s="3"/>
    </row>
    <row r="940" spans="17:18" x14ac:dyDescent="0.25">
      <c r="Q940" s="3"/>
      <c r="R940" s="3"/>
    </row>
    <row r="941" spans="17:18" x14ac:dyDescent="0.25">
      <c r="Q941" s="3"/>
      <c r="R941" s="3"/>
    </row>
    <row r="942" spans="17:18" x14ac:dyDescent="0.25">
      <c r="Q942" s="3"/>
      <c r="R942" s="3"/>
    </row>
    <row r="943" spans="17:18" x14ac:dyDescent="0.25">
      <c r="Q943" s="3"/>
      <c r="R943" s="3"/>
    </row>
    <row r="944" spans="17:18" x14ac:dyDescent="0.25">
      <c r="Q944" s="3"/>
      <c r="R944" s="3"/>
    </row>
    <row r="945" spans="17:18" x14ac:dyDescent="0.25">
      <c r="Q945" s="3"/>
      <c r="R945" s="3"/>
    </row>
    <row r="946" spans="17:18" x14ac:dyDescent="0.25">
      <c r="Q946" s="3"/>
      <c r="R946" s="3"/>
    </row>
    <row r="947" spans="17:18" x14ac:dyDescent="0.25">
      <c r="Q947" s="3"/>
      <c r="R947" s="3"/>
    </row>
    <row r="948" spans="17:18" x14ac:dyDescent="0.25">
      <c r="Q948" s="3"/>
      <c r="R948" s="3"/>
    </row>
    <row r="949" spans="17:18" x14ac:dyDescent="0.25">
      <c r="Q949" s="3"/>
      <c r="R949" s="3"/>
    </row>
    <row r="950" spans="17:18" x14ac:dyDescent="0.25">
      <c r="Q950" s="3"/>
      <c r="R950" s="3"/>
    </row>
    <row r="951" spans="17:18" x14ac:dyDescent="0.25">
      <c r="Q951" s="3"/>
      <c r="R951" s="3"/>
    </row>
    <row r="952" spans="17:18" x14ac:dyDescent="0.25">
      <c r="Q952" s="3"/>
      <c r="R952" s="3"/>
    </row>
    <row r="953" spans="17:18" x14ac:dyDescent="0.25">
      <c r="Q953" s="3"/>
      <c r="R953" s="3"/>
    </row>
    <row r="954" spans="17:18" x14ac:dyDescent="0.25">
      <c r="Q954" s="3"/>
      <c r="R954" s="3"/>
    </row>
    <row r="955" spans="17:18" x14ac:dyDescent="0.25">
      <c r="Q955" s="3"/>
      <c r="R955" s="3"/>
    </row>
    <row r="956" spans="17:18" x14ac:dyDescent="0.25">
      <c r="Q956" s="3"/>
      <c r="R956" s="3"/>
    </row>
    <row r="957" spans="17:18" x14ac:dyDescent="0.25">
      <c r="Q957" s="3"/>
      <c r="R957" s="3"/>
    </row>
    <row r="958" spans="17:18" x14ac:dyDescent="0.25">
      <c r="Q958" s="3"/>
      <c r="R958" s="3"/>
    </row>
    <row r="959" spans="17:18" x14ac:dyDescent="0.25">
      <c r="Q959" s="3"/>
      <c r="R959" s="3"/>
    </row>
    <row r="960" spans="17:18" x14ac:dyDescent="0.25">
      <c r="Q960" s="3"/>
      <c r="R960" s="3"/>
    </row>
    <row r="961" spans="17:18" x14ac:dyDescent="0.25">
      <c r="Q961" s="3"/>
      <c r="R961" s="3"/>
    </row>
    <row r="962" spans="17:18" x14ac:dyDescent="0.25">
      <c r="Q962" s="3"/>
      <c r="R962" s="3"/>
    </row>
    <row r="963" spans="17:18" x14ac:dyDescent="0.25">
      <c r="Q963" s="3"/>
      <c r="R963" s="3"/>
    </row>
    <row r="964" spans="17:18" x14ac:dyDescent="0.25">
      <c r="Q964" s="3"/>
      <c r="R964" s="3"/>
    </row>
    <row r="965" spans="17:18" x14ac:dyDescent="0.25">
      <c r="Q965" s="3"/>
      <c r="R965" s="3"/>
    </row>
    <row r="966" spans="17:18" x14ac:dyDescent="0.25">
      <c r="Q966" s="3"/>
      <c r="R966" s="3"/>
    </row>
    <row r="967" spans="17:18" x14ac:dyDescent="0.25">
      <c r="Q967" s="3"/>
      <c r="R967" s="3"/>
    </row>
    <row r="968" spans="17:18" x14ac:dyDescent="0.25">
      <c r="Q968" s="3"/>
      <c r="R968" s="3"/>
    </row>
    <row r="969" spans="17:18" x14ac:dyDescent="0.25">
      <c r="Q969" s="3"/>
      <c r="R969" s="3"/>
    </row>
    <row r="970" spans="17:18" x14ac:dyDescent="0.25">
      <c r="Q970" s="3"/>
      <c r="R970" s="3"/>
    </row>
    <row r="971" spans="17:18" x14ac:dyDescent="0.25">
      <c r="Q971" s="3"/>
      <c r="R971" s="3"/>
    </row>
    <row r="972" spans="17:18" x14ac:dyDescent="0.25">
      <c r="Q972" s="3"/>
      <c r="R972" s="3"/>
    </row>
    <row r="973" spans="17:18" x14ac:dyDescent="0.25">
      <c r="Q973" s="3"/>
      <c r="R973" s="3"/>
    </row>
    <row r="974" spans="17:18" x14ac:dyDescent="0.25">
      <c r="Q974" s="3"/>
      <c r="R974" s="3"/>
    </row>
    <row r="975" spans="17:18" x14ac:dyDescent="0.25">
      <c r="Q975" s="3"/>
      <c r="R975" s="3"/>
    </row>
    <row r="976" spans="17:18" x14ac:dyDescent="0.25">
      <c r="Q976" s="3"/>
      <c r="R976" s="3"/>
    </row>
    <row r="977" spans="17:18" x14ac:dyDescent="0.25">
      <c r="Q977" s="3"/>
      <c r="R977" s="3"/>
    </row>
    <row r="978" spans="17:18" x14ac:dyDescent="0.25">
      <c r="Q978" s="3"/>
      <c r="R978" s="3"/>
    </row>
    <row r="979" spans="17:18" x14ac:dyDescent="0.25">
      <c r="Q979" s="3"/>
      <c r="R979" s="3"/>
    </row>
    <row r="980" spans="17:18" x14ac:dyDescent="0.25">
      <c r="Q980" s="3"/>
      <c r="R980" s="3"/>
    </row>
    <row r="981" spans="17:18" x14ac:dyDescent="0.25">
      <c r="Q981" s="3"/>
      <c r="R981" s="3"/>
    </row>
    <row r="982" spans="17:18" x14ac:dyDescent="0.25">
      <c r="Q982" s="3"/>
      <c r="R982" s="3"/>
    </row>
    <row r="983" spans="17:18" x14ac:dyDescent="0.25">
      <c r="Q983" s="3"/>
      <c r="R983" s="3"/>
    </row>
    <row r="984" spans="17:18" x14ac:dyDescent="0.25">
      <c r="Q984" s="3"/>
      <c r="R984" s="3"/>
    </row>
    <row r="985" spans="17:18" x14ac:dyDescent="0.25">
      <c r="Q985" s="3"/>
      <c r="R985" s="3"/>
    </row>
    <row r="986" spans="17:18" x14ac:dyDescent="0.25">
      <c r="Q986" s="3"/>
      <c r="R986" s="3"/>
    </row>
    <row r="987" spans="17:18" x14ac:dyDescent="0.25">
      <c r="Q987" s="3"/>
      <c r="R987" s="3"/>
    </row>
    <row r="988" spans="17:18" x14ac:dyDescent="0.25">
      <c r="Q988" s="3"/>
      <c r="R988" s="3"/>
    </row>
    <row r="989" spans="17:18" x14ac:dyDescent="0.25">
      <c r="Q989" s="3"/>
      <c r="R989" s="3"/>
    </row>
    <row r="990" spans="17:18" x14ac:dyDescent="0.25">
      <c r="Q990" s="3"/>
      <c r="R990" s="3"/>
    </row>
    <row r="991" spans="17:18" x14ac:dyDescent="0.25">
      <c r="Q991" s="3"/>
      <c r="R991" s="3"/>
    </row>
    <row r="992" spans="17:18" x14ac:dyDescent="0.25">
      <c r="Q992" s="3"/>
      <c r="R992" s="3"/>
    </row>
    <row r="993" spans="17:18" x14ac:dyDescent="0.25">
      <c r="Q993" s="3"/>
      <c r="R993" s="3"/>
    </row>
    <row r="994" spans="17:18" x14ac:dyDescent="0.25">
      <c r="Q994" s="3"/>
      <c r="R994" s="3"/>
    </row>
    <row r="995" spans="17:18" x14ac:dyDescent="0.25">
      <c r="Q995" s="3"/>
      <c r="R995" s="3"/>
    </row>
    <row r="996" spans="17:18" x14ac:dyDescent="0.25">
      <c r="Q996" s="3"/>
      <c r="R996" s="3"/>
    </row>
    <row r="997" spans="17:18" x14ac:dyDescent="0.25">
      <c r="Q997" s="3"/>
      <c r="R997" s="3"/>
    </row>
    <row r="998" spans="17:18" x14ac:dyDescent="0.25">
      <c r="Q998" s="3"/>
      <c r="R998" s="3"/>
    </row>
    <row r="999" spans="17:18" x14ac:dyDescent="0.25">
      <c r="Q999" s="3"/>
      <c r="R999" s="3"/>
    </row>
    <row r="1000" spans="17:18" x14ac:dyDescent="0.25">
      <c r="Q1000" s="3"/>
      <c r="R1000" s="3"/>
    </row>
    <row r="1001" spans="17:18" x14ac:dyDescent="0.25">
      <c r="Q1001" s="3"/>
      <c r="R1001" s="3"/>
    </row>
    <row r="1002" spans="17:18" x14ac:dyDescent="0.25">
      <c r="Q1002" s="3"/>
      <c r="R1002" s="3"/>
    </row>
    <row r="1003" spans="17:18" x14ac:dyDescent="0.25">
      <c r="Q1003" s="3"/>
      <c r="R1003" s="3"/>
    </row>
    <row r="1004" spans="17:18" x14ac:dyDescent="0.25">
      <c r="Q1004" s="3"/>
      <c r="R1004" s="3"/>
    </row>
    <row r="1005" spans="17:18" x14ac:dyDescent="0.25">
      <c r="Q1005" s="3"/>
      <c r="R1005" s="3"/>
    </row>
    <row r="1006" spans="17:18" x14ac:dyDescent="0.25">
      <c r="Q1006" s="3"/>
      <c r="R1006" s="3"/>
    </row>
    <row r="1007" spans="17:18" x14ac:dyDescent="0.25">
      <c r="Q1007" s="3"/>
      <c r="R1007" s="3"/>
    </row>
    <row r="1008" spans="17:18" x14ac:dyDescent="0.25">
      <c r="Q1008" s="3"/>
      <c r="R1008" s="3"/>
    </row>
    <row r="1009" spans="17:18" x14ac:dyDescent="0.25">
      <c r="Q1009" s="3"/>
      <c r="R1009" s="3"/>
    </row>
    <row r="1010" spans="17:18" x14ac:dyDescent="0.25">
      <c r="Q1010" s="3"/>
      <c r="R1010" s="3"/>
    </row>
    <row r="1011" spans="17:18" x14ac:dyDescent="0.25">
      <c r="Q1011" s="3"/>
      <c r="R1011" s="3"/>
    </row>
    <row r="1012" spans="17:18" x14ac:dyDescent="0.25">
      <c r="Q1012" s="3"/>
      <c r="R1012" s="3"/>
    </row>
    <row r="1013" spans="17:18" x14ac:dyDescent="0.25">
      <c r="Q1013" s="3"/>
      <c r="R1013" s="3"/>
    </row>
    <row r="1014" spans="17:18" x14ac:dyDescent="0.25">
      <c r="Q1014" s="3"/>
      <c r="R1014" s="3"/>
    </row>
    <row r="1015" spans="17:18" x14ac:dyDescent="0.25">
      <c r="Q1015" s="3"/>
      <c r="R1015" s="3"/>
    </row>
    <row r="1016" spans="17:18" x14ac:dyDescent="0.25">
      <c r="Q1016" s="3"/>
      <c r="R1016" s="3"/>
    </row>
    <row r="1017" spans="17:18" x14ac:dyDescent="0.25">
      <c r="Q1017" s="3"/>
      <c r="R1017" s="3"/>
    </row>
    <row r="1018" spans="17:18" x14ac:dyDescent="0.25">
      <c r="Q1018" s="3"/>
      <c r="R1018" s="3"/>
    </row>
    <row r="1019" spans="17:18" x14ac:dyDescent="0.25">
      <c r="Q1019" s="3"/>
      <c r="R1019" s="3"/>
    </row>
    <row r="1020" spans="17:18" x14ac:dyDescent="0.25">
      <c r="Q1020" s="3"/>
      <c r="R1020" s="3"/>
    </row>
    <row r="1021" spans="17:18" x14ac:dyDescent="0.25">
      <c r="Q1021" s="3"/>
      <c r="R1021" s="3"/>
    </row>
    <row r="1022" spans="17:18" x14ac:dyDescent="0.25">
      <c r="Q1022" s="3"/>
      <c r="R1022" s="3"/>
    </row>
    <row r="1023" spans="17:18" x14ac:dyDescent="0.25">
      <c r="Q1023" s="3"/>
      <c r="R1023" s="3"/>
    </row>
    <row r="1024" spans="17:18" x14ac:dyDescent="0.25">
      <c r="Q1024" s="3"/>
      <c r="R1024" s="3"/>
    </row>
    <row r="1025" spans="17:18" x14ac:dyDescent="0.25">
      <c r="Q1025" s="3"/>
      <c r="R1025" s="3"/>
    </row>
    <row r="1026" spans="17:18" x14ac:dyDescent="0.25">
      <c r="Q1026" s="3"/>
      <c r="R1026" s="3"/>
    </row>
    <row r="1027" spans="17:18" x14ac:dyDescent="0.25">
      <c r="Q1027" s="3"/>
      <c r="R1027" s="3"/>
    </row>
    <row r="1028" spans="17:18" x14ac:dyDescent="0.25">
      <c r="Q1028" s="3"/>
      <c r="R1028" s="3"/>
    </row>
    <row r="1029" spans="17:18" x14ac:dyDescent="0.25">
      <c r="Q1029" s="3"/>
      <c r="R1029" s="3"/>
    </row>
    <row r="1030" spans="17:18" x14ac:dyDescent="0.25">
      <c r="Q1030" s="3"/>
      <c r="R1030" s="3"/>
    </row>
    <row r="1031" spans="17:18" x14ac:dyDescent="0.25">
      <c r="Q1031" s="3"/>
      <c r="R1031" s="3"/>
    </row>
    <row r="1032" spans="17:18" x14ac:dyDescent="0.25">
      <c r="Q1032" s="3"/>
      <c r="R1032" s="3"/>
    </row>
    <row r="1033" spans="17:18" x14ac:dyDescent="0.25">
      <c r="Q1033" s="3"/>
      <c r="R1033" s="3"/>
    </row>
    <row r="1034" spans="17:18" x14ac:dyDescent="0.25">
      <c r="Q1034" s="3"/>
      <c r="R1034" s="3"/>
    </row>
    <row r="1035" spans="17:18" x14ac:dyDescent="0.25">
      <c r="Q1035" s="3"/>
      <c r="R1035" s="3"/>
    </row>
    <row r="1036" spans="17:18" x14ac:dyDescent="0.25">
      <c r="Q1036" s="3"/>
      <c r="R1036" s="3"/>
    </row>
    <row r="1037" spans="17:18" x14ac:dyDescent="0.25">
      <c r="Q1037" s="3"/>
      <c r="R1037" s="3"/>
    </row>
    <row r="1038" spans="17:18" x14ac:dyDescent="0.25">
      <c r="Q1038" s="3"/>
      <c r="R1038" s="3"/>
    </row>
    <row r="1039" spans="17:18" x14ac:dyDescent="0.25">
      <c r="Q1039" s="3"/>
      <c r="R1039" s="3"/>
    </row>
    <row r="1040" spans="17:18" x14ac:dyDescent="0.25">
      <c r="Q1040" s="3"/>
      <c r="R1040" s="3"/>
    </row>
    <row r="1041" spans="17:18" x14ac:dyDescent="0.25">
      <c r="Q1041" s="3"/>
      <c r="R1041" s="3"/>
    </row>
    <row r="1042" spans="17:18" x14ac:dyDescent="0.25">
      <c r="Q1042" s="3"/>
      <c r="R1042" s="3"/>
    </row>
    <row r="1043" spans="17:18" x14ac:dyDescent="0.25">
      <c r="Q1043" s="3"/>
      <c r="R1043" s="3"/>
    </row>
    <row r="1044" spans="17:18" x14ac:dyDescent="0.25">
      <c r="Q1044" s="3"/>
      <c r="R1044" s="3"/>
    </row>
    <row r="1045" spans="17:18" x14ac:dyDescent="0.25">
      <c r="Q1045" s="3"/>
      <c r="R1045" s="3"/>
    </row>
    <row r="1046" spans="17:18" x14ac:dyDescent="0.25">
      <c r="Q1046" s="3"/>
      <c r="R1046" s="3"/>
    </row>
    <row r="1047" spans="17:18" x14ac:dyDescent="0.25">
      <c r="Q1047" s="3"/>
      <c r="R1047" s="3"/>
    </row>
    <row r="1048" spans="17:18" x14ac:dyDescent="0.25">
      <c r="Q1048" s="3"/>
      <c r="R1048" s="3"/>
    </row>
    <row r="1049" spans="17:18" x14ac:dyDescent="0.25">
      <c r="Q1049" s="3"/>
      <c r="R1049" s="3"/>
    </row>
    <row r="1050" spans="17:18" x14ac:dyDescent="0.25">
      <c r="Q1050" s="3"/>
      <c r="R1050" s="3"/>
    </row>
    <row r="1051" spans="17:18" x14ac:dyDescent="0.25">
      <c r="Q1051" s="3"/>
      <c r="R1051" s="3"/>
    </row>
    <row r="1052" spans="17:18" x14ac:dyDescent="0.25">
      <c r="Q1052" s="3"/>
      <c r="R1052" s="3"/>
    </row>
    <row r="1053" spans="17:18" x14ac:dyDescent="0.25">
      <c r="Q1053" s="3"/>
      <c r="R1053" s="3"/>
    </row>
    <row r="1054" spans="17:18" x14ac:dyDescent="0.25">
      <c r="Q1054" s="3"/>
      <c r="R1054" s="3"/>
    </row>
    <row r="1055" spans="17:18" x14ac:dyDescent="0.25">
      <c r="Q1055" s="3"/>
      <c r="R1055" s="3"/>
    </row>
    <row r="1056" spans="17:18" x14ac:dyDescent="0.25">
      <c r="Q1056" s="3"/>
      <c r="R1056" s="3"/>
    </row>
    <row r="1057" spans="17:18" x14ac:dyDescent="0.25">
      <c r="Q1057" s="3"/>
      <c r="R1057" s="3"/>
    </row>
    <row r="1058" spans="17:18" x14ac:dyDescent="0.25">
      <c r="Q1058" s="3"/>
      <c r="R1058" s="3"/>
    </row>
    <row r="1059" spans="17:18" x14ac:dyDescent="0.25">
      <c r="Q1059" s="3"/>
      <c r="R1059" s="3"/>
    </row>
    <row r="1060" spans="17:18" x14ac:dyDescent="0.25">
      <c r="Q1060" s="3"/>
      <c r="R1060" s="3"/>
    </row>
    <row r="1061" spans="17:18" x14ac:dyDescent="0.25">
      <c r="Q1061" s="3"/>
      <c r="R1061" s="3"/>
    </row>
    <row r="1062" spans="17:18" x14ac:dyDescent="0.25">
      <c r="Q1062" s="3"/>
      <c r="R1062" s="3"/>
    </row>
    <row r="1063" spans="17:18" x14ac:dyDescent="0.25">
      <c r="Q1063" s="3"/>
      <c r="R1063" s="3"/>
    </row>
    <row r="1064" spans="17:18" x14ac:dyDescent="0.25">
      <c r="Q1064" s="3"/>
      <c r="R1064" s="3"/>
    </row>
    <row r="1065" spans="17:18" x14ac:dyDescent="0.25">
      <c r="Q1065" s="3"/>
      <c r="R1065" s="3"/>
    </row>
    <row r="1066" spans="17:18" x14ac:dyDescent="0.25">
      <c r="Q1066" s="3"/>
      <c r="R1066" s="3"/>
    </row>
    <row r="1067" spans="17:18" x14ac:dyDescent="0.25">
      <c r="Q1067" s="3"/>
      <c r="R1067" s="3"/>
    </row>
    <row r="1068" spans="17:18" x14ac:dyDescent="0.25">
      <c r="Q1068" s="3"/>
      <c r="R1068" s="3"/>
    </row>
    <row r="1069" spans="17:18" x14ac:dyDescent="0.25">
      <c r="Q1069" s="3"/>
      <c r="R1069" s="3"/>
    </row>
    <row r="1070" spans="17:18" x14ac:dyDescent="0.25">
      <c r="Q1070" s="3"/>
      <c r="R1070" s="3"/>
    </row>
    <row r="1071" spans="17:18" x14ac:dyDescent="0.25">
      <c r="Q1071" s="3"/>
      <c r="R1071" s="3"/>
    </row>
    <row r="1072" spans="17:18" x14ac:dyDescent="0.25">
      <c r="Q1072" s="3"/>
      <c r="R1072" s="3"/>
    </row>
    <row r="1073" spans="17:18" x14ac:dyDescent="0.25">
      <c r="Q1073" s="3"/>
      <c r="R1073" s="3"/>
    </row>
    <row r="1074" spans="17:18" x14ac:dyDescent="0.25">
      <c r="Q1074" s="3"/>
      <c r="R1074" s="3"/>
    </row>
    <row r="1075" spans="17:18" x14ac:dyDescent="0.25">
      <c r="Q1075" s="3"/>
      <c r="R1075" s="3"/>
    </row>
    <row r="1076" spans="17:18" x14ac:dyDescent="0.25">
      <c r="Q1076" s="3"/>
      <c r="R1076" s="3"/>
    </row>
    <row r="1077" spans="17:18" x14ac:dyDescent="0.25">
      <c r="Q1077" s="3"/>
      <c r="R1077" s="3"/>
    </row>
    <row r="1078" spans="17:18" x14ac:dyDescent="0.25">
      <c r="Q1078" s="3"/>
      <c r="R1078" s="3"/>
    </row>
    <row r="1079" spans="17:18" x14ac:dyDescent="0.25">
      <c r="Q1079" s="3"/>
      <c r="R1079" s="3"/>
    </row>
    <row r="1080" spans="17:18" x14ac:dyDescent="0.25">
      <c r="Q1080" s="3"/>
      <c r="R1080" s="3"/>
    </row>
    <row r="1081" spans="17:18" x14ac:dyDescent="0.25">
      <c r="Q1081" s="3"/>
      <c r="R1081" s="3"/>
    </row>
    <row r="1082" spans="17:18" x14ac:dyDescent="0.25">
      <c r="Q1082" s="3"/>
      <c r="R1082" s="3"/>
    </row>
    <row r="1083" spans="17:18" x14ac:dyDescent="0.25">
      <c r="Q1083" s="3"/>
      <c r="R1083" s="3"/>
    </row>
    <row r="1084" spans="17:18" x14ac:dyDescent="0.25">
      <c r="Q1084" s="3"/>
      <c r="R1084" s="3"/>
    </row>
    <row r="1085" spans="17:18" x14ac:dyDescent="0.25">
      <c r="Q1085" s="3"/>
      <c r="R1085" s="3"/>
    </row>
    <row r="1086" spans="17:18" x14ac:dyDescent="0.25">
      <c r="Q1086" s="3"/>
      <c r="R1086" s="3"/>
    </row>
    <row r="1087" spans="17:18" x14ac:dyDescent="0.25">
      <c r="Q1087" s="3"/>
      <c r="R1087" s="3"/>
    </row>
    <row r="1088" spans="17:18" x14ac:dyDescent="0.25">
      <c r="Q1088" s="3"/>
      <c r="R1088" s="3"/>
    </row>
    <row r="1089" spans="17:18" x14ac:dyDescent="0.25">
      <c r="Q1089" s="3"/>
      <c r="R1089" s="3"/>
    </row>
    <row r="1090" spans="17:18" x14ac:dyDescent="0.25">
      <c r="Q1090" s="3"/>
      <c r="R1090" s="3"/>
    </row>
    <row r="1091" spans="17:18" x14ac:dyDescent="0.25">
      <c r="Q1091" s="3"/>
      <c r="R1091" s="3"/>
    </row>
    <row r="1092" spans="17:18" x14ac:dyDescent="0.25">
      <c r="Q1092" s="3"/>
      <c r="R1092" s="3"/>
    </row>
    <row r="1093" spans="17:18" x14ac:dyDescent="0.25">
      <c r="Q1093" s="3"/>
      <c r="R1093" s="3"/>
    </row>
    <row r="1094" spans="17:18" x14ac:dyDescent="0.25">
      <c r="Q1094" s="3"/>
      <c r="R1094" s="3"/>
    </row>
    <row r="1095" spans="17:18" x14ac:dyDescent="0.25">
      <c r="Q1095" s="3"/>
      <c r="R1095" s="3"/>
    </row>
    <row r="1096" spans="17:18" x14ac:dyDescent="0.25">
      <c r="Q1096" s="3"/>
      <c r="R1096" s="3"/>
    </row>
    <row r="1097" spans="17:18" x14ac:dyDescent="0.25">
      <c r="Q1097" s="3"/>
      <c r="R1097" s="3"/>
    </row>
    <row r="1098" spans="17:18" x14ac:dyDescent="0.25">
      <c r="Q1098" s="3"/>
      <c r="R1098" s="3"/>
    </row>
    <row r="1099" spans="17:18" x14ac:dyDescent="0.25">
      <c r="Q1099" s="3"/>
      <c r="R1099" s="3"/>
    </row>
    <row r="1100" spans="17:18" x14ac:dyDescent="0.25">
      <c r="Q1100" s="3"/>
      <c r="R1100" s="3"/>
    </row>
    <row r="1101" spans="17:18" x14ac:dyDescent="0.25">
      <c r="Q1101" s="3"/>
      <c r="R1101" s="3"/>
    </row>
    <row r="1102" spans="17:18" x14ac:dyDescent="0.25">
      <c r="Q1102" s="3"/>
      <c r="R1102" s="3"/>
    </row>
    <row r="1103" spans="17:18" x14ac:dyDescent="0.25">
      <c r="Q1103" s="3"/>
      <c r="R1103" s="3"/>
    </row>
    <row r="1104" spans="17:18" x14ac:dyDescent="0.25">
      <c r="Q1104" s="3"/>
      <c r="R1104" s="3"/>
    </row>
    <row r="1105" spans="17:18" x14ac:dyDescent="0.25">
      <c r="Q1105" s="3"/>
      <c r="R1105" s="3"/>
    </row>
    <row r="1106" spans="17:18" x14ac:dyDescent="0.25">
      <c r="Q1106" s="3"/>
      <c r="R1106" s="3"/>
    </row>
    <row r="1107" spans="17:18" x14ac:dyDescent="0.25">
      <c r="Q1107" s="3"/>
      <c r="R1107" s="3"/>
    </row>
    <row r="1108" spans="17:18" x14ac:dyDescent="0.25">
      <c r="Q1108" s="3"/>
      <c r="R1108" s="3"/>
    </row>
    <row r="1109" spans="17:18" x14ac:dyDescent="0.25">
      <c r="Q1109" s="3"/>
      <c r="R1109" s="3"/>
    </row>
    <row r="1110" spans="17:18" x14ac:dyDescent="0.25">
      <c r="Q1110" s="3"/>
      <c r="R1110" s="3"/>
    </row>
    <row r="1111" spans="17:18" x14ac:dyDescent="0.25">
      <c r="Q1111" s="3"/>
      <c r="R1111" s="3"/>
    </row>
    <row r="1112" spans="17:18" x14ac:dyDescent="0.25">
      <c r="Q1112" s="3"/>
      <c r="R1112" s="3"/>
    </row>
    <row r="1113" spans="17:18" x14ac:dyDescent="0.25">
      <c r="Q1113" s="3"/>
      <c r="R1113" s="3"/>
    </row>
    <row r="1114" spans="17:18" x14ac:dyDescent="0.25">
      <c r="Q1114" s="3"/>
      <c r="R1114" s="3"/>
    </row>
    <row r="1115" spans="17:18" x14ac:dyDescent="0.25">
      <c r="Q1115" s="3"/>
      <c r="R1115" s="3"/>
    </row>
    <row r="1116" spans="17:18" x14ac:dyDescent="0.25">
      <c r="Q1116" s="3"/>
      <c r="R1116" s="3"/>
    </row>
    <row r="1117" spans="17:18" x14ac:dyDescent="0.25">
      <c r="Q1117" s="3"/>
      <c r="R1117" s="3"/>
    </row>
    <row r="1118" spans="17:18" x14ac:dyDescent="0.25">
      <c r="Q1118" s="3"/>
      <c r="R1118" s="3"/>
    </row>
    <row r="1119" spans="17:18" x14ac:dyDescent="0.25">
      <c r="Q1119" s="3"/>
      <c r="R1119" s="3"/>
    </row>
    <row r="1120" spans="17:18" x14ac:dyDescent="0.25">
      <c r="Q1120" s="3"/>
      <c r="R1120" s="3"/>
    </row>
    <row r="1121" spans="17:18" x14ac:dyDescent="0.25">
      <c r="Q1121" s="3"/>
      <c r="R1121" s="3"/>
    </row>
    <row r="1122" spans="17:18" x14ac:dyDescent="0.25">
      <c r="Q1122" s="3"/>
      <c r="R1122" s="3"/>
    </row>
    <row r="1123" spans="17:18" x14ac:dyDescent="0.25">
      <c r="Q1123" s="3"/>
      <c r="R1123" s="3"/>
    </row>
    <row r="1124" spans="17:18" x14ac:dyDescent="0.25">
      <c r="Q1124" s="3"/>
      <c r="R1124" s="3"/>
    </row>
    <row r="1125" spans="17:18" x14ac:dyDescent="0.25">
      <c r="Q1125" s="3"/>
      <c r="R1125" s="3"/>
    </row>
    <row r="1126" spans="17:18" x14ac:dyDescent="0.25">
      <c r="Q1126" s="3"/>
      <c r="R1126" s="3"/>
    </row>
    <row r="1127" spans="17:18" x14ac:dyDescent="0.25">
      <c r="Q1127" s="3"/>
      <c r="R1127" s="3"/>
    </row>
    <row r="1128" spans="17:18" x14ac:dyDescent="0.25">
      <c r="Q1128" s="3"/>
      <c r="R1128" s="3"/>
    </row>
    <row r="1129" spans="17:18" x14ac:dyDescent="0.25">
      <c r="Q1129" s="3"/>
      <c r="R1129" s="3"/>
    </row>
    <row r="1130" spans="17:18" x14ac:dyDescent="0.25">
      <c r="Q1130" s="3"/>
      <c r="R1130" s="3"/>
    </row>
    <row r="1131" spans="17:18" x14ac:dyDescent="0.25">
      <c r="Q1131" s="3"/>
      <c r="R1131" s="3"/>
    </row>
    <row r="1132" spans="17:18" x14ac:dyDescent="0.25">
      <c r="Q1132" s="3"/>
      <c r="R1132" s="3"/>
    </row>
    <row r="1133" spans="17:18" x14ac:dyDescent="0.25">
      <c r="Q1133" s="3"/>
      <c r="R1133" s="3"/>
    </row>
    <row r="1134" spans="17:18" x14ac:dyDescent="0.25">
      <c r="Q1134" s="3"/>
      <c r="R1134" s="3"/>
    </row>
    <row r="1135" spans="17:18" x14ac:dyDescent="0.25">
      <c r="Q1135" s="3"/>
      <c r="R1135" s="3"/>
    </row>
    <row r="1136" spans="17:18" x14ac:dyDescent="0.25">
      <c r="Q1136" s="3"/>
      <c r="R1136" s="3"/>
    </row>
    <row r="1137" spans="17:18" x14ac:dyDescent="0.25">
      <c r="Q1137" s="3"/>
      <c r="R1137" s="3"/>
    </row>
    <row r="1138" spans="17:18" x14ac:dyDescent="0.25">
      <c r="Q1138" s="3"/>
      <c r="R1138" s="3"/>
    </row>
    <row r="1139" spans="17:18" x14ac:dyDescent="0.25">
      <c r="Q1139" s="3"/>
      <c r="R1139" s="3"/>
    </row>
    <row r="1140" spans="17:18" x14ac:dyDescent="0.25">
      <c r="Q1140" s="3"/>
      <c r="R1140" s="3"/>
    </row>
    <row r="1141" spans="17:18" x14ac:dyDescent="0.25">
      <c r="Q1141" s="3"/>
      <c r="R1141" s="3"/>
    </row>
    <row r="1142" spans="17:18" x14ac:dyDescent="0.25">
      <c r="Q1142" s="3"/>
      <c r="R1142" s="3"/>
    </row>
    <row r="1143" spans="17:18" x14ac:dyDescent="0.25">
      <c r="Q1143" s="3"/>
      <c r="R1143" s="3"/>
    </row>
    <row r="1144" spans="17:18" x14ac:dyDescent="0.25">
      <c r="Q1144" s="3"/>
      <c r="R1144" s="3"/>
    </row>
    <row r="1145" spans="17:18" x14ac:dyDescent="0.25">
      <c r="Q1145" s="3"/>
      <c r="R1145" s="3"/>
    </row>
    <row r="1146" spans="17:18" x14ac:dyDescent="0.25">
      <c r="Q1146" s="3"/>
      <c r="R1146" s="3"/>
    </row>
    <row r="1147" spans="17:18" x14ac:dyDescent="0.25">
      <c r="Q1147" s="3"/>
      <c r="R1147" s="3"/>
    </row>
    <row r="1148" spans="17:18" x14ac:dyDescent="0.25">
      <c r="Q1148" s="3"/>
      <c r="R1148" s="3"/>
    </row>
    <row r="1149" spans="17:18" x14ac:dyDescent="0.25">
      <c r="Q1149" s="3"/>
      <c r="R1149" s="3"/>
    </row>
    <row r="1150" spans="17:18" x14ac:dyDescent="0.25">
      <c r="Q1150" s="3"/>
      <c r="R1150" s="3"/>
    </row>
    <row r="1151" spans="17:18" x14ac:dyDescent="0.25">
      <c r="Q1151" s="3"/>
      <c r="R1151" s="3"/>
    </row>
    <row r="1152" spans="17:18" x14ac:dyDescent="0.25">
      <c r="Q1152" s="3"/>
      <c r="R1152" s="3"/>
    </row>
    <row r="1153" spans="17:18" x14ac:dyDescent="0.25">
      <c r="Q1153" s="3"/>
      <c r="R1153" s="3"/>
    </row>
    <row r="1154" spans="17:18" x14ac:dyDescent="0.25">
      <c r="Q1154" s="3"/>
      <c r="R1154" s="3"/>
    </row>
    <row r="1155" spans="17:18" x14ac:dyDescent="0.25">
      <c r="Q1155" s="3"/>
      <c r="R1155" s="3"/>
    </row>
    <row r="1156" spans="17:18" x14ac:dyDescent="0.25">
      <c r="Q1156" s="3"/>
      <c r="R1156" s="3"/>
    </row>
    <row r="1157" spans="17:18" x14ac:dyDescent="0.25">
      <c r="Q1157" s="3"/>
      <c r="R1157" s="3"/>
    </row>
    <row r="1158" spans="17:18" x14ac:dyDescent="0.25">
      <c r="Q1158" s="3"/>
      <c r="R1158" s="3"/>
    </row>
    <row r="1159" spans="17:18" x14ac:dyDescent="0.25">
      <c r="Q1159" s="3"/>
      <c r="R1159" s="3"/>
    </row>
    <row r="1160" spans="17:18" x14ac:dyDescent="0.25">
      <c r="Q1160" s="3"/>
      <c r="R1160" s="3"/>
    </row>
    <row r="1161" spans="17:18" x14ac:dyDescent="0.25">
      <c r="Q1161" s="3"/>
      <c r="R1161" s="3"/>
    </row>
    <row r="1162" spans="17:18" x14ac:dyDescent="0.25">
      <c r="Q1162" s="3"/>
      <c r="R1162" s="3"/>
    </row>
    <row r="1163" spans="17:18" x14ac:dyDescent="0.25">
      <c r="Q1163" s="3"/>
      <c r="R1163" s="3"/>
    </row>
    <row r="1164" spans="17:18" x14ac:dyDescent="0.25">
      <c r="Q1164" s="3"/>
      <c r="R1164" s="3"/>
    </row>
    <row r="1165" spans="17:18" x14ac:dyDescent="0.25">
      <c r="Q1165" s="3"/>
      <c r="R1165" s="3"/>
    </row>
    <row r="1166" spans="17:18" x14ac:dyDescent="0.25">
      <c r="Q1166" s="3"/>
      <c r="R1166" s="3"/>
    </row>
    <row r="1167" spans="17:18" x14ac:dyDescent="0.25">
      <c r="Q1167" s="3"/>
      <c r="R1167" s="3"/>
    </row>
    <row r="1168" spans="17:18" x14ac:dyDescent="0.25">
      <c r="Q1168" s="3"/>
      <c r="R1168" s="3"/>
    </row>
    <row r="1169" spans="17:18" x14ac:dyDescent="0.25">
      <c r="Q1169" s="3"/>
      <c r="R1169" s="3"/>
    </row>
    <row r="1170" spans="17:18" x14ac:dyDescent="0.25">
      <c r="Q1170" s="3"/>
      <c r="R1170" s="3"/>
    </row>
    <row r="1171" spans="17:18" x14ac:dyDescent="0.25">
      <c r="Q1171" s="3"/>
      <c r="R1171" s="3"/>
    </row>
    <row r="1172" spans="17:18" x14ac:dyDescent="0.25">
      <c r="Q1172" s="3"/>
      <c r="R1172" s="3"/>
    </row>
    <row r="1173" spans="17:18" x14ac:dyDescent="0.25">
      <c r="Q1173" s="3"/>
      <c r="R1173" s="3"/>
    </row>
    <row r="1174" spans="17:18" x14ac:dyDescent="0.25">
      <c r="Q1174" s="3"/>
      <c r="R1174" s="3"/>
    </row>
    <row r="1175" spans="17:18" x14ac:dyDescent="0.25">
      <c r="Q1175" s="3"/>
      <c r="R1175" s="3"/>
    </row>
    <row r="1176" spans="17:18" x14ac:dyDescent="0.25">
      <c r="Q1176" s="3"/>
      <c r="R1176" s="3"/>
    </row>
    <row r="1177" spans="17:18" x14ac:dyDescent="0.25">
      <c r="Q1177" s="3"/>
      <c r="R1177" s="3"/>
    </row>
    <row r="1178" spans="17:18" x14ac:dyDescent="0.25">
      <c r="Q1178" s="3"/>
      <c r="R1178" s="3"/>
    </row>
    <row r="1179" spans="17:18" x14ac:dyDescent="0.25">
      <c r="Q1179" s="3"/>
      <c r="R1179" s="3"/>
    </row>
    <row r="1180" spans="17:18" x14ac:dyDescent="0.25">
      <c r="Q1180" s="3"/>
      <c r="R1180" s="3"/>
    </row>
    <row r="1181" spans="17:18" x14ac:dyDescent="0.25">
      <c r="Q1181" s="3"/>
      <c r="R1181" s="3"/>
    </row>
    <row r="1182" spans="17:18" x14ac:dyDescent="0.25">
      <c r="Q1182" s="3"/>
      <c r="R1182" s="3"/>
    </row>
    <row r="1183" spans="17:18" x14ac:dyDescent="0.25">
      <c r="Q1183" s="3"/>
      <c r="R1183" s="3"/>
    </row>
    <row r="1184" spans="17:18" x14ac:dyDescent="0.25">
      <c r="Q1184" s="3"/>
      <c r="R1184" s="3"/>
    </row>
    <row r="1185" spans="17:18" x14ac:dyDescent="0.25">
      <c r="Q1185" s="3"/>
      <c r="R1185" s="3"/>
    </row>
    <row r="1186" spans="17:18" x14ac:dyDescent="0.25">
      <c r="Q1186" s="3"/>
      <c r="R1186" s="3"/>
    </row>
    <row r="1187" spans="17:18" x14ac:dyDescent="0.25">
      <c r="Q1187" s="3"/>
      <c r="R1187" s="3"/>
    </row>
    <row r="1188" spans="17:18" x14ac:dyDescent="0.25">
      <c r="Q1188" s="3"/>
      <c r="R1188" s="3"/>
    </row>
    <row r="1189" spans="17:18" x14ac:dyDescent="0.25">
      <c r="Q1189" s="3"/>
      <c r="R1189" s="3"/>
    </row>
    <row r="1190" spans="17:18" x14ac:dyDescent="0.25">
      <c r="Q1190" s="3"/>
      <c r="R1190" s="3"/>
    </row>
    <row r="1191" spans="17:18" x14ac:dyDescent="0.25">
      <c r="Q1191" s="3"/>
      <c r="R1191" s="3"/>
    </row>
    <row r="1192" spans="17:18" x14ac:dyDescent="0.25">
      <c r="Q1192" s="3"/>
      <c r="R1192" s="3"/>
    </row>
    <row r="1193" spans="17:18" x14ac:dyDescent="0.25">
      <c r="Q1193" s="3"/>
      <c r="R1193" s="3"/>
    </row>
    <row r="1194" spans="17:18" x14ac:dyDescent="0.25">
      <c r="Q1194" s="3"/>
      <c r="R1194" s="3"/>
    </row>
    <row r="1195" spans="17:18" x14ac:dyDescent="0.25">
      <c r="Q1195" s="3"/>
      <c r="R1195" s="3"/>
    </row>
    <row r="1196" spans="17:18" x14ac:dyDescent="0.25">
      <c r="Q1196" s="3"/>
      <c r="R1196" s="3"/>
    </row>
    <row r="1197" spans="17:18" x14ac:dyDescent="0.25">
      <c r="Q1197" s="3"/>
      <c r="R1197" s="3"/>
    </row>
    <row r="1198" spans="17:18" x14ac:dyDescent="0.25">
      <c r="Q1198" s="3"/>
      <c r="R1198" s="3"/>
    </row>
    <row r="1199" spans="17:18" x14ac:dyDescent="0.25">
      <c r="Q1199" s="3"/>
      <c r="R1199" s="3"/>
    </row>
    <row r="1200" spans="17:18" x14ac:dyDescent="0.25">
      <c r="Q1200" s="3"/>
      <c r="R1200" s="3"/>
    </row>
    <row r="1201" spans="17:18" x14ac:dyDescent="0.25">
      <c r="Q1201" s="3"/>
      <c r="R1201" s="3"/>
    </row>
    <row r="1202" spans="17:18" x14ac:dyDescent="0.25">
      <c r="Q1202" s="3"/>
      <c r="R1202" s="3"/>
    </row>
    <row r="1203" spans="17:18" x14ac:dyDescent="0.25">
      <c r="Q1203" s="3"/>
      <c r="R1203" s="3"/>
    </row>
    <row r="1204" spans="17:18" x14ac:dyDescent="0.25">
      <c r="Q1204" s="3"/>
      <c r="R1204" s="3"/>
    </row>
    <row r="1205" spans="17:18" x14ac:dyDescent="0.25">
      <c r="Q1205" s="3"/>
      <c r="R1205" s="3"/>
    </row>
    <row r="1206" spans="17:18" x14ac:dyDescent="0.25">
      <c r="Q1206" s="3"/>
      <c r="R1206" s="3"/>
    </row>
    <row r="1207" spans="17:18" x14ac:dyDescent="0.25">
      <c r="Q1207" s="3"/>
      <c r="R1207" s="3"/>
    </row>
    <row r="1208" spans="17:18" x14ac:dyDescent="0.25">
      <c r="Q1208" s="3"/>
      <c r="R1208" s="3"/>
    </row>
    <row r="1209" spans="17:18" x14ac:dyDescent="0.25">
      <c r="Q1209" s="3"/>
      <c r="R1209" s="3"/>
    </row>
    <row r="1210" spans="17:18" x14ac:dyDescent="0.25">
      <c r="Q1210" s="3"/>
      <c r="R1210" s="3"/>
    </row>
    <row r="1211" spans="17:18" x14ac:dyDescent="0.25">
      <c r="Q1211" s="3"/>
      <c r="R1211" s="3"/>
    </row>
    <row r="1212" spans="17:18" x14ac:dyDescent="0.25">
      <c r="Q1212" s="3"/>
      <c r="R1212" s="3"/>
    </row>
    <row r="1213" spans="17:18" x14ac:dyDescent="0.25">
      <c r="Q1213" s="3"/>
      <c r="R1213" s="3"/>
    </row>
    <row r="1214" spans="17:18" x14ac:dyDescent="0.25">
      <c r="Q1214" s="3"/>
      <c r="R1214" s="3"/>
    </row>
    <row r="1215" spans="17:18" x14ac:dyDescent="0.25">
      <c r="Q1215" s="3"/>
      <c r="R1215" s="3"/>
    </row>
    <row r="1216" spans="17:18" x14ac:dyDescent="0.25">
      <c r="Q1216" s="3"/>
      <c r="R1216" s="3"/>
    </row>
    <row r="1217" spans="17:18" x14ac:dyDescent="0.25">
      <c r="Q1217" s="3"/>
      <c r="R1217" s="3"/>
    </row>
    <row r="1218" spans="17:18" x14ac:dyDescent="0.25">
      <c r="Q1218" s="3"/>
      <c r="R1218" s="3"/>
    </row>
    <row r="1219" spans="17:18" x14ac:dyDescent="0.25">
      <c r="Q1219" s="3"/>
      <c r="R1219" s="3"/>
    </row>
    <row r="1220" spans="17:18" x14ac:dyDescent="0.25">
      <c r="Q1220" s="3"/>
      <c r="R1220" s="3"/>
    </row>
    <row r="1221" spans="17:18" x14ac:dyDescent="0.25">
      <c r="Q1221" s="3"/>
      <c r="R1221" s="3"/>
    </row>
    <row r="1222" spans="17:18" x14ac:dyDescent="0.25">
      <c r="Q1222" s="3"/>
      <c r="R1222" s="3"/>
    </row>
    <row r="1223" spans="17:18" x14ac:dyDescent="0.25">
      <c r="Q1223" s="3"/>
      <c r="R1223" s="3"/>
    </row>
    <row r="1224" spans="17:18" x14ac:dyDescent="0.25">
      <c r="Q1224" s="3"/>
      <c r="R1224" s="3"/>
    </row>
    <row r="1225" spans="17:18" x14ac:dyDescent="0.25">
      <c r="Q1225" s="3"/>
      <c r="R1225" s="3"/>
    </row>
    <row r="1226" spans="17:18" x14ac:dyDescent="0.25">
      <c r="Q1226" s="3"/>
      <c r="R1226" s="3"/>
    </row>
    <row r="1227" spans="17:18" x14ac:dyDescent="0.25">
      <c r="Q1227" s="3"/>
      <c r="R1227" s="3"/>
    </row>
    <row r="1228" spans="17:18" x14ac:dyDescent="0.25">
      <c r="Q1228" s="3"/>
      <c r="R1228" s="3"/>
    </row>
    <row r="1229" spans="17:18" x14ac:dyDescent="0.25">
      <c r="Q1229" s="3"/>
      <c r="R1229" s="3"/>
    </row>
    <row r="1230" spans="17:18" x14ac:dyDescent="0.25">
      <c r="Q1230" s="3"/>
      <c r="R1230" s="3"/>
    </row>
    <row r="1231" spans="17:18" x14ac:dyDescent="0.25">
      <c r="Q1231" s="3"/>
      <c r="R1231" s="3"/>
    </row>
    <row r="1232" spans="17:18" x14ac:dyDescent="0.25">
      <c r="Q1232" s="3"/>
      <c r="R1232" s="3"/>
    </row>
    <row r="1233" spans="17:18" x14ac:dyDescent="0.25">
      <c r="Q1233" s="3"/>
      <c r="R1233" s="3"/>
    </row>
    <row r="1234" spans="17:18" x14ac:dyDescent="0.25">
      <c r="Q1234" s="3"/>
      <c r="R1234" s="3"/>
    </row>
    <row r="1235" spans="17:18" x14ac:dyDescent="0.25">
      <c r="Q1235" s="3"/>
      <c r="R1235" s="3"/>
    </row>
    <row r="1236" spans="17:18" x14ac:dyDescent="0.25">
      <c r="Q1236" s="3"/>
      <c r="R1236" s="3"/>
    </row>
    <row r="1237" spans="17:18" x14ac:dyDescent="0.25">
      <c r="Q1237" s="3"/>
      <c r="R1237" s="3"/>
    </row>
    <row r="1238" spans="17:18" x14ac:dyDescent="0.25">
      <c r="Q1238" s="3"/>
      <c r="R1238" s="3"/>
    </row>
    <row r="1239" spans="17:18" x14ac:dyDescent="0.25">
      <c r="Q1239" s="3"/>
      <c r="R1239" s="3"/>
    </row>
    <row r="1240" spans="17:18" x14ac:dyDescent="0.25">
      <c r="Q1240" s="3"/>
      <c r="R1240" s="3"/>
    </row>
    <row r="1241" spans="17:18" x14ac:dyDescent="0.25">
      <c r="Q1241" s="3"/>
      <c r="R1241" s="3"/>
    </row>
    <row r="1242" spans="17:18" x14ac:dyDescent="0.25">
      <c r="Q1242" s="3"/>
      <c r="R1242" s="3"/>
    </row>
    <row r="1243" spans="17:18" x14ac:dyDescent="0.25">
      <c r="Q1243" s="3"/>
      <c r="R1243" s="3"/>
    </row>
    <row r="1244" spans="17:18" x14ac:dyDescent="0.25">
      <c r="Q1244" s="3"/>
      <c r="R1244" s="3"/>
    </row>
    <row r="1245" spans="17:18" x14ac:dyDescent="0.25">
      <c r="Q1245" s="3"/>
      <c r="R1245" s="3"/>
    </row>
    <row r="1246" spans="17:18" x14ac:dyDescent="0.25">
      <c r="Q1246" s="3"/>
      <c r="R1246" s="3"/>
    </row>
    <row r="1247" spans="17:18" x14ac:dyDescent="0.25">
      <c r="Q1247" s="3"/>
      <c r="R1247" s="3"/>
    </row>
    <row r="1248" spans="17:18" x14ac:dyDescent="0.25">
      <c r="Q1248" s="3"/>
      <c r="R1248" s="3"/>
    </row>
    <row r="1249" spans="17:18" x14ac:dyDescent="0.25">
      <c r="Q1249" s="3"/>
      <c r="R1249" s="3"/>
    </row>
    <row r="1250" spans="17:18" x14ac:dyDescent="0.25">
      <c r="Q1250" s="3"/>
      <c r="R1250" s="3"/>
    </row>
    <row r="1251" spans="17:18" x14ac:dyDescent="0.25">
      <c r="Q1251" s="3"/>
      <c r="R1251" s="3"/>
    </row>
    <row r="1252" spans="17:18" x14ac:dyDescent="0.25">
      <c r="Q1252" s="3"/>
      <c r="R1252" s="3"/>
    </row>
    <row r="1253" spans="17:18" x14ac:dyDescent="0.25">
      <c r="Q1253" s="3"/>
      <c r="R1253" s="3"/>
    </row>
    <row r="1254" spans="17:18" x14ac:dyDescent="0.25">
      <c r="Q1254" s="3"/>
      <c r="R1254" s="3"/>
    </row>
    <row r="1255" spans="17:18" x14ac:dyDescent="0.25">
      <c r="Q1255" s="3"/>
      <c r="R1255" s="3"/>
    </row>
    <row r="1256" spans="17:18" x14ac:dyDescent="0.25">
      <c r="Q1256" s="3"/>
      <c r="R1256" s="3"/>
    </row>
    <row r="1257" spans="17:18" x14ac:dyDescent="0.25">
      <c r="Q1257" s="3"/>
      <c r="R1257" s="3"/>
    </row>
    <row r="1258" spans="17:18" x14ac:dyDescent="0.25">
      <c r="Q1258" s="3"/>
      <c r="R1258" s="3"/>
    </row>
    <row r="1259" spans="17:18" x14ac:dyDescent="0.25">
      <c r="Q1259" s="3"/>
      <c r="R1259" s="3"/>
    </row>
    <row r="1260" spans="17:18" x14ac:dyDescent="0.25">
      <c r="Q1260" s="3"/>
      <c r="R1260" s="3"/>
    </row>
    <row r="1261" spans="17:18" x14ac:dyDescent="0.25">
      <c r="Q1261" s="3"/>
      <c r="R1261" s="3"/>
    </row>
    <row r="1262" spans="17:18" x14ac:dyDescent="0.25">
      <c r="Q1262" s="3"/>
      <c r="R1262" s="3"/>
    </row>
    <row r="1263" spans="17:18" x14ac:dyDescent="0.25">
      <c r="Q1263" s="3"/>
      <c r="R1263" s="3"/>
    </row>
    <row r="1264" spans="17:18" x14ac:dyDescent="0.25">
      <c r="Q1264" s="3"/>
      <c r="R1264" s="3"/>
    </row>
    <row r="1265" spans="17:18" x14ac:dyDescent="0.25">
      <c r="Q1265" s="3"/>
      <c r="R1265" s="3"/>
    </row>
    <row r="1266" spans="17:18" x14ac:dyDescent="0.25">
      <c r="Q1266" s="3"/>
      <c r="R1266" s="3"/>
    </row>
    <row r="1267" spans="17:18" x14ac:dyDescent="0.25">
      <c r="Q1267" s="3"/>
      <c r="R1267" s="3"/>
    </row>
    <row r="1268" spans="17:18" x14ac:dyDescent="0.25">
      <c r="Q1268" s="3"/>
      <c r="R1268" s="3"/>
    </row>
    <row r="1269" spans="17:18" x14ac:dyDescent="0.25">
      <c r="Q1269" s="3"/>
      <c r="R1269" s="3"/>
    </row>
    <row r="1270" spans="17:18" x14ac:dyDescent="0.25">
      <c r="Q1270" s="3"/>
      <c r="R1270" s="3"/>
    </row>
    <row r="1271" spans="17:18" x14ac:dyDescent="0.25">
      <c r="Q1271" s="3"/>
      <c r="R1271" s="3"/>
    </row>
    <row r="1272" spans="17:18" x14ac:dyDescent="0.25">
      <c r="Q1272" s="3"/>
      <c r="R1272" s="3"/>
    </row>
    <row r="1273" spans="17:18" x14ac:dyDescent="0.25">
      <c r="Q1273" s="3"/>
      <c r="R1273" s="3"/>
    </row>
    <row r="1274" spans="17:18" x14ac:dyDescent="0.25">
      <c r="Q1274" s="3"/>
      <c r="R1274" s="3"/>
    </row>
    <row r="1275" spans="17:18" x14ac:dyDescent="0.25">
      <c r="Q1275" s="3"/>
      <c r="R1275" s="3"/>
    </row>
    <row r="1276" spans="17:18" x14ac:dyDescent="0.25">
      <c r="Q1276" s="3"/>
      <c r="R1276" s="3"/>
    </row>
    <row r="1277" spans="17:18" x14ac:dyDescent="0.25">
      <c r="Q1277" s="3"/>
      <c r="R1277" s="3"/>
    </row>
    <row r="1278" spans="17:18" x14ac:dyDescent="0.25">
      <c r="Q1278" s="3"/>
      <c r="R1278" s="3"/>
    </row>
    <row r="1279" spans="17:18" x14ac:dyDescent="0.25">
      <c r="Q1279" s="3"/>
      <c r="R1279" s="3"/>
    </row>
    <row r="1280" spans="17:18" x14ac:dyDescent="0.25">
      <c r="Q1280" s="3"/>
      <c r="R1280" s="3"/>
    </row>
    <row r="1281" spans="17:18" x14ac:dyDescent="0.25">
      <c r="Q1281" s="3"/>
      <c r="R1281" s="3"/>
    </row>
    <row r="1282" spans="17:18" x14ac:dyDescent="0.25">
      <c r="Q1282" s="3"/>
      <c r="R1282" s="3"/>
    </row>
    <row r="1283" spans="17:18" x14ac:dyDescent="0.25">
      <c r="Q1283" s="3"/>
      <c r="R1283" s="3"/>
    </row>
    <row r="1284" spans="17:18" x14ac:dyDescent="0.25">
      <c r="Q1284" s="3"/>
      <c r="R1284" s="3"/>
    </row>
    <row r="1285" spans="17:18" x14ac:dyDescent="0.25">
      <c r="Q1285" s="3"/>
      <c r="R1285" s="3"/>
    </row>
    <row r="1286" spans="17:18" x14ac:dyDescent="0.25">
      <c r="Q1286" s="3"/>
      <c r="R1286" s="3"/>
    </row>
    <row r="1287" spans="17:18" x14ac:dyDescent="0.25">
      <c r="Q1287" s="3"/>
      <c r="R1287" s="3"/>
    </row>
    <row r="1288" spans="17:18" x14ac:dyDescent="0.25">
      <c r="Q1288" s="3"/>
      <c r="R1288" s="3"/>
    </row>
    <row r="1289" spans="17:18" x14ac:dyDescent="0.25">
      <c r="Q1289" s="3"/>
      <c r="R1289" s="3"/>
    </row>
    <row r="1290" spans="17:18" x14ac:dyDescent="0.25">
      <c r="Q1290" s="3"/>
      <c r="R1290" s="3"/>
    </row>
    <row r="1291" spans="17:18" x14ac:dyDescent="0.25">
      <c r="Q1291" s="3"/>
      <c r="R1291" s="3"/>
    </row>
    <row r="1292" spans="17:18" x14ac:dyDescent="0.25">
      <c r="Q1292" s="3"/>
      <c r="R1292" s="3"/>
    </row>
    <row r="1293" spans="17:18" x14ac:dyDescent="0.25">
      <c r="Q1293" s="3"/>
      <c r="R1293" s="3"/>
    </row>
    <row r="1294" spans="17:18" x14ac:dyDescent="0.25">
      <c r="Q1294" s="3"/>
      <c r="R1294" s="3"/>
    </row>
    <row r="1295" spans="17:18" x14ac:dyDescent="0.25">
      <c r="Q1295" s="3"/>
      <c r="R1295" s="3"/>
    </row>
    <row r="1296" spans="17:18" x14ac:dyDescent="0.25">
      <c r="Q1296" s="3"/>
      <c r="R1296" s="3"/>
    </row>
    <row r="1297" spans="17:18" x14ac:dyDescent="0.25">
      <c r="Q1297" s="3"/>
      <c r="R1297" s="3"/>
    </row>
    <row r="1298" spans="17:18" x14ac:dyDescent="0.25">
      <c r="Q1298" s="3"/>
      <c r="R1298" s="3"/>
    </row>
    <row r="1299" spans="17:18" x14ac:dyDescent="0.25">
      <c r="Q1299" s="3"/>
      <c r="R1299" s="3"/>
    </row>
    <row r="1300" spans="17:18" x14ac:dyDescent="0.25">
      <c r="Q1300" s="3"/>
      <c r="R1300" s="3"/>
    </row>
    <row r="1301" spans="17:18" x14ac:dyDescent="0.25">
      <c r="Q1301" s="3"/>
      <c r="R1301" s="3"/>
    </row>
    <row r="1302" spans="17:18" x14ac:dyDescent="0.25">
      <c r="Q1302" s="3"/>
      <c r="R1302" s="3"/>
    </row>
    <row r="1303" spans="17:18" x14ac:dyDescent="0.25">
      <c r="Q1303" s="3"/>
      <c r="R1303" s="3"/>
    </row>
    <row r="1304" spans="17:18" x14ac:dyDescent="0.25">
      <c r="Q1304" s="3"/>
      <c r="R1304" s="3"/>
    </row>
    <row r="1305" spans="17:18" x14ac:dyDescent="0.25">
      <c r="Q1305" s="3"/>
      <c r="R1305" s="3"/>
    </row>
    <row r="1306" spans="17:18" x14ac:dyDescent="0.25">
      <c r="Q1306" s="3"/>
      <c r="R1306" s="3"/>
    </row>
    <row r="1307" spans="17:18" x14ac:dyDescent="0.25">
      <c r="Q1307" s="3"/>
      <c r="R1307" s="3"/>
    </row>
    <row r="1308" spans="17:18" x14ac:dyDescent="0.25">
      <c r="Q1308" s="3"/>
      <c r="R1308" s="3"/>
    </row>
    <row r="1309" spans="17:18" x14ac:dyDescent="0.25">
      <c r="Q1309" s="3"/>
      <c r="R1309" s="3"/>
    </row>
    <row r="1310" spans="17:18" x14ac:dyDescent="0.25">
      <c r="Q1310" s="3"/>
      <c r="R1310" s="3"/>
    </row>
    <row r="1311" spans="17:18" x14ac:dyDescent="0.25">
      <c r="Q1311" s="3"/>
      <c r="R1311" s="3"/>
    </row>
    <row r="1312" spans="17:18" x14ac:dyDescent="0.25">
      <c r="Q1312" s="3"/>
      <c r="R1312" s="3"/>
    </row>
    <row r="1313" spans="17:18" x14ac:dyDescent="0.25">
      <c r="Q1313" s="3"/>
      <c r="R1313" s="3"/>
    </row>
    <row r="1314" spans="17:18" x14ac:dyDescent="0.25">
      <c r="Q1314" s="3"/>
      <c r="R1314" s="3"/>
    </row>
    <row r="1315" spans="17:18" x14ac:dyDescent="0.25">
      <c r="Q1315" s="3"/>
      <c r="R1315" s="3"/>
    </row>
    <row r="1316" spans="17:18" x14ac:dyDescent="0.25">
      <c r="Q1316" s="3"/>
      <c r="R1316" s="3"/>
    </row>
    <row r="1317" spans="17:18" x14ac:dyDescent="0.25">
      <c r="Q1317" s="3"/>
      <c r="R1317" s="3"/>
    </row>
    <row r="1318" spans="17:18" x14ac:dyDescent="0.25">
      <c r="Q1318" s="3"/>
      <c r="R1318" s="3"/>
    </row>
    <row r="1319" spans="17:18" x14ac:dyDescent="0.25">
      <c r="Q1319" s="3"/>
      <c r="R1319" s="3"/>
    </row>
    <row r="1320" spans="17:18" x14ac:dyDescent="0.25">
      <c r="Q1320" s="3"/>
      <c r="R1320" s="3"/>
    </row>
    <row r="1321" spans="17:18" x14ac:dyDescent="0.25">
      <c r="Q1321" s="3"/>
      <c r="R1321" s="3"/>
    </row>
    <row r="1322" spans="17:18" x14ac:dyDescent="0.25">
      <c r="Q1322" s="3"/>
      <c r="R1322" s="3"/>
    </row>
    <row r="1323" spans="17:18" x14ac:dyDescent="0.25">
      <c r="Q1323" s="3"/>
      <c r="R1323" s="3"/>
    </row>
    <row r="1324" spans="17:18" x14ac:dyDescent="0.25">
      <c r="Q1324" s="3"/>
      <c r="R1324" s="3"/>
    </row>
    <row r="1325" spans="17:18" x14ac:dyDescent="0.25">
      <c r="Q1325" s="3"/>
      <c r="R1325" s="3"/>
    </row>
    <row r="1326" spans="17:18" x14ac:dyDescent="0.25">
      <c r="Q1326" s="3"/>
      <c r="R1326" s="3"/>
    </row>
    <row r="1327" spans="17:18" x14ac:dyDescent="0.25">
      <c r="Q1327" s="3"/>
      <c r="R1327" s="3"/>
    </row>
    <row r="1328" spans="17:18" x14ac:dyDescent="0.25">
      <c r="Q1328" s="3"/>
      <c r="R1328" s="3"/>
    </row>
    <row r="1329" spans="17:18" x14ac:dyDescent="0.25">
      <c r="Q1329" s="3"/>
      <c r="R1329" s="3"/>
    </row>
    <row r="1330" spans="17:18" x14ac:dyDescent="0.25">
      <c r="Q1330" s="3"/>
      <c r="R1330" s="3"/>
    </row>
    <row r="1331" spans="17:18" x14ac:dyDescent="0.25">
      <c r="Q1331" s="3"/>
      <c r="R1331" s="3"/>
    </row>
    <row r="1332" spans="17:18" x14ac:dyDescent="0.25">
      <c r="Q1332" s="3"/>
      <c r="R1332" s="3"/>
    </row>
    <row r="1333" spans="17:18" x14ac:dyDescent="0.25">
      <c r="Q1333" s="3"/>
      <c r="R1333" s="3"/>
    </row>
    <row r="1334" spans="17:18" x14ac:dyDescent="0.25">
      <c r="Q1334" s="3"/>
      <c r="R1334" s="3"/>
    </row>
    <row r="1335" spans="17:18" x14ac:dyDescent="0.25">
      <c r="Q1335" s="3"/>
      <c r="R1335" s="3"/>
    </row>
    <row r="1336" spans="17:18" x14ac:dyDescent="0.25">
      <c r="Q1336" s="3"/>
      <c r="R1336" s="3"/>
    </row>
    <row r="1337" spans="17:18" x14ac:dyDescent="0.25">
      <c r="Q1337" s="3"/>
      <c r="R1337" s="3"/>
    </row>
    <row r="1338" spans="17:18" x14ac:dyDescent="0.25">
      <c r="Q1338" s="3"/>
      <c r="R1338" s="3"/>
    </row>
    <row r="1339" spans="17:18" x14ac:dyDescent="0.25">
      <c r="Q1339" s="3"/>
      <c r="R1339" s="3"/>
    </row>
    <row r="1340" spans="17:18" x14ac:dyDescent="0.25">
      <c r="Q1340" s="3"/>
      <c r="R1340" s="3"/>
    </row>
    <row r="1341" spans="17:18" x14ac:dyDescent="0.25">
      <c r="Q1341" s="3"/>
      <c r="R1341" s="3"/>
    </row>
    <row r="1342" spans="17:18" x14ac:dyDescent="0.25">
      <c r="Q1342" s="3"/>
      <c r="R1342" s="3"/>
    </row>
    <row r="1343" spans="17:18" x14ac:dyDescent="0.25">
      <c r="Q1343" s="3"/>
      <c r="R1343" s="3"/>
    </row>
    <row r="1344" spans="17:18" x14ac:dyDescent="0.25">
      <c r="Q1344" s="3"/>
      <c r="R1344" s="3"/>
    </row>
    <row r="1345" spans="17:18" x14ac:dyDescent="0.25">
      <c r="Q1345" s="3"/>
      <c r="R1345" s="3"/>
    </row>
    <row r="1346" spans="17:18" x14ac:dyDescent="0.25">
      <c r="Q1346" s="3"/>
      <c r="R1346" s="3"/>
    </row>
    <row r="1347" spans="17:18" x14ac:dyDescent="0.25">
      <c r="Q1347" s="3"/>
      <c r="R1347" s="3"/>
    </row>
    <row r="1348" spans="17:18" x14ac:dyDescent="0.25">
      <c r="Q1348" s="3"/>
      <c r="R1348" s="3"/>
    </row>
    <row r="1349" spans="17:18" x14ac:dyDescent="0.25">
      <c r="Q1349" s="3"/>
      <c r="R1349" s="3"/>
    </row>
    <row r="1350" spans="17:18" x14ac:dyDescent="0.25">
      <c r="Q1350" s="3"/>
      <c r="R1350" s="3"/>
    </row>
    <row r="1351" spans="17:18" x14ac:dyDescent="0.25">
      <c r="Q1351" s="3"/>
      <c r="R1351" s="3"/>
    </row>
    <row r="1352" spans="17:18" x14ac:dyDescent="0.25">
      <c r="Q1352" s="3"/>
      <c r="R1352" s="3"/>
    </row>
    <row r="1353" spans="17:18" x14ac:dyDescent="0.25">
      <c r="Q1353" s="3"/>
      <c r="R1353" s="3"/>
    </row>
    <row r="1354" spans="17:18" x14ac:dyDescent="0.25">
      <c r="Q1354" s="3"/>
      <c r="R1354" s="3"/>
    </row>
    <row r="1355" spans="17:18" x14ac:dyDescent="0.25">
      <c r="Q1355" s="3"/>
      <c r="R1355" s="3"/>
    </row>
    <row r="1356" spans="17:18" x14ac:dyDescent="0.25">
      <c r="Q1356" s="3"/>
      <c r="R1356" s="3"/>
    </row>
    <row r="1357" spans="17:18" x14ac:dyDescent="0.25">
      <c r="Q1357" s="3"/>
      <c r="R1357" s="3"/>
    </row>
    <row r="1358" spans="17:18" x14ac:dyDescent="0.25">
      <c r="Q1358" s="3"/>
      <c r="R1358" s="3"/>
    </row>
    <row r="1359" spans="17:18" x14ac:dyDescent="0.25">
      <c r="Q1359" s="3"/>
      <c r="R1359" s="3"/>
    </row>
    <row r="1360" spans="17:18" x14ac:dyDescent="0.25">
      <c r="Q1360" s="3"/>
      <c r="R1360" s="3"/>
    </row>
    <row r="1361" spans="17:18" x14ac:dyDescent="0.25">
      <c r="Q1361" s="3"/>
      <c r="R1361" s="3"/>
    </row>
    <row r="1362" spans="17:18" x14ac:dyDescent="0.25">
      <c r="Q1362" s="3"/>
      <c r="R1362" s="3"/>
    </row>
    <row r="1363" spans="17:18" x14ac:dyDescent="0.25">
      <c r="Q1363" s="3"/>
      <c r="R1363" s="3"/>
    </row>
    <row r="1364" spans="17:18" x14ac:dyDescent="0.25">
      <c r="Q1364" s="3"/>
      <c r="R1364" s="3"/>
    </row>
    <row r="1365" spans="17:18" x14ac:dyDescent="0.25">
      <c r="Q1365" s="3"/>
      <c r="R1365" s="3"/>
    </row>
    <row r="1366" spans="17:18" x14ac:dyDescent="0.25">
      <c r="Q1366" s="3"/>
      <c r="R1366" s="3"/>
    </row>
    <row r="1367" spans="17:18" x14ac:dyDescent="0.25">
      <c r="Q1367" s="3"/>
      <c r="R1367" s="3"/>
    </row>
    <row r="1368" spans="17:18" x14ac:dyDescent="0.25">
      <c r="Q1368" s="3"/>
      <c r="R1368" s="3"/>
    </row>
    <row r="1369" spans="17:18" x14ac:dyDescent="0.25">
      <c r="Q1369" s="3"/>
      <c r="R1369" s="3"/>
    </row>
    <row r="1370" spans="17:18" x14ac:dyDescent="0.25">
      <c r="Q1370" s="3"/>
      <c r="R1370" s="3"/>
    </row>
    <row r="1371" spans="17:18" x14ac:dyDescent="0.25">
      <c r="Q1371" s="3"/>
      <c r="R1371" s="3"/>
    </row>
    <row r="1372" spans="17:18" x14ac:dyDescent="0.25">
      <c r="Q1372" s="3"/>
      <c r="R1372" s="3"/>
    </row>
    <row r="1373" spans="17:18" x14ac:dyDescent="0.25">
      <c r="Q1373" s="3"/>
      <c r="R1373" s="3"/>
    </row>
    <row r="1374" spans="17:18" x14ac:dyDescent="0.25">
      <c r="Q1374" s="3"/>
      <c r="R1374" s="3"/>
    </row>
    <row r="1375" spans="17:18" x14ac:dyDescent="0.25">
      <c r="Q1375" s="3"/>
      <c r="R1375" s="3"/>
    </row>
    <row r="1376" spans="17:18" x14ac:dyDescent="0.25">
      <c r="Q1376" s="3"/>
      <c r="R1376" s="3"/>
    </row>
    <row r="1377" spans="17:18" x14ac:dyDescent="0.25">
      <c r="Q1377" s="3"/>
      <c r="R1377" s="3"/>
    </row>
    <row r="1378" spans="17:18" x14ac:dyDescent="0.25">
      <c r="Q1378" s="3"/>
      <c r="R1378" s="3"/>
    </row>
    <row r="1379" spans="17:18" x14ac:dyDescent="0.25">
      <c r="Q1379" s="3"/>
      <c r="R1379" s="3"/>
    </row>
    <row r="1380" spans="17:18" x14ac:dyDescent="0.25">
      <c r="Q1380" s="3"/>
      <c r="R1380" s="3"/>
    </row>
    <row r="1381" spans="17:18" x14ac:dyDescent="0.25">
      <c r="Q1381" s="3"/>
      <c r="R1381" s="3"/>
    </row>
    <row r="1382" spans="17:18" x14ac:dyDescent="0.25">
      <c r="Q1382" s="3"/>
      <c r="R1382" s="3"/>
    </row>
    <row r="1383" spans="17:18" x14ac:dyDescent="0.25">
      <c r="Q1383" s="3"/>
      <c r="R1383" s="3"/>
    </row>
    <row r="1384" spans="17:18" x14ac:dyDescent="0.25">
      <c r="Q1384" s="3"/>
      <c r="R1384" s="3"/>
    </row>
    <row r="1385" spans="17:18" x14ac:dyDescent="0.25">
      <c r="Q1385" s="3"/>
      <c r="R1385" s="3"/>
    </row>
    <row r="1386" spans="17:18" x14ac:dyDescent="0.25">
      <c r="Q1386" s="3"/>
      <c r="R1386" s="3"/>
    </row>
    <row r="1387" spans="17:18" x14ac:dyDescent="0.25">
      <c r="Q1387" s="3"/>
      <c r="R1387" s="3"/>
    </row>
    <row r="1388" spans="17:18" x14ac:dyDescent="0.25">
      <c r="Q1388" s="3"/>
      <c r="R1388" s="3"/>
    </row>
    <row r="1389" spans="17:18" x14ac:dyDescent="0.25">
      <c r="Q1389" s="3"/>
      <c r="R1389" s="3"/>
    </row>
    <row r="1390" spans="17:18" x14ac:dyDescent="0.25">
      <c r="Q1390" s="3"/>
      <c r="R1390" s="3"/>
    </row>
    <row r="1391" spans="17:18" x14ac:dyDescent="0.25">
      <c r="Q1391" s="3"/>
      <c r="R1391" s="3"/>
    </row>
    <row r="1392" spans="17:18" x14ac:dyDescent="0.25">
      <c r="Q1392" s="3"/>
      <c r="R1392" s="3"/>
    </row>
    <row r="1393" spans="17:18" x14ac:dyDescent="0.25">
      <c r="Q1393" s="3"/>
      <c r="R1393" s="3"/>
    </row>
    <row r="1394" spans="17:18" x14ac:dyDescent="0.25">
      <c r="Q1394" s="3"/>
      <c r="R1394" s="3"/>
    </row>
    <row r="1395" spans="17:18" x14ac:dyDescent="0.25">
      <c r="Q1395" s="3"/>
      <c r="R1395" s="3"/>
    </row>
    <row r="1396" spans="17:18" x14ac:dyDescent="0.25">
      <c r="Q1396" s="3"/>
      <c r="R1396" s="3"/>
    </row>
    <row r="1397" spans="17:18" x14ac:dyDescent="0.25">
      <c r="Q1397" s="3"/>
      <c r="R1397" s="3"/>
    </row>
    <row r="1398" spans="17:18" x14ac:dyDescent="0.25">
      <c r="Q1398" s="3"/>
      <c r="R1398" s="3"/>
    </row>
    <row r="1399" spans="17:18" x14ac:dyDescent="0.25">
      <c r="Q1399" s="3"/>
      <c r="R1399" s="3"/>
    </row>
    <row r="1400" spans="17:18" x14ac:dyDescent="0.25">
      <c r="Q1400" s="3"/>
      <c r="R1400" s="3"/>
    </row>
    <row r="1401" spans="17:18" x14ac:dyDescent="0.25">
      <c r="Q1401" s="3"/>
      <c r="R1401" s="3"/>
    </row>
    <row r="1402" spans="17:18" x14ac:dyDescent="0.25">
      <c r="Q1402" s="3"/>
      <c r="R1402" s="3"/>
    </row>
    <row r="1403" spans="17:18" x14ac:dyDescent="0.25">
      <c r="Q1403" s="3"/>
      <c r="R1403" s="3"/>
    </row>
    <row r="1404" spans="17:18" x14ac:dyDescent="0.25">
      <c r="Q1404" s="3"/>
      <c r="R1404" s="3"/>
    </row>
    <row r="1405" spans="17:18" x14ac:dyDescent="0.25">
      <c r="Q1405" s="3"/>
      <c r="R1405" s="3"/>
    </row>
    <row r="1406" spans="17:18" x14ac:dyDescent="0.25">
      <c r="Q1406" s="3"/>
      <c r="R1406" s="3"/>
    </row>
    <row r="1407" spans="17:18" x14ac:dyDescent="0.25">
      <c r="Q1407" s="3"/>
      <c r="R1407" s="3"/>
    </row>
    <row r="1408" spans="17:18" x14ac:dyDescent="0.25">
      <c r="Q1408" s="3"/>
      <c r="R1408" s="3"/>
    </row>
    <row r="1409" spans="17:18" x14ac:dyDescent="0.25">
      <c r="Q1409" s="3"/>
      <c r="R1409" s="3"/>
    </row>
    <row r="1410" spans="17:18" x14ac:dyDescent="0.25">
      <c r="Q1410" s="3"/>
      <c r="R1410" s="3"/>
    </row>
    <row r="1411" spans="17:18" x14ac:dyDescent="0.25">
      <c r="Q1411" s="3"/>
      <c r="R1411" s="3"/>
    </row>
    <row r="1412" spans="17:18" x14ac:dyDescent="0.25">
      <c r="Q1412" s="3"/>
      <c r="R1412" s="3"/>
    </row>
    <row r="1413" spans="17:18" x14ac:dyDescent="0.25">
      <c r="Q1413" s="3"/>
      <c r="R1413" s="3"/>
    </row>
    <row r="1414" spans="17:18" x14ac:dyDescent="0.25">
      <c r="Q1414" s="3"/>
      <c r="R1414" s="3"/>
    </row>
    <row r="1415" spans="17:18" x14ac:dyDescent="0.25">
      <c r="Q1415" s="3"/>
      <c r="R1415" s="3"/>
    </row>
    <row r="1416" spans="17:18" x14ac:dyDescent="0.25">
      <c r="Q1416" s="3"/>
      <c r="R1416" s="3"/>
    </row>
    <row r="1417" spans="17:18" x14ac:dyDescent="0.25">
      <c r="Q1417" s="3"/>
      <c r="R1417" s="3"/>
    </row>
    <row r="1418" spans="17:18" x14ac:dyDescent="0.25">
      <c r="Q1418" s="3"/>
      <c r="R1418" s="3"/>
    </row>
    <row r="1419" spans="17:18" x14ac:dyDescent="0.25">
      <c r="Q1419" s="3"/>
      <c r="R1419" s="3"/>
    </row>
    <row r="1420" spans="17:18" x14ac:dyDescent="0.25">
      <c r="Q1420" s="3"/>
      <c r="R1420" s="3"/>
    </row>
    <row r="1421" spans="17:18" x14ac:dyDescent="0.25">
      <c r="Q1421" s="3"/>
      <c r="R1421" s="3"/>
    </row>
    <row r="1422" spans="17:18" x14ac:dyDescent="0.25">
      <c r="Q1422" s="3"/>
      <c r="R1422" s="3"/>
    </row>
    <row r="1423" spans="17:18" x14ac:dyDescent="0.25">
      <c r="Q1423" s="3"/>
      <c r="R1423" s="3"/>
    </row>
    <row r="1424" spans="17:18" x14ac:dyDescent="0.25">
      <c r="Q1424" s="3"/>
      <c r="R1424" s="3"/>
    </row>
    <row r="1425" spans="17:18" x14ac:dyDescent="0.25">
      <c r="Q1425" s="3"/>
      <c r="R1425" s="3"/>
    </row>
    <row r="1426" spans="17:18" x14ac:dyDescent="0.25">
      <c r="Q1426" s="3"/>
      <c r="R1426" s="3"/>
    </row>
    <row r="1427" spans="17:18" x14ac:dyDescent="0.25">
      <c r="Q1427" s="3"/>
      <c r="R1427" s="3"/>
    </row>
    <row r="1428" spans="17:18" x14ac:dyDescent="0.25">
      <c r="Q1428" s="3"/>
      <c r="R1428" s="3"/>
    </row>
    <row r="1429" spans="17:18" x14ac:dyDescent="0.25">
      <c r="Q1429" s="3"/>
      <c r="R1429" s="3"/>
    </row>
    <row r="1430" spans="17:18" x14ac:dyDescent="0.25">
      <c r="Q1430" s="3"/>
      <c r="R1430" s="3"/>
    </row>
    <row r="1431" spans="17:18" x14ac:dyDescent="0.25">
      <c r="Q1431" s="3"/>
      <c r="R1431" s="3"/>
    </row>
    <row r="1432" spans="17:18" x14ac:dyDescent="0.25">
      <c r="Q1432" s="3"/>
      <c r="R1432" s="3"/>
    </row>
    <row r="1433" spans="17:18" x14ac:dyDescent="0.25">
      <c r="Q1433" s="3"/>
      <c r="R1433" s="3"/>
    </row>
    <row r="1434" spans="17:18" x14ac:dyDescent="0.25">
      <c r="Q1434" s="3"/>
      <c r="R1434" s="3"/>
    </row>
    <row r="1435" spans="17:18" x14ac:dyDescent="0.25">
      <c r="Q1435" s="3"/>
      <c r="R1435" s="3"/>
    </row>
    <row r="1436" spans="17:18" x14ac:dyDescent="0.25">
      <c r="Q1436" s="3"/>
      <c r="R1436" s="3"/>
    </row>
    <row r="1437" spans="17:18" x14ac:dyDescent="0.25">
      <c r="Q1437" s="3"/>
      <c r="R1437" s="3"/>
    </row>
    <row r="1438" spans="17:18" x14ac:dyDescent="0.25">
      <c r="Q1438" s="3"/>
      <c r="R1438" s="3"/>
    </row>
    <row r="1439" spans="17:18" x14ac:dyDescent="0.25">
      <c r="Q1439" s="3"/>
      <c r="R1439" s="3"/>
    </row>
    <row r="1440" spans="17:18" x14ac:dyDescent="0.25">
      <c r="Q1440" s="3"/>
      <c r="R1440" s="3"/>
    </row>
    <row r="1441" spans="17:18" x14ac:dyDescent="0.25">
      <c r="Q1441" s="3"/>
      <c r="R1441" s="3"/>
    </row>
    <row r="1442" spans="17:18" x14ac:dyDescent="0.25">
      <c r="Q1442" s="3"/>
      <c r="R1442" s="3"/>
    </row>
    <row r="1443" spans="17:18" x14ac:dyDescent="0.25">
      <c r="Q1443" s="3"/>
      <c r="R1443" s="3"/>
    </row>
    <row r="1444" spans="17:18" x14ac:dyDescent="0.25">
      <c r="Q1444" s="3"/>
      <c r="R1444" s="3"/>
    </row>
    <row r="1445" spans="17:18" x14ac:dyDescent="0.25">
      <c r="Q1445" s="3"/>
      <c r="R1445" s="3"/>
    </row>
    <row r="1446" spans="17:18" x14ac:dyDescent="0.25">
      <c r="Q1446" s="3"/>
      <c r="R1446" s="3"/>
    </row>
    <row r="1447" spans="17:18" x14ac:dyDescent="0.25">
      <c r="Q1447" s="3"/>
      <c r="R1447" s="3"/>
    </row>
    <row r="1448" spans="17:18" x14ac:dyDescent="0.25">
      <c r="Q1448" s="3"/>
      <c r="R1448" s="3"/>
    </row>
    <row r="1449" spans="17:18" x14ac:dyDescent="0.25">
      <c r="Q1449" s="3"/>
      <c r="R1449" s="3"/>
    </row>
    <row r="1450" spans="17:18" x14ac:dyDescent="0.25">
      <c r="Q1450" s="3"/>
      <c r="R1450" s="3"/>
    </row>
    <row r="1451" spans="17:18" x14ac:dyDescent="0.25">
      <c r="Q1451" s="3"/>
      <c r="R1451" s="3"/>
    </row>
    <row r="1452" spans="17:18" x14ac:dyDescent="0.25">
      <c r="Q1452" s="3"/>
      <c r="R1452" s="3"/>
    </row>
    <row r="1453" spans="17:18" x14ac:dyDescent="0.25">
      <c r="Q1453" s="3"/>
      <c r="R1453" s="3"/>
    </row>
    <row r="1454" spans="17:18" x14ac:dyDescent="0.25">
      <c r="Q1454" s="3"/>
      <c r="R1454" s="3"/>
    </row>
    <row r="1455" spans="17:18" x14ac:dyDescent="0.25">
      <c r="Q1455" s="3"/>
      <c r="R1455" s="3"/>
    </row>
    <row r="1456" spans="17:18" x14ac:dyDescent="0.25">
      <c r="Q1456" s="3"/>
      <c r="R1456" s="3"/>
    </row>
    <row r="1457" spans="17:18" x14ac:dyDescent="0.25">
      <c r="Q1457" s="3"/>
      <c r="R1457" s="3"/>
    </row>
    <row r="1458" spans="17:18" x14ac:dyDescent="0.25">
      <c r="Q1458" s="3"/>
      <c r="R1458" s="3"/>
    </row>
    <row r="1459" spans="17:18" x14ac:dyDescent="0.25">
      <c r="Q1459" s="3"/>
      <c r="R1459" s="3"/>
    </row>
    <row r="1460" spans="17:18" x14ac:dyDescent="0.25">
      <c r="Q1460" s="3"/>
      <c r="R1460" s="3"/>
    </row>
    <row r="1461" spans="17:18" x14ac:dyDescent="0.25">
      <c r="Q1461" s="3"/>
      <c r="R1461" s="3"/>
    </row>
    <row r="1462" spans="17:18" x14ac:dyDescent="0.25">
      <c r="Q1462" s="3"/>
      <c r="R1462" s="3"/>
    </row>
    <row r="1463" spans="17:18" x14ac:dyDescent="0.25">
      <c r="Q1463" s="3"/>
      <c r="R1463" s="3"/>
    </row>
    <row r="1464" spans="17:18" x14ac:dyDescent="0.25">
      <c r="Q1464" s="3"/>
      <c r="R1464" s="3"/>
    </row>
    <row r="1465" spans="17:18" x14ac:dyDescent="0.25">
      <c r="Q1465" s="3"/>
      <c r="R1465" s="3"/>
    </row>
    <row r="1466" spans="17:18" x14ac:dyDescent="0.25">
      <c r="Q1466" s="3"/>
      <c r="R1466" s="3"/>
    </row>
    <row r="1467" spans="17:18" x14ac:dyDescent="0.25">
      <c r="Q1467" s="3"/>
      <c r="R1467" s="3"/>
    </row>
    <row r="1468" spans="17:18" x14ac:dyDescent="0.25">
      <c r="Q1468" s="3"/>
      <c r="R1468" s="3"/>
    </row>
    <row r="1469" spans="17:18" x14ac:dyDescent="0.25">
      <c r="Q1469" s="3"/>
      <c r="R1469" s="3"/>
    </row>
    <row r="1470" spans="17:18" x14ac:dyDescent="0.25">
      <c r="Q1470" s="3"/>
      <c r="R1470" s="3"/>
    </row>
    <row r="1471" spans="17:18" x14ac:dyDescent="0.25">
      <c r="Q1471" s="3"/>
      <c r="R1471" s="3"/>
    </row>
    <row r="1472" spans="17:18" x14ac:dyDescent="0.25">
      <c r="Q1472" s="3"/>
      <c r="R1472" s="3"/>
    </row>
    <row r="1473" spans="17:18" x14ac:dyDescent="0.25">
      <c r="Q1473" s="3"/>
      <c r="R1473" s="3"/>
    </row>
    <row r="1474" spans="17:18" x14ac:dyDescent="0.25">
      <c r="Q1474" s="3"/>
      <c r="R1474" s="3"/>
    </row>
    <row r="1475" spans="17:18" x14ac:dyDescent="0.25">
      <c r="Q1475" s="3"/>
      <c r="R1475" s="3"/>
    </row>
    <row r="1476" spans="17:18" x14ac:dyDescent="0.25">
      <c r="Q1476" s="3"/>
      <c r="R1476" s="3"/>
    </row>
    <row r="1477" spans="17:18" x14ac:dyDescent="0.25">
      <c r="Q1477" s="3"/>
      <c r="R1477" s="3"/>
    </row>
    <row r="1478" spans="17:18" x14ac:dyDescent="0.25">
      <c r="Q1478" s="3"/>
      <c r="R1478" s="3"/>
    </row>
    <row r="1479" spans="17:18" x14ac:dyDescent="0.25">
      <c r="Q1479" s="3"/>
      <c r="R1479" s="3"/>
    </row>
    <row r="1480" spans="17:18" x14ac:dyDescent="0.25">
      <c r="Q1480" s="3"/>
      <c r="R1480" s="3"/>
    </row>
    <row r="1481" spans="17:18" x14ac:dyDescent="0.25">
      <c r="Q1481" s="3"/>
      <c r="R1481" s="3"/>
    </row>
    <row r="1482" spans="17:18" x14ac:dyDescent="0.25">
      <c r="Q1482" s="3"/>
      <c r="R1482" s="3"/>
    </row>
    <row r="1483" spans="17:18" x14ac:dyDescent="0.25">
      <c r="Q1483" s="3"/>
      <c r="R1483" s="3"/>
    </row>
    <row r="1484" spans="17:18" x14ac:dyDescent="0.25">
      <c r="Q1484" s="3"/>
      <c r="R1484" s="3"/>
    </row>
    <row r="1485" spans="17:18" x14ac:dyDescent="0.25">
      <c r="Q1485" s="3"/>
      <c r="R1485" s="3"/>
    </row>
    <row r="1486" spans="17:18" x14ac:dyDescent="0.25">
      <c r="Q1486" s="3"/>
      <c r="R1486" s="3"/>
    </row>
    <row r="1487" spans="17:18" x14ac:dyDescent="0.25">
      <c r="Q1487" s="3"/>
      <c r="R1487" s="3"/>
    </row>
    <row r="1488" spans="17:18" x14ac:dyDescent="0.25">
      <c r="Q1488" s="3"/>
      <c r="R1488" s="3"/>
    </row>
    <row r="1489" spans="17:18" x14ac:dyDescent="0.25">
      <c r="Q1489" s="3"/>
      <c r="R1489" s="3"/>
    </row>
    <row r="1490" spans="17:18" x14ac:dyDescent="0.25">
      <c r="Q1490" s="3"/>
      <c r="R1490" s="3"/>
    </row>
    <row r="1491" spans="17:18" x14ac:dyDescent="0.25">
      <c r="Q1491" s="3"/>
      <c r="R1491" s="3"/>
    </row>
    <row r="1492" spans="17:18" x14ac:dyDescent="0.25">
      <c r="Q1492" s="3"/>
      <c r="R1492" s="3"/>
    </row>
    <row r="1493" spans="17:18" x14ac:dyDescent="0.25">
      <c r="Q1493" s="3"/>
      <c r="R1493" s="3"/>
    </row>
    <row r="1494" spans="17:18" x14ac:dyDescent="0.25">
      <c r="Q1494" s="3"/>
      <c r="R1494" s="3"/>
    </row>
    <row r="1495" spans="17:18" x14ac:dyDescent="0.25">
      <c r="Q1495" s="3"/>
      <c r="R1495" s="3"/>
    </row>
    <row r="1496" spans="17:18" x14ac:dyDescent="0.25">
      <c r="Q1496" s="3"/>
      <c r="R1496" s="3"/>
    </row>
    <row r="1497" spans="17:18" x14ac:dyDescent="0.25">
      <c r="Q1497" s="3"/>
      <c r="R1497" s="3"/>
    </row>
    <row r="1498" spans="17:18" x14ac:dyDescent="0.25">
      <c r="Q1498" s="3"/>
      <c r="R1498" s="3"/>
    </row>
    <row r="1499" spans="17:18" x14ac:dyDescent="0.25">
      <c r="Q1499" s="3"/>
      <c r="R1499" s="3"/>
    </row>
    <row r="1500" spans="17:18" x14ac:dyDescent="0.25">
      <c r="Q1500" s="3"/>
      <c r="R1500" s="3"/>
    </row>
    <row r="1501" spans="17:18" x14ac:dyDescent="0.25">
      <c r="Q1501" s="3"/>
      <c r="R1501" s="3"/>
    </row>
    <row r="1502" spans="17:18" x14ac:dyDescent="0.25">
      <c r="Q1502" s="3"/>
      <c r="R1502" s="3"/>
    </row>
    <row r="1503" spans="17:18" x14ac:dyDescent="0.25">
      <c r="Q1503" s="3"/>
      <c r="R1503" s="3"/>
    </row>
    <row r="1504" spans="17:18" x14ac:dyDescent="0.25">
      <c r="Q1504" s="3"/>
      <c r="R1504" s="3"/>
    </row>
    <row r="1505" spans="17:18" x14ac:dyDescent="0.25">
      <c r="Q1505" s="3"/>
      <c r="R1505" s="3"/>
    </row>
    <row r="1506" spans="17:18" x14ac:dyDescent="0.25">
      <c r="Q1506" s="3"/>
      <c r="R1506" s="3"/>
    </row>
    <row r="1507" spans="17:18" x14ac:dyDescent="0.25">
      <c r="Q1507" s="3"/>
      <c r="R1507" s="3"/>
    </row>
    <row r="1508" spans="17:18" x14ac:dyDescent="0.25">
      <c r="Q1508" s="3"/>
      <c r="R1508" s="3"/>
    </row>
    <row r="1509" spans="17:18" x14ac:dyDescent="0.25">
      <c r="Q1509" s="3"/>
      <c r="R1509" s="3"/>
    </row>
    <row r="1510" spans="17:18" x14ac:dyDescent="0.25">
      <c r="Q1510" s="3"/>
      <c r="R1510" s="3"/>
    </row>
    <row r="1511" spans="17:18" x14ac:dyDescent="0.25">
      <c r="Q1511" s="3"/>
      <c r="R1511" s="3"/>
    </row>
    <row r="1512" spans="17:18" x14ac:dyDescent="0.25">
      <c r="Q1512" s="3"/>
      <c r="R1512" s="3"/>
    </row>
    <row r="1513" spans="17:18" x14ac:dyDescent="0.25">
      <c r="Q1513" s="3"/>
      <c r="R1513" s="3"/>
    </row>
    <row r="1514" spans="17:18" x14ac:dyDescent="0.25">
      <c r="Q1514" s="3"/>
      <c r="R1514" s="3"/>
    </row>
    <row r="1515" spans="17:18" x14ac:dyDescent="0.25">
      <c r="Q1515" s="3"/>
      <c r="R1515" s="3"/>
    </row>
    <row r="1516" spans="17:18" x14ac:dyDescent="0.25">
      <c r="Q1516" s="3"/>
      <c r="R1516" s="3"/>
    </row>
    <row r="1517" spans="17:18" x14ac:dyDescent="0.25">
      <c r="Q1517" s="3"/>
      <c r="R1517" s="3"/>
    </row>
    <row r="1518" spans="17:18" x14ac:dyDescent="0.25">
      <c r="Q1518" s="3"/>
      <c r="R1518" s="3"/>
    </row>
    <row r="1519" spans="17:18" x14ac:dyDescent="0.25">
      <c r="Q1519" s="3"/>
      <c r="R1519" s="3"/>
    </row>
    <row r="1520" spans="17:18" x14ac:dyDescent="0.25">
      <c r="Q1520" s="3"/>
      <c r="R1520" s="3"/>
    </row>
    <row r="1521" spans="17:18" x14ac:dyDescent="0.25">
      <c r="Q1521" s="3"/>
      <c r="R1521" s="3"/>
    </row>
    <row r="1522" spans="17:18" x14ac:dyDescent="0.25">
      <c r="Q1522" s="3"/>
      <c r="R1522" s="3"/>
    </row>
    <row r="1523" spans="17:18" x14ac:dyDescent="0.25">
      <c r="Q1523" s="3"/>
      <c r="R1523" s="3"/>
    </row>
    <row r="1524" spans="17:18" x14ac:dyDescent="0.25">
      <c r="Q1524" s="3"/>
      <c r="R1524" s="3"/>
    </row>
    <row r="1525" spans="17:18" x14ac:dyDescent="0.25">
      <c r="Q1525" s="3"/>
      <c r="R1525" s="3"/>
    </row>
    <row r="1526" spans="17:18" x14ac:dyDescent="0.25">
      <c r="Q1526" s="3"/>
      <c r="R1526" s="3"/>
    </row>
    <row r="1527" spans="17:18" x14ac:dyDescent="0.25">
      <c r="Q1527" s="3"/>
      <c r="R1527" s="3"/>
    </row>
    <row r="1528" spans="17:18" x14ac:dyDescent="0.25">
      <c r="Q1528" s="3"/>
      <c r="R1528" s="3"/>
    </row>
    <row r="1529" spans="17:18" x14ac:dyDescent="0.25">
      <c r="Q1529" s="3"/>
      <c r="R1529" s="3"/>
    </row>
    <row r="1530" spans="17:18" x14ac:dyDescent="0.25">
      <c r="Q1530" s="3"/>
      <c r="R1530" s="3"/>
    </row>
    <row r="1531" spans="17:18" x14ac:dyDescent="0.25">
      <c r="Q1531" s="3"/>
      <c r="R1531" s="3"/>
    </row>
    <row r="1532" spans="17:18" x14ac:dyDescent="0.25">
      <c r="Q1532" s="3"/>
      <c r="R1532" s="3"/>
    </row>
    <row r="1533" spans="17:18" x14ac:dyDescent="0.25">
      <c r="Q1533" s="3"/>
      <c r="R1533" s="3"/>
    </row>
    <row r="1534" spans="17:18" x14ac:dyDescent="0.25">
      <c r="Q1534" s="3"/>
      <c r="R1534" s="3"/>
    </row>
    <row r="1535" spans="17:18" x14ac:dyDescent="0.25">
      <c r="Q1535" s="3"/>
      <c r="R1535" s="3"/>
    </row>
    <row r="1536" spans="17:18" x14ac:dyDescent="0.25">
      <c r="Q1536" s="3"/>
      <c r="R1536" s="3"/>
    </row>
    <row r="1537" spans="17:18" x14ac:dyDescent="0.25">
      <c r="Q1537" s="3"/>
      <c r="R1537" s="3"/>
    </row>
    <row r="1538" spans="17:18" x14ac:dyDescent="0.25">
      <c r="Q1538" s="3"/>
      <c r="R1538" s="3"/>
    </row>
    <row r="1539" spans="17:18" x14ac:dyDescent="0.25">
      <c r="Q1539" s="3"/>
      <c r="R1539" s="3"/>
    </row>
    <row r="1540" spans="17:18" x14ac:dyDescent="0.25">
      <c r="Q1540" s="3"/>
      <c r="R1540" s="3"/>
    </row>
    <row r="1541" spans="17:18" x14ac:dyDescent="0.25">
      <c r="Q1541" s="3"/>
      <c r="R1541" s="3"/>
    </row>
    <row r="1542" spans="17:18" x14ac:dyDescent="0.25">
      <c r="Q1542" s="3"/>
      <c r="R1542" s="3"/>
    </row>
    <row r="1543" spans="17:18" x14ac:dyDescent="0.25">
      <c r="Q1543" s="3"/>
      <c r="R1543" s="3"/>
    </row>
    <row r="1544" spans="17:18" x14ac:dyDescent="0.25">
      <c r="Q1544" s="3"/>
      <c r="R1544" s="3"/>
    </row>
    <row r="1545" spans="17:18" x14ac:dyDescent="0.25">
      <c r="Q1545" s="3"/>
      <c r="R1545" s="3"/>
    </row>
    <row r="1546" spans="17:18" x14ac:dyDescent="0.25">
      <c r="Q1546" s="3"/>
      <c r="R1546" s="3"/>
    </row>
    <row r="1547" spans="17:18" x14ac:dyDescent="0.25">
      <c r="Q1547" s="3"/>
      <c r="R1547" s="3"/>
    </row>
    <row r="1548" spans="17:18" x14ac:dyDescent="0.25">
      <c r="Q1548" s="3"/>
      <c r="R1548" s="3"/>
    </row>
    <row r="1549" spans="17:18" x14ac:dyDescent="0.25">
      <c r="Q1549" s="3"/>
      <c r="R1549" s="3"/>
    </row>
    <row r="1550" spans="17:18" x14ac:dyDescent="0.25">
      <c r="Q1550" s="3"/>
      <c r="R1550" s="3"/>
    </row>
    <row r="1551" spans="17:18" x14ac:dyDescent="0.25">
      <c r="Q1551" s="3"/>
      <c r="R1551" s="3"/>
    </row>
    <row r="1552" spans="17:18" x14ac:dyDescent="0.25">
      <c r="Q1552" s="3"/>
      <c r="R1552" s="3"/>
    </row>
    <row r="1553" spans="17:18" x14ac:dyDescent="0.25">
      <c r="Q1553" s="3"/>
      <c r="R1553" s="3"/>
    </row>
    <row r="1554" spans="17:18" x14ac:dyDescent="0.25">
      <c r="Q1554" s="3"/>
      <c r="R1554" s="3"/>
    </row>
    <row r="1555" spans="17:18" x14ac:dyDescent="0.25">
      <c r="Q1555" s="3"/>
      <c r="R1555" s="3"/>
    </row>
    <row r="1556" spans="17:18" x14ac:dyDescent="0.25">
      <c r="Q1556" s="3"/>
      <c r="R1556" s="3"/>
    </row>
    <row r="1557" spans="17:18" x14ac:dyDescent="0.25">
      <c r="Q1557" s="3"/>
      <c r="R1557" s="3"/>
    </row>
    <row r="1558" spans="17:18" x14ac:dyDescent="0.25">
      <c r="Q1558" s="3"/>
      <c r="R1558" s="3"/>
    </row>
    <row r="1559" spans="17:18" x14ac:dyDescent="0.25">
      <c r="Q1559" s="3"/>
      <c r="R1559" s="3"/>
    </row>
    <row r="1560" spans="17:18" x14ac:dyDescent="0.25">
      <c r="Q1560" s="3"/>
      <c r="R1560" s="3"/>
    </row>
    <row r="1561" spans="17:18" x14ac:dyDescent="0.25">
      <c r="Q1561" s="3"/>
      <c r="R1561" s="3"/>
    </row>
    <row r="1562" spans="17:18" x14ac:dyDescent="0.25">
      <c r="Q1562" s="3"/>
      <c r="R1562" s="3"/>
    </row>
    <row r="1563" spans="17:18" x14ac:dyDescent="0.25">
      <c r="Q1563" s="3"/>
      <c r="R1563" s="3"/>
    </row>
    <row r="1564" spans="17:18" x14ac:dyDescent="0.25">
      <c r="Q1564" s="3"/>
      <c r="R1564" s="3"/>
    </row>
    <row r="1565" spans="17:18" x14ac:dyDescent="0.25">
      <c r="Q1565" s="3"/>
      <c r="R1565" s="3"/>
    </row>
    <row r="1566" spans="17:18" x14ac:dyDescent="0.25">
      <c r="Q1566" s="3"/>
      <c r="R1566" s="3"/>
    </row>
    <row r="1567" spans="17:18" x14ac:dyDescent="0.25">
      <c r="Q1567" s="3"/>
      <c r="R1567" s="3"/>
    </row>
    <row r="1568" spans="17:18" x14ac:dyDescent="0.25">
      <c r="Q1568" s="3"/>
      <c r="R1568" s="3"/>
    </row>
    <row r="1569" spans="17:18" x14ac:dyDescent="0.25">
      <c r="Q1569" s="3"/>
      <c r="R1569" s="3"/>
    </row>
    <row r="1570" spans="17:18" x14ac:dyDescent="0.25">
      <c r="Q1570" s="3"/>
      <c r="R1570" s="3"/>
    </row>
    <row r="1571" spans="17:18" x14ac:dyDescent="0.25">
      <c r="Q1571" s="3"/>
      <c r="R1571" s="3"/>
    </row>
    <row r="1572" spans="17:18" x14ac:dyDescent="0.25">
      <c r="Q1572" s="3"/>
      <c r="R1572" s="3"/>
    </row>
    <row r="1573" spans="17:18" x14ac:dyDescent="0.25">
      <c r="Q1573" s="3"/>
      <c r="R1573" s="3"/>
    </row>
    <row r="1574" spans="17:18" x14ac:dyDescent="0.25">
      <c r="Q1574" s="3"/>
      <c r="R1574" s="3"/>
    </row>
    <row r="1575" spans="17:18" x14ac:dyDescent="0.25">
      <c r="Q1575" s="3"/>
      <c r="R1575" s="3"/>
    </row>
    <row r="1576" spans="17:18" x14ac:dyDescent="0.25">
      <c r="Q1576" s="3"/>
      <c r="R1576" s="3"/>
    </row>
    <row r="1577" spans="17:18" x14ac:dyDescent="0.25">
      <c r="Q1577" s="3"/>
      <c r="R1577" s="3"/>
    </row>
    <row r="1578" spans="17:18" x14ac:dyDescent="0.25">
      <c r="Q1578" s="3"/>
      <c r="R1578" s="3"/>
    </row>
    <row r="1579" spans="17:18" x14ac:dyDescent="0.25">
      <c r="Q1579" s="3"/>
      <c r="R1579" s="3"/>
    </row>
    <row r="1580" spans="17:18" x14ac:dyDescent="0.25">
      <c r="Q1580" s="3"/>
      <c r="R1580" s="3"/>
    </row>
    <row r="1581" spans="17:18" x14ac:dyDescent="0.25">
      <c r="Q1581" s="3"/>
      <c r="R1581" s="3"/>
    </row>
    <row r="1582" spans="17:18" x14ac:dyDescent="0.25">
      <c r="Q1582" s="3"/>
      <c r="R1582" s="3"/>
    </row>
    <row r="1583" spans="17:18" x14ac:dyDescent="0.25">
      <c r="Q1583" s="3"/>
      <c r="R1583" s="3"/>
    </row>
    <row r="1584" spans="17:18" x14ac:dyDescent="0.25">
      <c r="Q1584" s="3"/>
      <c r="R1584" s="3"/>
    </row>
    <row r="1585" spans="17:18" x14ac:dyDescent="0.25">
      <c r="Q1585" s="3"/>
      <c r="R1585" s="3"/>
    </row>
    <row r="1586" spans="17:18" x14ac:dyDescent="0.25">
      <c r="Q1586" s="3"/>
      <c r="R1586" s="3"/>
    </row>
    <row r="1587" spans="17:18" x14ac:dyDescent="0.25">
      <c r="Q1587" s="3"/>
      <c r="R1587" s="3"/>
    </row>
    <row r="1588" spans="17:18" x14ac:dyDescent="0.25">
      <c r="Q1588" s="3"/>
      <c r="R1588" s="3"/>
    </row>
    <row r="1589" spans="17:18" x14ac:dyDescent="0.25">
      <c r="Q1589" s="3"/>
      <c r="R1589" s="3"/>
    </row>
    <row r="1590" spans="17:18" x14ac:dyDescent="0.25">
      <c r="Q1590" s="3"/>
      <c r="R1590" s="3"/>
    </row>
    <row r="1591" spans="17:18" x14ac:dyDescent="0.25">
      <c r="Q1591" s="3"/>
      <c r="R1591" s="3"/>
    </row>
    <row r="1592" spans="17:18" x14ac:dyDescent="0.25">
      <c r="Q1592" s="3"/>
      <c r="R1592" s="3"/>
    </row>
    <row r="1593" spans="17:18" x14ac:dyDescent="0.25">
      <c r="Q1593" s="3"/>
      <c r="R1593" s="3"/>
    </row>
    <row r="1594" spans="17:18" x14ac:dyDescent="0.25">
      <c r="Q1594" s="3"/>
      <c r="R1594" s="3"/>
    </row>
    <row r="1595" spans="17:18" x14ac:dyDescent="0.25">
      <c r="Q1595" s="3"/>
      <c r="R1595" s="3"/>
    </row>
    <row r="1596" spans="17:18" x14ac:dyDescent="0.25">
      <c r="Q1596" s="3"/>
      <c r="R1596" s="3"/>
    </row>
    <row r="1597" spans="17:18" x14ac:dyDescent="0.25">
      <c r="Q1597" s="3"/>
      <c r="R1597" s="3"/>
    </row>
    <row r="1598" spans="17:18" x14ac:dyDescent="0.25">
      <c r="Q1598" s="3"/>
      <c r="R1598" s="3"/>
    </row>
    <row r="1599" spans="17:18" x14ac:dyDescent="0.25">
      <c r="Q1599" s="3"/>
      <c r="R1599" s="3"/>
    </row>
    <row r="1600" spans="17:18" x14ac:dyDescent="0.25">
      <c r="Q1600" s="3"/>
      <c r="R1600" s="3"/>
    </row>
    <row r="1601" spans="17:18" x14ac:dyDescent="0.25">
      <c r="Q1601" s="3"/>
      <c r="R1601" s="3"/>
    </row>
    <row r="1602" spans="17:18" x14ac:dyDescent="0.25">
      <c r="Q1602" s="3"/>
      <c r="R1602" s="3"/>
    </row>
    <row r="1603" spans="17:18" x14ac:dyDescent="0.25">
      <c r="Q1603" s="3"/>
      <c r="R1603" s="3"/>
    </row>
    <row r="1604" spans="17:18" x14ac:dyDescent="0.25">
      <c r="Q1604" s="3"/>
      <c r="R1604" s="3"/>
    </row>
    <row r="1605" spans="17:18" x14ac:dyDescent="0.25">
      <c r="Q1605" s="3"/>
      <c r="R1605" s="3"/>
    </row>
    <row r="1606" spans="17:18" x14ac:dyDescent="0.25">
      <c r="Q1606" s="3"/>
      <c r="R1606" s="3"/>
    </row>
    <row r="1607" spans="17:18" x14ac:dyDescent="0.25">
      <c r="Q1607" s="3"/>
      <c r="R1607" s="3"/>
    </row>
    <row r="1608" spans="17:18" x14ac:dyDescent="0.25">
      <c r="Q1608" s="3"/>
      <c r="R1608" s="3"/>
    </row>
    <row r="1609" spans="17:18" x14ac:dyDescent="0.25">
      <c r="Q1609" s="3"/>
      <c r="R1609" s="3"/>
    </row>
    <row r="1610" spans="17:18" x14ac:dyDescent="0.25">
      <c r="Q1610" s="3"/>
      <c r="R1610" s="3"/>
    </row>
    <row r="1611" spans="17:18" x14ac:dyDescent="0.25">
      <c r="Q1611" s="3"/>
      <c r="R1611" s="3"/>
    </row>
    <row r="1612" spans="17:18" x14ac:dyDescent="0.25">
      <c r="Q1612" s="3"/>
      <c r="R1612" s="3"/>
    </row>
    <row r="1613" spans="17:18" x14ac:dyDescent="0.25">
      <c r="Q1613" s="3"/>
      <c r="R1613" s="3"/>
    </row>
    <row r="1614" spans="17:18" x14ac:dyDescent="0.25">
      <c r="Q1614" s="3"/>
      <c r="R1614" s="3"/>
    </row>
    <row r="1615" spans="17:18" x14ac:dyDescent="0.25">
      <c r="Q1615" s="3"/>
      <c r="R1615" s="3"/>
    </row>
    <row r="1616" spans="17:18" x14ac:dyDescent="0.25">
      <c r="Q1616" s="3"/>
      <c r="R1616" s="3"/>
    </row>
    <row r="1617" spans="17:18" x14ac:dyDescent="0.25">
      <c r="Q1617" s="3"/>
      <c r="R1617" s="3"/>
    </row>
    <row r="1618" spans="17:18" x14ac:dyDescent="0.25">
      <c r="Q1618" s="3"/>
      <c r="R1618" s="3"/>
    </row>
    <row r="1619" spans="17:18" x14ac:dyDescent="0.25">
      <c r="Q1619" s="3"/>
      <c r="R1619" s="3"/>
    </row>
    <row r="1620" spans="17:18" x14ac:dyDescent="0.25">
      <c r="Q1620" s="3"/>
      <c r="R1620" s="3"/>
    </row>
    <row r="1621" spans="17:18" x14ac:dyDescent="0.25">
      <c r="Q1621" s="3"/>
      <c r="R1621" s="3"/>
    </row>
    <row r="1622" spans="17:18" x14ac:dyDescent="0.25">
      <c r="Q1622" s="3"/>
      <c r="R1622" s="3"/>
    </row>
    <row r="1623" spans="17:18" x14ac:dyDescent="0.25">
      <c r="Q1623" s="3"/>
      <c r="R1623" s="3"/>
    </row>
    <row r="1624" spans="17:18" x14ac:dyDescent="0.25">
      <c r="Q1624" s="3"/>
      <c r="R1624" s="3"/>
    </row>
    <row r="1625" spans="17:18" x14ac:dyDescent="0.25">
      <c r="Q1625" s="3"/>
      <c r="R1625" s="3"/>
    </row>
    <row r="1626" spans="17:18" x14ac:dyDescent="0.25">
      <c r="Q1626" s="3"/>
      <c r="R1626" s="3"/>
    </row>
    <row r="1627" spans="17:18" x14ac:dyDescent="0.25">
      <c r="Q1627" s="3"/>
      <c r="R1627" s="3"/>
    </row>
    <row r="1628" spans="17:18" x14ac:dyDescent="0.25">
      <c r="Q1628" s="3"/>
      <c r="R1628" s="3"/>
    </row>
    <row r="1629" spans="17:18" x14ac:dyDescent="0.25">
      <c r="Q1629" s="3"/>
      <c r="R1629" s="3"/>
    </row>
    <row r="1630" spans="17:18" x14ac:dyDescent="0.25">
      <c r="Q1630" s="3"/>
      <c r="R1630" s="3"/>
    </row>
    <row r="1631" spans="17:18" x14ac:dyDescent="0.25">
      <c r="Q1631" s="3"/>
      <c r="R1631" s="3"/>
    </row>
    <row r="1632" spans="17:18" x14ac:dyDescent="0.25">
      <c r="Q1632" s="3"/>
      <c r="R1632" s="3"/>
    </row>
    <row r="1633" spans="17:18" x14ac:dyDescent="0.25">
      <c r="Q1633" s="3"/>
      <c r="R1633" s="3"/>
    </row>
    <row r="1634" spans="17:18" x14ac:dyDescent="0.25">
      <c r="Q1634" s="3"/>
      <c r="R1634" s="3"/>
    </row>
    <row r="1635" spans="17:18" x14ac:dyDescent="0.25">
      <c r="Q1635" s="3"/>
      <c r="R1635" s="3"/>
    </row>
    <row r="1636" spans="17:18" x14ac:dyDescent="0.25">
      <c r="Q1636" s="3"/>
      <c r="R1636" s="3"/>
    </row>
    <row r="1637" spans="17:18" x14ac:dyDescent="0.25">
      <c r="Q1637" s="3"/>
      <c r="R1637" s="3"/>
    </row>
    <row r="1638" spans="17:18" x14ac:dyDescent="0.25">
      <c r="Q1638" s="3"/>
      <c r="R1638" s="3"/>
    </row>
    <row r="1639" spans="17:18" x14ac:dyDescent="0.25">
      <c r="Q1639" s="3"/>
      <c r="R1639" s="3"/>
    </row>
    <row r="1640" spans="17:18" x14ac:dyDescent="0.25">
      <c r="Q1640" s="3"/>
      <c r="R1640" s="3"/>
    </row>
    <row r="1641" spans="17:18" x14ac:dyDescent="0.25">
      <c r="Q1641" s="3"/>
      <c r="R1641" s="3"/>
    </row>
    <row r="1642" spans="17:18" x14ac:dyDescent="0.25">
      <c r="Q1642" s="3"/>
      <c r="R1642" s="3"/>
    </row>
    <row r="1643" spans="17:18" x14ac:dyDescent="0.25">
      <c r="Q1643" s="3"/>
      <c r="R1643" s="3"/>
    </row>
    <row r="1644" spans="17:18" x14ac:dyDescent="0.25">
      <c r="Q1644" s="3"/>
      <c r="R1644" s="3"/>
    </row>
    <row r="1645" spans="17:18" x14ac:dyDescent="0.25">
      <c r="Q1645" s="3"/>
      <c r="R1645" s="3"/>
    </row>
    <row r="1646" spans="17:18" x14ac:dyDescent="0.25">
      <c r="Q1646" s="3"/>
      <c r="R1646" s="3"/>
    </row>
    <row r="1647" spans="17:18" x14ac:dyDescent="0.25">
      <c r="Q1647" s="3"/>
      <c r="R1647" s="3"/>
    </row>
    <row r="1648" spans="17:18" x14ac:dyDescent="0.25">
      <c r="Q1648" s="3"/>
      <c r="R1648" s="3"/>
    </row>
    <row r="1649" spans="17:18" x14ac:dyDescent="0.25">
      <c r="Q1649" s="3"/>
      <c r="R1649" s="3"/>
    </row>
    <row r="1650" spans="17:18" x14ac:dyDescent="0.25">
      <c r="Q1650" s="3"/>
      <c r="R1650" s="3"/>
    </row>
    <row r="1651" spans="17:18" x14ac:dyDescent="0.25">
      <c r="Q1651" s="3"/>
      <c r="R1651" s="3"/>
    </row>
    <row r="1652" spans="17:18" x14ac:dyDescent="0.25">
      <c r="Q1652" s="3"/>
      <c r="R1652" s="3"/>
    </row>
    <row r="1653" spans="17:18" x14ac:dyDescent="0.25">
      <c r="Q1653" s="3"/>
      <c r="R1653" s="3"/>
    </row>
    <row r="1654" spans="17:18" x14ac:dyDescent="0.25">
      <c r="Q1654" s="3"/>
      <c r="R1654" s="3"/>
    </row>
    <row r="1655" spans="17:18" x14ac:dyDescent="0.25">
      <c r="Q1655" s="3"/>
      <c r="R1655" s="3"/>
    </row>
    <row r="1656" spans="17:18" x14ac:dyDescent="0.25">
      <c r="Q1656" s="3"/>
      <c r="R1656" s="3"/>
    </row>
    <row r="1657" spans="17:18" x14ac:dyDescent="0.25">
      <c r="Q1657" s="3"/>
      <c r="R1657" s="3"/>
    </row>
    <row r="1658" spans="17:18" x14ac:dyDescent="0.25">
      <c r="Q1658" s="3"/>
      <c r="R1658" s="3"/>
    </row>
    <row r="1659" spans="17:18" x14ac:dyDescent="0.25">
      <c r="Q1659" s="3"/>
      <c r="R1659" s="3"/>
    </row>
    <row r="1660" spans="17:18" x14ac:dyDescent="0.25">
      <c r="Q1660" s="3"/>
      <c r="R1660" s="3"/>
    </row>
    <row r="1661" spans="17:18" x14ac:dyDescent="0.25">
      <c r="Q1661" s="3"/>
      <c r="R1661" s="3"/>
    </row>
    <row r="1662" spans="17:18" x14ac:dyDescent="0.25">
      <c r="Q1662" s="3"/>
      <c r="R1662" s="3"/>
    </row>
    <row r="1663" spans="17:18" x14ac:dyDescent="0.25">
      <c r="Q1663" s="3"/>
      <c r="R1663" s="3"/>
    </row>
    <row r="1664" spans="17:18" x14ac:dyDescent="0.25">
      <c r="Q1664" s="3"/>
      <c r="R1664" s="3"/>
    </row>
    <row r="1665" spans="17:18" x14ac:dyDescent="0.25">
      <c r="Q1665" s="3"/>
      <c r="R1665" s="3"/>
    </row>
    <row r="1666" spans="17:18" x14ac:dyDescent="0.25">
      <c r="Q1666" s="3"/>
      <c r="R1666" s="3"/>
    </row>
    <row r="1667" spans="17:18" x14ac:dyDescent="0.25">
      <c r="Q1667" s="3"/>
      <c r="R1667" s="3"/>
    </row>
    <row r="1668" spans="17:18" x14ac:dyDescent="0.25">
      <c r="Q1668" s="3"/>
      <c r="R1668" s="3"/>
    </row>
    <row r="1669" spans="17:18" x14ac:dyDescent="0.25">
      <c r="Q1669" s="3"/>
      <c r="R1669" s="3"/>
    </row>
    <row r="1670" spans="17:18" x14ac:dyDescent="0.25">
      <c r="Q1670" s="3"/>
      <c r="R1670" s="3"/>
    </row>
    <row r="1671" spans="17:18" x14ac:dyDescent="0.25">
      <c r="Q1671" s="3"/>
      <c r="R1671" s="3"/>
    </row>
    <row r="1672" spans="17:18" x14ac:dyDescent="0.25">
      <c r="Q1672" s="3"/>
      <c r="R1672" s="3"/>
    </row>
    <row r="1673" spans="17:18" x14ac:dyDescent="0.25">
      <c r="Q1673" s="3"/>
      <c r="R1673" s="3"/>
    </row>
    <row r="1674" spans="17:18" x14ac:dyDescent="0.25">
      <c r="Q1674" s="3"/>
      <c r="R1674" s="3"/>
    </row>
    <row r="1675" spans="17:18" x14ac:dyDescent="0.25">
      <c r="Q1675" s="3"/>
      <c r="R1675" s="3"/>
    </row>
    <row r="1676" spans="17:18" x14ac:dyDescent="0.25">
      <c r="Q1676" s="3"/>
      <c r="R1676" s="3"/>
    </row>
    <row r="1677" spans="17:18" x14ac:dyDescent="0.25">
      <c r="Q1677" s="3"/>
      <c r="R1677" s="3"/>
    </row>
    <row r="1678" spans="17:18" x14ac:dyDescent="0.25">
      <c r="Q1678" s="3"/>
      <c r="R1678" s="3"/>
    </row>
    <row r="1679" spans="17:18" x14ac:dyDescent="0.25">
      <c r="Q1679" s="3"/>
      <c r="R1679" s="3"/>
    </row>
    <row r="1680" spans="17:18" x14ac:dyDescent="0.25">
      <c r="Q1680" s="3"/>
      <c r="R1680" s="3"/>
    </row>
    <row r="1681" spans="17:18" x14ac:dyDescent="0.25">
      <c r="Q1681" s="3"/>
      <c r="R1681" s="3"/>
    </row>
    <row r="1682" spans="17:18" x14ac:dyDescent="0.25">
      <c r="Q1682" s="3"/>
      <c r="R1682" s="3"/>
    </row>
    <row r="1683" spans="17:18" x14ac:dyDescent="0.25">
      <c r="Q1683" s="3"/>
      <c r="R1683" s="3"/>
    </row>
    <row r="1684" spans="17:18" x14ac:dyDescent="0.25">
      <c r="Q1684" s="3"/>
      <c r="R1684" s="3"/>
    </row>
    <row r="1685" spans="17:18" x14ac:dyDescent="0.25">
      <c r="Q1685" s="3"/>
      <c r="R1685" s="3"/>
    </row>
    <row r="1686" spans="17:18" x14ac:dyDescent="0.25">
      <c r="Q1686" s="3"/>
      <c r="R1686" s="3"/>
    </row>
    <row r="1687" spans="17:18" x14ac:dyDescent="0.25">
      <c r="Q1687" s="3"/>
      <c r="R1687" s="3"/>
    </row>
    <row r="1688" spans="17:18" x14ac:dyDescent="0.25">
      <c r="Q1688" s="3"/>
      <c r="R1688" s="3"/>
    </row>
    <row r="1689" spans="17:18" x14ac:dyDescent="0.25">
      <c r="Q1689" s="3"/>
      <c r="R1689" s="3"/>
    </row>
    <row r="1690" spans="17:18" x14ac:dyDescent="0.25">
      <c r="Q1690" s="3"/>
      <c r="R1690" s="3"/>
    </row>
    <row r="1691" spans="17:18" x14ac:dyDescent="0.25">
      <c r="Q1691" s="3"/>
      <c r="R1691" s="3"/>
    </row>
    <row r="1692" spans="17:18" x14ac:dyDescent="0.25">
      <c r="Q1692" s="3"/>
      <c r="R1692" s="3"/>
    </row>
    <row r="1693" spans="17:18" x14ac:dyDescent="0.25">
      <c r="Q1693" s="3"/>
      <c r="R1693" s="3"/>
    </row>
    <row r="1694" spans="17:18" x14ac:dyDescent="0.25">
      <c r="Q1694" s="3"/>
      <c r="R1694" s="3"/>
    </row>
    <row r="1695" spans="17:18" x14ac:dyDescent="0.25">
      <c r="Q1695" s="3"/>
      <c r="R1695" s="3"/>
    </row>
    <row r="1696" spans="17:18" x14ac:dyDescent="0.25">
      <c r="Q1696" s="3"/>
      <c r="R1696" s="3"/>
    </row>
    <row r="1697" spans="17:18" x14ac:dyDescent="0.25">
      <c r="Q1697" s="3"/>
      <c r="R1697" s="3"/>
    </row>
    <row r="1698" spans="17:18" x14ac:dyDescent="0.25">
      <c r="Q1698" s="3"/>
      <c r="R1698" s="3"/>
    </row>
    <row r="1699" spans="17:18" x14ac:dyDescent="0.25">
      <c r="Q1699" s="3"/>
      <c r="R1699" s="3"/>
    </row>
    <row r="1700" spans="17:18" x14ac:dyDescent="0.25">
      <c r="Q1700" s="3"/>
      <c r="R1700" s="3"/>
    </row>
    <row r="1701" spans="17:18" x14ac:dyDescent="0.25">
      <c r="Q1701" s="3"/>
      <c r="R1701" s="3"/>
    </row>
    <row r="1702" spans="17:18" x14ac:dyDescent="0.25">
      <c r="Q1702" s="3"/>
      <c r="R1702" s="3"/>
    </row>
    <row r="1703" spans="17:18" x14ac:dyDescent="0.25">
      <c r="Q1703" s="3"/>
      <c r="R1703" s="3"/>
    </row>
    <row r="1704" spans="17:18" x14ac:dyDescent="0.25">
      <c r="Q1704" s="3"/>
      <c r="R1704" s="3"/>
    </row>
    <row r="1705" spans="17:18" x14ac:dyDescent="0.25">
      <c r="Q1705" s="3"/>
      <c r="R1705" s="3"/>
    </row>
    <row r="1706" spans="17:18" x14ac:dyDescent="0.25">
      <c r="Q1706" s="3"/>
      <c r="R1706" s="3"/>
    </row>
    <row r="1707" spans="17:18" x14ac:dyDescent="0.25">
      <c r="Q1707" s="3"/>
      <c r="R1707" s="3"/>
    </row>
    <row r="1708" spans="17:18" x14ac:dyDescent="0.25">
      <c r="Q1708" s="3"/>
      <c r="R1708" s="3"/>
    </row>
    <row r="1709" spans="17:18" x14ac:dyDescent="0.25">
      <c r="Q1709" s="3"/>
      <c r="R1709" s="3"/>
    </row>
    <row r="1710" spans="17:18" x14ac:dyDescent="0.25">
      <c r="Q1710" s="3"/>
      <c r="R1710" s="3"/>
    </row>
    <row r="1711" spans="17:18" x14ac:dyDescent="0.25">
      <c r="Q1711" s="3"/>
      <c r="R1711" s="3"/>
    </row>
    <row r="1712" spans="17:18" x14ac:dyDescent="0.25">
      <c r="Q1712" s="3"/>
      <c r="R1712" s="3"/>
    </row>
    <row r="1713" spans="17:18" x14ac:dyDescent="0.25">
      <c r="Q1713" s="3"/>
      <c r="R1713" s="3"/>
    </row>
    <row r="1714" spans="17:18" x14ac:dyDescent="0.25">
      <c r="Q1714" s="3"/>
      <c r="R1714" s="3"/>
    </row>
    <row r="1715" spans="17:18" x14ac:dyDescent="0.25">
      <c r="Q1715" s="3"/>
      <c r="R1715" s="3"/>
    </row>
    <row r="1716" spans="17:18" x14ac:dyDescent="0.25">
      <c r="Q1716" s="3"/>
      <c r="R1716" s="3"/>
    </row>
    <row r="1717" spans="17:18" x14ac:dyDescent="0.25">
      <c r="Q1717" s="3"/>
      <c r="R1717" s="3"/>
    </row>
    <row r="1718" spans="17:18" x14ac:dyDescent="0.25">
      <c r="Q1718" s="3"/>
      <c r="R1718" s="3"/>
    </row>
    <row r="1719" spans="17:18" x14ac:dyDescent="0.25">
      <c r="Q1719" s="3"/>
      <c r="R1719" s="3"/>
    </row>
    <row r="1720" spans="17:18" x14ac:dyDescent="0.25">
      <c r="Q1720" s="3"/>
      <c r="R1720" s="3"/>
    </row>
    <row r="1721" spans="17:18" x14ac:dyDescent="0.25">
      <c r="Q1721" s="3"/>
      <c r="R1721" s="3"/>
    </row>
    <row r="1722" spans="17:18" x14ac:dyDescent="0.25">
      <c r="Q1722" s="3"/>
      <c r="R1722" s="3"/>
    </row>
    <row r="1723" spans="17:18" x14ac:dyDescent="0.25">
      <c r="Q1723" s="3"/>
      <c r="R1723" s="3"/>
    </row>
    <row r="1724" spans="17:18" x14ac:dyDescent="0.25">
      <c r="Q1724" s="3"/>
      <c r="R1724" s="3"/>
    </row>
    <row r="1725" spans="17:18" x14ac:dyDescent="0.25">
      <c r="Q1725" s="3"/>
      <c r="R1725" s="3"/>
    </row>
    <row r="1726" spans="17:18" x14ac:dyDescent="0.25">
      <c r="Q1726" s="3"/>
      <c r="R1726" s="3"/>
    </row>
    <row r="1727" spans="17:18" x14ac:dyDescent="0.25">
      <c r="Q1727" s="3"/>
      <c r="R1727" s="3"/>
    </row>
    <row r="1728" spans="17:18" x14ac:dyDescent="0.25">
      <c r="Q1728" s="3"/>
      <c r="R1728" s="3"/>
    </row>
    <row r="1729" spans="17:18" x14ac:dyDescent="0.25">
      <c r="Q1729" s="3"/>
      <c r="R1729" s="3"/>
    </row>
    <row r="1730" spans="17:18" x14ac:dyDescent="0.25">
      <c r="Q1730" s="3"/>
      <c r="R1730" s="3"/>
    </row>
    <row r="1731" spans="17:18" x14ac:dyDescent="0.25">
      <c r="Q1731" s="3"/>
      <c r="R1731" s="3"/>
    </row>
    <row r="1732" spans="17:18" x14ac:dyDescent="0.25">
      <c r="Q1732" s="3"/>
      <c r="R1732" s="3"/>
    </row>
    <row r="1733" spans="17:18" x14ac:dyDescent="0.25">
      <c r="Q1733" s="3"/>
      <c r="R1733" s="3"/>
    </row>
    <row r="1734" spans="17:18" x14ac:dyDescent="0.25">
      <c r="Q1734" s="3"/>
      <c r="R1734" s="3"/>
    </row>
    <row r="1735" spans="17:18" x14ac:dyDescent="0.25">
      <c r="Q1735" s="3"/>
      <c r="R1735" s="3"/>
    </row>
    <row r="1736" spans="17:18" x14ac:dyDescent="0.25">
      <c r="Q1736" s="3"/>
      <c r="R1736" s="3"/>
    </row>
    <row r="1737" spans="17:18" x14ac:dyDescent="0.25">
      <c r="Q1737" s="3"/>
      <c r="R1737" s="3"/>
    </row>
    <row r="1738" spans="17:18" x14ac:dyDescent="0.25">
      <c r="Q1738" s="3"/>
      <c r="R1738" s="3"/>
    </row>
    <row r="1739" spans="17:18" x14ac:dyDescent="0.25">
      <c r="Q1739" s="3"/>
      <c r="R1739" s="3"/>
    </row>
    <row r="1740" spans="17:18" x14ac:dyDescent="0.25">
      <c r="Q1740" s="3"/>
      <c r="R1740" s="3"/>
    </row>
    <row r="1741" spans="17:18" x14ac:dyDescent="0.25">
      <c r="Q1741" s="3"/>
      <c r="R1741" s="3"/>
    </row>
    <row r="1742" spans="17:18" x14ac:dyDescent="0.25">
      <c r="Q1742" s="3"/>
      <c r="R1742" s="3"/>
    </row>
    <row r="1743" spans="17:18" x14ac:dyDescent="0.25">
      <c r="Q1743" s="3"/>
      <c r="R1743" s="3"/>
    </row>
    <row r="1744" spans="17:18" x14ac:dyDescent="0.25">
      <c r="Q1744" s="3"/>
      <c r="R1744" s="3"/>
    </row>
    <row r="1745" spans="17:18" x14ac:dyDescent="0.25">
      <c r="Q1745" s="3"/>
      <c r="R1745" s="3"/>
    </row>
    <row r="1746" spans="17:18" x14ac:dyDescent="0.25">
      <c r="Q1746" s="3"/>
      <c r="R1746" s="3"/>
    </row>
    <row r="1747" spans="17:18" x14ac:dyDescent="0.25">
      <c r="Q1747" s="3"/>
      <c r="R1747" s="3"/>
    </row>
    <row r="1748" spans="17:18" x14ac:dyDescent="0.25">
      <c r="Q1748" s="3"/>
      <c r="R1748" s="3"/>
    </row>
    <row r="1749" spans="17:18" x14ac:dyDescent="0.25">
      <c r="Q1749" s="3"/>
      <c r="R1749" s="3"/>
    </row>
    <row r="1750" spans="17:18" x14ac:dyDescent="0.25">
      <c r="Q1750" s="3"/>
      <c r="R1750" s="3"/>
    </row>
    <row r="1751" spans="17:18" x14ac:dyDescent="0.25">
      <c r="Q1751" s="3"/>
      <c r="R1751" s="3"/>
    </row>
    <row r="1752" spans="17:18" x14ac:dyDescent="0.25">
      <c r="Q1752" s="3"/>
      <c r="R1752" s="3"/>
    </row>
    <row r="1753" spans="17:18" x14ac:dyDescent="0.25">
      <c r="Q1753" s="3"/>
      <c r="R1753" s="3"/>
    </row>
    <row r="1754" spans="17:18" x14ac:dyDescent="0.25">
      <c r="Q1754" s="3"/>
      <c r="R1754" s="3"/>
    </row>
    <row r="1755" spans="17:18" x14ac:dyDescent="0.25">
      <c r="Q1755" s="3"/>
      <c r="R1755" s="3"/>
    </row>
    <row r="1756" spans="17:18" x14ac:dyDescent="0.25">
      <c r="Q1756" s="3"/>
      <c r="R1756" s="3"/>
    </row>
    <row r="1757" spans="17:18" x14ac:dyDescent="0.25">
      <c r="Q1757" s="3"/>
      <c r="R1757" s="3"/>
    </row>
    <row r="1758" spans="17:18" x14ac:dyDescent="0.25">
      <c r="Q1758" s="3"/>
      <c r="R1758" s="3"/>
    </row>
    <row r="1759" spans="17:18" x14ac:dyDescent="0.25">
      <c r="Q1759" s="3"/>
      <c r="R1759" s="3"/>
    </row>
    <row r="1760" spans="17:18" x14ac:dyDescent="0.25">
      <c r="Q1760" s="3"/>
      <c r="R1760" s="3"/>
    </row>
    <row r="1761" spans="17:18" x14ac:dyDescent="0.25">
      <c r="Q1761" s="3"/>
      <c r="R1761" s="3"/>
    </row>
    <row r="1762" spans="17:18" x14ac:dyDescent="0.25">
      <c r="Q1762" s="3"/>
      <c r="R1762" s="3"/>
    </row>
    <row r="1763" spans="17:18" x14ac:dyDescent="0.25">
      <c r="Q1763" s="3"/>
      <c r="R1763" s="3"/>
    </row>
    <row r="1764" spans="17:18" x14ac:dyDescent="0.25">
      <c r="Q1764" s="3"/>
      <c r="R1764" s="3"/>
    </row>
    <row r="1765" spans="17:18" x14ac:dyDescent="0.25">
      <c r="Q1765" s="3"/>
      <c r="R1765" s="3"/>
    </row>
    <row r="1766" spans="17:18" x14ac:dyDescent="0.25">
      <c r="Q1766" s="3"/>
      <c r="R1766" s="3"/>
    </row>
    <row r="1767" spans="17:18" x14ac:dyDescent="0.25">
      <c r="Q1767" s="3"/>
      <c r="R1767" s="3"/>
    </row>
    <row r="1768" spans="17:18" x14ac:dyDescent="0.25">
      <c r="Q1768" s="3"/>
      <c r="R1768" s="3"/>
    </row>
    <row r="1769" spans="17:18" x14ac:dyDescent="0.25">
      <c r="Q1769" s="3"/>
      <c r="R1769" s="3"/>
    </row>
    <row r="1770" spans="17:18" x14ac:dyDescent="0.25">
      <c r="Q1770" s="3"/>
      <c r="R1770" s="3"/>
    </row>
    <row r="1771" spans="17:18" x14ac:dyDescent="0.25">
      <c r="Q1771" s="3"/>
      <c r="R1771" s="3"/>
    </row>
    <row r="1772" spans="17:18" x14ac:dyDescent="0.25">
      <c r="Q1772" s="3"/>
      <c r="R1772" s="3"/>
    </row>
    <row r="1773" spans="17:18" x14ac:dyDescent="0.25">
      <c r="Q1773" s="3"/>
      <c r="R1773" s="3"/>
    </row>
    <row r="1774" spans="17:18" x14ac:dyDescent="0.25">
      <c r="Q1774" s="3"/>
      <c r="R1774" s="3"/>
    </row>
    <row r="1775" spans="17:18" x14ac:dyDescent="0.25">
      <c r="Q1775" s="3"/>
      <c r="R1775" s="3"/>
    </row>
    <row r="1776" spans="17:18" x14ac:dyDescent="0.25">
      <c r="Q1776" s="3"/>
      <c r="R1776" s="3"/>
    </row>
    <row r="1777" spans="17:18" x14ac:dyDescent="0.25">
      <c r="Q1777" s="3"/>
      <c r="R1777" s="3"/>
    </row>
    <row r="1778" spans="17:18" x14ac:dyDescent="0.25">
      <c r="Q1778" s="3"/>
      <c r="R1778" s="3"/>
    </row>
    <row r="1779" spans="17:18" x14ac:dyDescent="0.25">
      <c r="Q1779" s="3"/>
      <c r="R1779" s="3"/>
    </row>
    <row r="1780" spans="17:18" x14ac:dyDescent="0.25">
      <c r="Q1780" s="3"/>
      <c r="R1780" s="3"/>
    </row>
    <row r="1781" spans="17:18" x14ac:dyDescent="0.25">
      <c r="Q1781" s="3"/>
      <c r="R1781" s="3"/>
    </row>
    <row r="1782" spans="17:18" x14ac:dyDescent="0.25">
      <c r="Q1782" s="3"/>
      <c r="R1782" s="3"/>
    </row>
    <row r="1783" spans="17:18" x14ac:dyDescent="0.25">
      <c r="Q1783" s="3"/>
      <c r="R1783" s="3"/>
    </row>
    <row r="1784" spans="17:18" x14ac:dyDescent="0.25">
      <c r="Q1784" s="3"/>
      <c r="R1784" s="3"/>
    </row>
    <row r="1785" spans="17:18" x14ac:dyDescent="0.25">
      <c r="Q1785" s="3"/>
      <c r="R1785" s="3"/>
    </row>
    <row r="1786" spans="17:18" x14ac:dyDescent="0.25">
      <c r="Q1786" s="3"/>
      <c r="R1786" s="3"/>
    </row>
    <row r="1787" spans="17:18" x14ac:dyDescent="0.25">
      <c r="Q1787" s="3"/>
      <c r="R1787" s="3"/>
    </row>
    <row r="1788" spans="17:18" x14ac:dyDescent="0.25">
      <c r="Q1788" s="3"/>
      <c r="R1788" s="3"/>
    </row>
    <row r="1789" spans="17:18" x14ac:dyDescent="0.25">
      <c r="Q1789" s="3"/>
      <c r="R1789" s="3"/>
    </row>
    <row r="1790" spans="17:18" x14ac:dyDescent="0.25">
      <c r="Q1790" s="3"/>
      <c r="R1790" s="3"/>
    </row>
    <row r="1791" spans="17:18" x14ac:dyDescent="0.25">
      <c r="Q1791" s="3"/>
      <c r="R1791" s="3"/>
    </row>
    <row r="1792" spans="17:18" x14ac:dyDescent="0.25">
      <c r="Q1792" s="3"/>
      <c r="R1792" s="3"/>
    </row>
    <row r="1793" spans="17:18" x14ac:dyDescent="0.25">
      <c r="Q1793" s="3"/>
      <c r="R1793" s="3"/>
    </row>
    <row r="1794" spans="17:18" x14ac:dyDescent="0.25">
      <c r="Q1794" s="3"/>
      <c r="R1794" s="3"/>
    </row>
    <row r="1795" spans="17:18" x14ac:dyDescent="0.25">
      <c r="Q1795" s="3"/>
      <c r="R1795" s="3"/>
    </row>
    <row r="1796" spans="17:18" x14ac:dyDescent="0.25">
      <c r="Q1796" s="3"/>
      <c r="R1796" s="3"/>
    </row>
    <row r="1797" spans="17:18" x14ac:dyDescent="0.25">
      <c r="Q1797" s="3"/>
      <c r="R1797" s="3"/>
    </row>
    <row r="1798" spans="17:18" x14ac:dyDescent="0.25">
      <c r="Q1798" s="3"/>
      <c r="R1798" s="3"/>
    </row>
    <row r="1799" spans="17:18" x14ac:dyDescent="0.25">
      <c r="Q1799" s="3"/>
      <c r="R1799" s="3"/>
    </row>
    <row r="1800" spans="17:18" x14ac:dyDescent="0.25">
      <c r="Q1800" s="3"/>
      <c r="R1800" s="3"/>
    </row>
    <row r="1801" spans="17:18" x14ac:dyDescent="0.25">
      <c r="Q1801" s="3"/>
      <c r="R1801" s="3"/>
    </row>
    <row r="1802" spans="17:18" x14ac:dyDescent="0.25">
      <c r="Q1802" s="3"/>
      <c r="R1802" s="3"/>
    </row>
    <row r="1803" spans="17:18" x14ac:dyDescent="0.25">
      <c r="Q1803" s="3"/>
      <c r="R1803" s="3"/>
    </row>
    <row r="1804" spans="17:18" x14ac:dyDescent="0.25">
      <c r="Q1804" s="3"/>
      <c r="R1804" s="3"/>
    </row>
    <row r="1805" spans="17:18" x14ac:dyDescent="0.25">
      <c r="Q1805" s="3"/>
      <c r="R1805" s="3"/>
    </row>
    <row r="1806" spans="17:18" x14ac:dyDescent="0.25">
      <c r="Q1806" s="3"/>
      <c r="R1806" s="3"/>
    </row>
    <row r="1807" spans="17:18" x14ac:dyDescent="0.25">
      <c r="Q1807" s="3"/>
      <c r="R1807" s="3"/>
    </row>
    <row r="1808" spans="17:18" x14ac:dyDescent="0.25">
      <c r="Q1808" s="3"/>
      <c r="R1808" s="3"/>
    </row>
    <row r="1809" spans="17:18" x14ac:dyDescent="0.25">
      <c r="Q1809" s="3"/>
      <c r="R1809" s="3"/>
    </row>
    <row r="1810" spans="17:18" x14ac:dyDescent="0.25">
      <c r="Q1810" s="3"/>
      <c r="R1810" s="3"/>
    </row>
    <row r="1811" spans="17:18" x14ac:dyDescent="0.25">
      <c r="Q1811" s="3"/>
      <c r="R1811" s="3"/>
    </row>
    <row r="1812" spans="17:18" x14ac:dyDescent="0.25">
      <c r="Q1812" s="3"/>
      <c r="R1812" s="3"/>
    </row>
    <row r="1813" spans="17:18" x14ac:dyDescent="0.25">
      <c r="Q1813" s="3"/>
      <c r="R1813" s="3"/>
    </row>
    <row r="1814" spans="17:18" x14ac:dyDescent="0.25">
      <c r="Q1814" s="3"/>
      <c r="R1814" s="3"/>
    </row>
    <row r="1815" spans="17:18" x14ac:dyDescent="0.25">
      <c r="Q1815" s="3"/>
      <c r="R1815" s="3"/>
    </row>
    <row r="1816" spans="17:18" x14ac:dyDescent="0.25">
      <c r="Q1816" s="3"/>
      <c r="R1816" s="3"/>
    </row>
    <row r="1817" spans="17:18" x14ac:dyDescent="0.25">
      <c r="Q1817" s="3"/>
      <c r="R1817" s="3"/>
    </row>
    <row r="1818" spans="17:18" x14ac:dyDescent="0.25">
      <c r="Q1818" s="3"/>
      <c r="R1818" s="3"/>
    </row>
    <row r="1819" spans="17:18" x14ac:dyDescent="0.25">
      <c r="Q1819" s="3"/>
      <c r="R1819" s="3"/>
    </row>
    <row r="1820" spans="17:18" x14ac:dyDescent="0.25">
      <c r="Q1820" s="3"/>
      <c r="R1820" s="3"/>
    </row>
    <row r="1821" spans="17:18" x14ac:dyDescent="0.25">
      <c r="Q1821" s="3"/>
      <c r="R1821" s="3"/>
    </row>
    <row r="1822" spans="17:18" x14ac:dyDescent="0.25">
      <c r="Q1822" s="3"/>
      <c r="R1822" s="3"/>
    </row>
    <row r="1823" spans="17:18" x14ac:dyDescent="0.25">
      <c r="Q1823" s="3"/>
      <c r="R1823" s="3"/>
    </row>
    <row r="1824" spans="17:18" x14ac:dyDescent="0.25">
      <c r="Q1824" s="3"/>
      <c r="R1824" s="3"/>
    </row>
    <row r="1825" spans="17:18" x14ac:dyDescent="0.25">
      <c r="Q1825" s="3"/>
      <c r="R1825" s="3"/>
    </row>
    <row r="1826" spans="17:18" x14ac:dyDescent="0.25">
      <c r="Q1826" s="3"/>
      <c r="R1826" s="3"/>
    </row>
    <row r="1827" spans="17:18" x14ac:dyDescent="0.25">
      <c r="Q1827" s="3"/>
      <c r="R1827" s="3"/>
    </row>
    <row r="1828" spans="17:18" x14ac:dyDescent="0.25">
      <c r="Q1828" s="3"/>
      <c r="R1828" s="3"/>
    </row>
    <row r="1829" spans="17:18" x14ac:dyDescent="0.25">
      <c r="Q1829" s="3"/>
      <c r="R1829" s="3"/>
    </row>
    <row r="1830" spans="17:18" x14ac:dyDescent="0.25">
      <c r="Q1830" s="3"/>
      <c r="R1830" s="3"/>
    </row>
    <row r="1831" spans="17:18" x14ac:dyDescent="0.25">
      <c r="Q1831" s="3"/>
      <c r="R1831" s="3"/>
    </row>
  </sheetData>
  <mergeCells count="3">
    <mergeCell ref="AF30:AG30"/>
    <mergeCell ref="Z31:AD31"/>
    <mergeCell ref="AJ31:AP3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REFAP dt 200</vt:lpstr>
      <vt:lpstr>REFAP dt 100</vt:lpstr>
      <vt:lpstr>REFAP dt 50</vt:lpstr>
      <vt:lpstr>REFAP dt 20</vt:lpstr>
      <vt:lpstr>REFAP dt 10</vt:lpstr>
      <vt:lpstr>REFAP dt 5</vt:lpstr>
      <vt:lpstr>REFAP dt 2</vt:lpstr>
      <vt:lpstr>REFAP dt 1</vt:lpstr>
      <vt:lpstr>variando dt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Telles Fernandes</dc:creator>
  <cp:lastModifiedBy>Teste</cp:lastModifiedBy>
  <dcterms:created xsi:type="dcterms:W3CDTF">2018-11-28T19:10:52Z</dcterms:created>
  <dcterms:modified xsi:type="dcterms:W3CDTF">2018-12-13T18:50:14Z</dcterms:modified>
</cp:coreProperties>
</file>