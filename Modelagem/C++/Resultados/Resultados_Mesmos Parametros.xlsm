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V:\SRGE_ERGE_FCDS_CDS\NP-2\Tecnologia_de_Coque\P&amp;D\Processos\Resfriamento e Aquecimento dos Tambores\Modelagem\C++\Resultados\"/>
    </mc:Choice>
  </mc:AlternateContent>
  <bookViews>
    <workbookView xWindow="0" yWindow="0" windowWidth="21600" windowHeight="10185" activeTab="2"/>
  </bookViews>
  <sheets>
    <sheet name="REGAP Mesmos Parametros" sheetId="1" r:id="rId1"/>
    <sheet name="REFAP Mesmos Parametros" sheetId="2" r:id="rId2"/>
    <sheet name="REVAP Mesmos Parametros" sheetId="3" r:id="rId3"/>
  </sheets>
  <externalReferences>
    <externalReference r:id="rId4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0" i="1" l="1"/>
  <c r="T23" i="2"/>
  <c r="T22" i="2"/>
  <c r="T23" i="1"/>
  <c r="T22" i="1"/>
  <c r="T23" i="3"/>
  <c r="T22" i="3"/>
  <c r="W33" i="3"/>
  <c r="W34" i="3" s="1"/>
  <c r="X32" i="3"/>
  <c r="X24" i="3"/>
  <c r="X22" i="3"/>
  <c r="AB20" i="3"/>
  <c r="AB21" i="3" s="1"/>
  <c r="AC15" i="3"/>
  <c r="AD15" i="3" s="1"/>
  <c r="T14" i="3"/>
  <c r="AD13" i="3"/>
  <c r="AC13" i="3"/>
  <c r="AC14" i="3" s="1"/>
  <c r="AD14" i="3" s="1"/>
  <c r="AD12" i="3"/>
  <c r="AC12" i="3"/>
  <c r="AD11" i="3"/>
  <c r="AC11" i="3"/>
  <c r="T11" i="3"/>
  <c r="Q12" i="3" s="1"/>
  <c r="T10" i="3"/>
  <c r="AC9" i="3"/>
  <c r="T9" i="3"/>
  <c r="AD8" i="3"/>
  <c r="AC8" i="3"/>
  <c r="AD7" i="3"/>
  <c r="AC7" i="3"/>
  <c r="AC5" i="3"/>
  <c r="T5" i="3"/>
  <c r="T12" i="3" s="1"/>
  <c r="R5" i="3"/>
  <c r="AD3" i="3"/>
  <c r="AC3" i="3"/>
  <c r="AC4" i="3" s="1"/>
  <c r="AD4" i="3" s="1"/>
  <c r="W33" i="2"/>
  <c r="W34" i="2" s="1"/>
  <c r="X32" i="2"/>
  <c r="X24" i="2"/>
  <c r="X21" i="2"/>
  <c r="X20" i="2"/>
  <c r="T16" i="2"/>
  <c r="T14" i="2"/>
  <c r="AC12" i="2"/>
  <c r="AD12" i="2" s="1"/>
  <c r="T12" i="2"/>
  <c r="AD11" i="2"/>
  <c r="AC11" i="2"/>
  <c r="AC10" i="2"/>
  <c r="AD10" i="2" s="1"/>
  <c r="AD9" i="2"/>
  <c r="AC9" i="2"/>
  <c r="T9" i="2"/>
  <c r="T8" i="2"/>
  <c r="AC7" i="2"/>
  <c r="AD7" i="2" s="1"/>
  <c r="T7" i="2"/>
  <c r="R7" i="2"/>
  <c r="AB8" i="2" s="1"/>
  <c r="AB9" i="2" s="1"/>
  <c r="T6" i="2"/>
  <c r="Q12" i="2" s="1"/>
  <c r="T20" i="2" s="1"/>
  <c r="R6" i="2"/>
  <c r="AB6" i="2" s="1"/>
  <c r="AB7" i="2" s="1"/>
  <c r="AC5" i="2"/>
  <c r="AD5" i="2" s="1"/>
  <c r="R5" i="2"/>
  <c r="AB4" i="2"/>
  <c r="AB5" i="2" s="1"/>
  <c r="AC3" i="2"/>
  <c r="AD3" i="2" s="1"/>
  <c r="P1571" i="1"/>
  <c r="P1568" i="1"/>
  <c r="P1565" i="1"/>
  <c r="P1562" i="1"/>
  <c r="P1559" i="1"/>
  <c r="P1556" i="1"/>
  <c r="P1553" i="1"/>
  <c r="P1550" i="1"/>
  <c r="P1547" i="1"/>
  <c r="P1544" i="1"/>
  <c r="P1541" i="1"/>
  <c r="P1538" i="1"/>
  <c r="P1535" i="1"/>
  <c r="P1532" i="1"/>
  <c r="P1529" i="1"/>
  <c r="P1526" i="1"/>
  <c r="P1523" i="1"/>
  <c r="P1520" i="1"/>
  <c r="P1517" i="1"/>
  <c r="P1514" i="1"/>
  <c r="P1511" i="1"/>
  <c r="P1508" i="1"/>
  <c r="P1505" i="1"/>
  <c r="P1502" i="1"/>
  <c r="P1499" i="1"/>
  <c r="P1496" i="1"/>
  <c r="P1493" i="1"/>
  <c r="P1490" i="1"/>
  <c r="P1487" i="1"/>
  <c r="P1484" i="1"/>
  <c r="P1481" i="1"/>
  <c r="P1478" i="1"/>
  <c r="P1475" i="1"/>
  <c r="P1472" i="1"/>
  <c r="P1469" i="1"/>
  <c r="P1466" i="1"/>
  <c r="P1463" i="1"/>
  <c r="P1460" i="1"/>
  <c r="P1457" i="1"/>
  <c r="P1454" i="1"/>
  <c r="P1451" i="1"/>
  <c r="P1448" i="1"/>
  <c r="P1445" i="1"/>
  <c r="P1442" i="1"/>
  <c r="P1439" i="1"/>
  <c r="P1436" i="1"/>
  <c r="P1433" i="1"/>
  <c r="P1430" i="1"/>
  <c r="P1427" i="1"/>
  <c r="P1424" i="1"/>
  <c r="P1421" i="1"/>
  <c r="P1418" i="1"/>
  <c r="P1415" i="1"/>
  <c r="P1412" i="1"/>
  <c r="P1409" i="1"/>
  <c r="P1406" i="1"/>
  <c r="P1403" i="1"/>
  <c r="P1400" i="1"/>
  <c r="P1397" i="1"/>
  <c r="P1394" i="1"/>
  <c r="P1391" i="1"/>
  <c r="P1388" i="1"/>
  <c r="P1385" i="1"/>
  <c r="P1382" i="1"/>
  <c r="P1379" i="1"/>
  <c r="P1376" i="1"/>
  <c r="P1373" i="1"/>
  <c r="P1370" i="1"/>
  <c r="P1367" i="1"/>
  <c r="P1364" i="1"/>
  <c r="P1361" i="1"/>
  <c r="P1358" i="1"/>
  <c r="P1355" i="1"/>
  <c r="P1352" i="1"/>
  <c r="P1349" i="1"/>
  <c r="P1346" i="1"/>
  <c r="P1343" i="1"/>
  <c r="P1340" i="1"/>
  <c r="P1337" i="1"/>
  <c r="P1334" i="1"/>
  <c r="P1331" i="1"/>
  <c r="P1328" i="1"/>
  <c r="P1325" i="1"/>
  <c r="P1322" i="1"/>
  <c r="P1319" i="1"/>
  <c r="P1316" i="1"/>
  <c r="P1313" i="1"/>
  <c r="P1310" i="1"/>
  <c r="P1307" i="1"/>
  <c r="P1304" i="1"/>
  <c r="P1301" i="1"/>
  <c r="P1298" i="1"/>
  <c r="P1295" i="1"/>
  <c r="P1292" i="1"/>
  <c r="P1289" i="1"/>
  <c r="P1286" i="1"/>
  <c r="P1283" i="1"/>
  <c r="P1280" i="1"/>
  <c r="P1277" i="1"/>
  <c r="P1274" i="1"/>
  <c r="P1271" i="1"/>
  <c r="P1268" i="1"/>
  <c r="P1265" i="1"/>
  <c r="P1262" i="1"/>
  <c r="P1259" i="1"/>
  <c r="P1256" i="1"/>
  <c r="P1253" i="1"/>
  <c r="P1250" i="1"/>
  <c r="P1247" i="1"/>
  <c r="P1244" i="1"/>
  <c r="P1241" i="1"/>
  <c r="P1238" i="1"/>
  <c r="P1235" i="1"/>
  <c r="P1232" i="1"/>
  <c r="P1229" i="1"/>
  <c r="P1226" i="1"/>
  <c r="P1223" i="1"/>
  <c r="P1220" i="1"/>
  <c r="P1217" i="1"/>
  <c r="P1214" i="1"/>
  <c r="P1211" i="1"/>
  <c r="P1208" i="1"/>
  <c r="P1205" i="1"/>
  <c r="P1202" i="1"/>
  <c r="P1199" i="1"/>
  <c r="P1196" i="1"/>
  <c r="P1193" i="1"/>
  <c r="P1190" i="1"/>
  <c r="P1187" i="1"/>
  <c r="P1184" i="1"/>
  <c r="P1181" i="1"/>
  <c r="P1178" i="1"/>
  <c r="P1175" i="1"/>
  <c r="P1172" i="1"/>
  <c r="P1169" i="1"/>
  <c r="P1166" i="1"/>
  <c r="P1163" i="1"/>
  <c r="P1160" i="1"/>
  <c r="P1157" i="1"/>
  <c r="P1154" i="1"/>
  <c r="P1151" i="1"/>
  <c r="P1148" i="1"/>
  <c r="P1145" i="1"/>
  <c r="P1142" i="1"/>
  <c r="P1139" i="1"/>
  <c r="P1136" i="1"/>
  <c r="P1133" i="1"/>
  <c r="P1130" i="1"/>
  <c r="P1127" i="1"/>
  <c r="P1124" i="1"/>
  <c r="P1121" i="1"/>
  <c r="P1118" i="1"/>
  <c r="P1115" i="1"/>
  <c r="P1112" i="1"/>
  <c r="P1109" i="1"/>
  <c r="P1106" i="1"/>
  <c r="P1103" i="1"/>
  <c r="P1100" i="1"/>
  <c r="P1097" i="1"/>
  <c r="P1094" i="1"/>
  <c r="P1091" i="1"/>
  <c r="P1088" i="1"/>
  <c r="P1085" i="1"/>
  <c r="P1082" i="1"/>
  <c r="P1079" i="1"/>
  <c r="P1076" i="1"/>
  <c r="P1073" i="1"/>
  <c r="P1070" i="1"/>
  <c r="P1067" i="1"/>
  <c r="P1064" i="1"/>
  <c r="P1061" i="1"/>
  <c r="P1058" i="1"/>
  <c r="P1055" i="1"/>
  <c r="P1052" i="1"/>
  <c r="P1049" i="1"/>
  <c r="P1046" i="1"/>
  <c r="P1043" i="1"/>
  <c r="P1040" i="1"/>
  <c r="P1037" i="1"/>
  <c r="P1034" i="1"/>
  <c r="P1031" i="1"/>
  <c r="P1028" i="1"/>
  <c r="P1025" i="1"/>
  <c r="P1022" i="1"/>
  <c r="P1019" i="1"/>
  <c r="P1016" i="1"/>
  <c r="P1013" i="1"/>
  <c r="P1010" i="1"/>
  <c r="P1007" i="1"/>
  <c r="P1004" i="1"/>
  <c r="P1001" i="1"/>
  <c r="P998" i="1"/>
  <c r="P995" i="1"/>
  <c r="P992" i="1"/>
  <c r="P989" i="1"/>
  <c r="P986" i="1"/>
  <c r="P983" i="1"/>
  <c r="P980" i="1"/>
  <c r="P977" i="1"/>
  <c r="P974" i="1"/>
  <c r="P971" i="1"/>
  <c r="P968" i="1"/>
  <c r="P965" i="1"/>
  <c r="P962" i="1"/>
  <c r="P959" i="1"/>
  <c r="P956" i="1"/>
  <c r="P953" i="1"/>
  <c r="P950" i="1"/>
  <c r="P947" i="1"/>
  <c r="P944" i="1"/>
  <c r="P941" i="1"/>
  <c r="P938" i="1"/>
  <c r="P935" i="1"/>
  <c r="P932" i="1"/>
  <c r="P929" i="1"/>
  <c r="P926" i="1"/>
  <c r="P923" i="1"/>
  <c r="P920" i="1"/>
  <c r="P917" i="1"/>
  <c r="P914" i="1"/>
  <c r="P911" i="1"/>
  <c r="P908" i="1"/>
  <c r="P905" i="1"/>
  <c r="P902" i="1"/>
  <c r="P899" i="1"/>
  <c r="P896" i="1"/>
  <c r="P893" i="1"/>
  <c r="P890" i="1"/>
  <c r="P887" i="1"/>
  <c r="P884" i="1"/>
  <c r="P881" i="1"/>
  <c r="P878" i="1"/>
  <c r="P875" i="1"/>
  <c r="P872" i="1"/>
  <c r="P869" i="1"/>
  <c r="P866" i="1"/>
  <c r="P863" i="1"/>
  <c r="P860" i="1"/>
  <c r="P857" i="1"/>
  <c r="P854" i="1"/>
  <c r="P851" i="1"/>
  <c r="P848" i="1"/>
  <c r="P845" i="1"/>
  <c r="P842" i="1"/>
  <c r="P839" i="1"/>
  <c r="P836" i="1"/>
  <c r="P833" i="1"/>
  <c r="P830" i="1"/>
  <c r="P827" i="1"/>
  <c r="P824" i="1"/>
  <c r="P821" i="1"/>
  <c r="P818" i="1"/>
  <c r="P815" i="1"/>
  <c r="P812" i="1"/>
  <c r="P809" i="1"/>
  <c r="P806" i="1"/>
  <c r="P803" i="1"/>
  <c r="P800" i="1"/>
  <c r="P797" i="1"/>
  <c r="P794" i="1"/>
  <c r="P791" i="1"/>
  <c r="P788" i="1"/>
  <c r="P785" i="1"/>
  <c r="P782" i="1"/>
  <c r="P779" i="1"/>
  <c r="P776" i="1"/>
  <c r="P773" i="1"/>
  <c r="P770" i="1"/>
  <c r="P767" i="1"/>
  <c r="P764" i="1"/>
  <c r="P761" i="1"/>
  <c r="P758" i="1"/>
  <c r="P755" i="1"/>
  <c r="P752" i="1"/>
  <c r="P749" i="1"/>
  <c r="P746" i="1"/>
  <c r="P743" i="1"/>
  <c r="P740" i="1"/>
  <c r="P737" i="1"/>
  <c r="P734" i="1"/>
  <c r="P731" i="1"/>
  <c r="P728" i="1"/>
  <c r="P725" i="1"/>
  <c r="P722" i="1"/>
  <c r="P719" i="1"/>
  <c r="P716" i="1"/>
  <c r="P713" i="1"/>
  <c r="P710" i="1"/>
  <c r="P707" i="1"/>
  <c r="P704" i="1"/>
  <c r="P701" i="1"/>
  <c r="P698" i="1"/>
  <c r="P695" i="1"/>
  <c r="P692" i="1"/>
  <c r="P689" i="1"/>
  <c r="P686" i="1"/>
  <c r="P683" i="1"/>
  <c r="P680" i="1"/>
  <c r="P677" i="1"/>
  <c r="P674" i="1"/>
  <c r="P671" i="1"/>
  <c r="P668" i="1"/>
  <c r="P665" i="1"/>
  <c r="P662" i="1"/>
  <c r="P659" i="1"/>
  <c r="P656" i="1"/>
  <c r="P653" i="1"/>
  <c r="P650" i="1"/>
  <c r="P647" i="1"/>
  <c r="P644" i="1"/>
  <c r="P641" i="1"/>
  <c r="P638" i="1"/>
  <c r="P635" i="1"/>
  <c r="AI632" i="1"/>
  <c r="P632" i="1"/>
  <c r="AI631" i="1"/>
  <c r="AN630" i="1"/>
  <c r="AI630" i="1"/>
  <c r="AN629" i="1"/>
  <c r="AI629" i="1"/>
  <c r="P629" i="1"/>
  <c r="AN628" i="1"/>
  <c r="AI628" i="1"/>
  <c r="AN627" i="1"/>
  <c r="AI627" i="1"/>
  <c r="AN626" i="1"/>
  <c r="AI626" i="1"/>
  <c r="P626" i="1"/>
  <c r="AN625" i="1"/>
  <c r="AI625" i="1"/>
  <c r="AN624" i="1"/>
  <c r="AI624" i="1"/>
  <c r="AN623" i="1"/>
  <c r="AI623" i="1"/>
  <c r="P623" i="1"/>
  <c r="AN622" i="1"/>
  <c r="AI622" i="1"/>
  <c r="AN621" i="1"/>
  <c r="AI621" i="1"/>
  <c r="AN620" i="1"/>
  <c r="AI620" i="1"/>
  <c r="P620" i="1"/>
  <c r="AN619" i="1"/>
  <c r="AI619" i="1"/>
  <c r="AN618" i="1"/>
  <c r="AI618" i="1"/>
  <c r="AN617" i="1"/>
  <c r="AI617" i="1"/>
  <c r="P617" i="1"/>
  <c r="AN616" i="1"/>
  <c r="AI616" i="1"/>
  <c r="AN615" i="1"/>
  <c r="AI615" i="1"/>
  <c r="AN614" i="1"/>
  <c r="AI614" i="1"/>
  <c r="P614" i="1"/>
  <c r="AN613" i="1"/>
  <c r="AI613" i="1"/>
  <c r="AN612" i="1"/>
  <c r="AI612" i="1"/>
  <c r="AN611" i="1"/>
  <c r="AI611" i="1"/>
  <c r="P611" i="1"/>
  <c r="AN610" i="1"/>
  <c r="AI610" i="1"/>
  <c r="AN609" i="1"/>
  <c r="AI609" i="1"/>
  <c r="AN608" i="1"/>
  <c r="AI608" i="1"/>
  <c r="P608" i="1"/>
  <c r="AN607" i="1"/>
  <c r="AI607" i="1"/>
  <c r="AN606" i="1"/>
  <c r="AI606" i="1"/>
  <c r="AN605" i="1"/>
  <c r="AI605" i="1"/>
  <c r="P605" i="1"/>
  <c r="AN604" i="1"/>
  <c r="AI604" i="1"/>
  <c r="AN603" i="1"/>
  <c r="AI603" i="1"/>
  <c r="AN602" i="1"/>
  <c r="AI602" i="1"/>
  <c r="P602" i="1"/>
  <c r="AN601" i="1"/>
  <c r="AI601" i="1"/>
  <c r="AN600" i="1"/>
  <c r="AI600" i="1"/>
  <c r="AN599" i="1"/>
  <c r="AI599" i="1"/>
  <c r="P599" i="1"/>
  <c r="AN598" i="1"/>
  <c r="AI598" i="1"/>
  <c r="AN597" i="1"/>
  <c r="AI597" i="1"/>
  <c r="AN596" i="1"/>
  <c r="AI596" i="1"/>
  <c r="P596" i="1"/>
  <c r="AN595" i="1"/>
  <c r="AI595" i="1"/>
  <c r="AN594" i="1"/>
  <c r="AI594" i="1"/>
  <c r="AN593" i="1"/>
  <c r="AI593" i="1"/>
  <c r="P593" i="1"/>
  <c r="AN592" i="1"/>
  <c r="AI592" i="1"/>
  <c r="AN591" i="1"/>
  <c r="AI591" i="1"/>
  <c r="AN590" i="1"/>
  <c r="AI590" i="1"/>
  <c r="P590" i="1"/>
  <c r="AN589" i="1"/>
  <c r="AI589" i="1"/>
  <c r="AN588" i="1"/>
  <c r="AI588" i="1"/>
  <c r="AN587" i="1"/>
  <c r="AI587" i="1"/>
  <c r="P587" i="1"/>
  <c r="AN586" i="1"/>
  <c r="AI586" i="1"/>
  <c r="AN585" i="1"/>
  <c r="AI585" i="1"/>
  <c r="AN584" i="1"/>
  <c r="AI584" i="1"/>
  <c r="P584" i="1"/>
  <c r="AN583" i="1"/>
  <c r="AI583" i="1"/>
  <c r="AN582" i="1"/>
  <c r="AI582" i="1"/>
  <c r="AN581" i="1"/>
  <c r="AI581" i="1"/>
  <c r="P581" i="1"/>
  <c r="AN580" i="1"/>
  <c r="AI580" i="1"/>
  <c r="AN579" i="1"/>
  <c r="AI579" i="1"/>
  <c r="AN578" i="1"/>
  <c r="AI578" i="1"/>
  <c r="P578" i="1"/>
  <c r="AN577" i="1"/>
  <c r="AI577" i="1"/>
  <c r="AN576" i="1"/>
  <c r="AI576" i="1"/>
  <c r="AN575" i="1"/>
  <c r="AI575" i="1"/>
  <c r="P575" i="1"/>
  <c r="AN574" i="1"/>
  <c r="AI574" i="1"/>
  <c r="AN573" i="1"/>
  <c r="AI573" i="1"/>
  <c r="AN572" i="1"/>
  <c r="AI572" i="1"/>
  <c r="P572" i="1"/>
  <c r="AN571" i="1"/>
  <c r="AI571" i="1"/>
  <c r="AN570" i="1"/>
  <c r="AI570" i="1"/>
  <c r="AN569" i="1"/>
  <c r="AI569" i="1"/>
  <c r="P569" i="1"/>
  <c r="AN568" i="1"/>
  <c r="AI568" i="1"/>
  <c r="AN567" i="1"/>
  <c r="AI567" i="1"/>
  <c r="AN566" i="1"/>
  <c r="AI566" i="1"/>
  <c r="P566" i="1"/>
  <c r="AN565" i="1"/>
  <c r="AI565" i="1"/>
  <c r="AN564" i="1"/>
  <c r="AI564" i="1"/>
  <c r="AN563" i="1"/>
  <c r="AI563" i="1"/>
  <c r="P563" i="1"/>
  <c r="AN562" i="1"/>
  <c r="AI562" i="1"/>
  <c r="AN561" i="1"/>
  <c r="AI561" i="1"/>
  <c r="AN560" i="1"/>
  <c r="AI560" i="1"/>
  <c r="P560" i="1"/>
  <c r="AN559" i="1"/>
  <c r="AI559" i="1"/>
  <c r="AN558" i="1"/>
  <c r="AI558" i="1"/>
  <c r="AN557" i="1"/>
  <c r="AI557" i="1"/>
  <c r="P557" i="1"/>
  <c r="AN556" i="1"/>
  <c r="AI556" i="1"/>
  <c r="AN555" i="1"/>
  <c r="AI555" i="1"/>
  <c r="AN554" i="1"/>
  <c r="AI554" i="1"/>
  <c r="P554" i="1"/>
  <c r="AN553" i="1"/>
  <c r="AI553" i="1"/>
  <c r="AN552" i="1"/>
  <c r="AI552" i="1"/>
  <c r="AN551" i="1"/>
  <c r="AI551" i="1"/>
  <c r="P551" i="1"/>
  <c r="AN550" i="1"/>
  <c r="AI550" i="1"/>
  <c r="AN549" i="1"/>
  <c r="AI549" i="1"/>
  <c r="AN548" i="1"/>
  <c r="AI548" i="1"/>
  <c r="P548" i="1"/>
  <c r="AN547" i="1"/>
  <c r="AI547" i="1"/>
  <c r="AN546" i="1"/>
  <c r="AI546" i="1"/>
  <c r="AN545" i="1"/>
  <c r="AI545" i="1"/>
  <c r="S545" i="1"/>
  <c r="R545" i="1"/>
  <c r="P545" i="1"/>
  <c r="AN544" i="1"/>
  <c r="AI544" i="1"/>
  <c r="S544" i="1"/>
  <c r="R544" i="1"/>
  <c r="AN543" i="1"/>
  <c r="AI543" i="1"/>
  <c r="S543" i="1"/>
  <c r="R543" i="1"/>
  <c r="AN542" i="1"/>
  <c r="AI542" i="1"/>
  <c r="S542" i="1"/>
  <c r="R542" i="1"/>
  <c r="P542" i="1"/>
  <c r="AN541" i="1"/>
  <c r="AI541" i="1"/>
  <c r="S541" i="1"/>
  <c r="R541" i="1"/>
  <c r="AN540" i="1"/>
  <c r="AI540" i="1"/>
  <c r="S540" i="1"/>
  <c r="R540" i="1"/>
  <c r="AN539" i="1"/>
  <c r="AI539" i="1"/>
  <c r="S539" i="1"/>
  <c r="R539" i="1"/>
  <c r="P539" i="1"/>
  <c r="AN538" i="1"/>
  <c r="AI538" i="1"/>
  <c r="S538" i="1"/>
  <c r="R538" i="1"/>
  <c r="AN537" i="1"/>
  <c r="AI537" i="1"/>
  <c r="S537" i="1"/>
  <c r="R537" i="1"/>
  <c r="AN536" i="1"/>
  <c r="AI536" i="1"/>
  <c r="S536" i="1"/>
  <c r="R536" i="1"/>
  <c r="P536" i="1"/>
  <c r="AN535" i="1"/>
  <c r="AI535" i="1"/>
  <c r="S535" i="1"/>
  <c r="R535" i="1"/>
  <c r="AN534" i="1"/>
  <c r="AI534" i="1"/>
  <c r="S534" i="1"/>
  <c r="R534" i="1"/>
  <c r="AN533" i="1"/>
  <c r="AI533" i="1"/>
  <c r="S533" i="1"/>
  <c r="R533" i="1"/>
  <c r="P533" i="1"/>
  <c r="AN532" i="1"/>
  <c r="AI532" i="1"/>
  <c r="S532" i="1"/>
  <c r="R532" i="1"/>
  <c r="AN531" i="1"/>
  <c r="AI531" i="1"/>
  <c r="S531" i="1"/>
  <c r="R531" i="1"/>
  <c r="AN530" i="1"/>
  <c r="AI530" i="1"/>
  <c r="S530" i="1"/>
  <c r="R530" i="1"/>
  <c r="P530" i="1"/>
  <c r="AN529" i="1"/>
  <c r="AI529" i="1"/>
  <c r="S529" i="1"/>
  <c r="R529" i="1"/>
  <c r="AN528" i="1"/>
  <c r="AI528" i="1"/>
  <c r="S528" i="1"/>
  <c r="R528" i="1"/>
  <c r="AN527" i="1"/>
  <c r="AI527" i="1"/>
  <c r="S527" i="1"/>
  <c r="R527" i="1"/>
  <c r="P527" i="1"/>
  <c r="AN526" i="1"/>
  <c r="AI526" i="1"/>
  <c r="S526" i="1"/>
  <c r="R526" i="1"/>
  <c r="AN525" i="1"/>
  <c r="AI525" i="1"/>
  <c r="S525" i="1"/>
  <c r="R525" i="1"/>
  <c r="AN524" i="1"/>
  <c r="AI524" i="1"/>
  <c r="S524" i="1"/>
  <c r="R524" i="1"/>
  <c r="P524" i="1"/>
  <c r="AN523" i="1"/>
  <c r="AI523" i="1"/>
  <c r="S523" i="1"/>
  <c r="R523" i="1"/>
  <c r="AN522" i="1"/>
  <c r="AI522" i="1"/>
  <c r="S522" i="1"/>
  <c r="R522" i="1"/>
  <c r="AN521" i="1"/>
  <c r="AI521" i="1"/>
  <c r="S521" i="1"/>
  <c r="R521" i="1"/>
  <c r="P521" i="1"/>
  <c r="AN520" i="1"/>
  <c r="AI520" i="1"/>
  <c r="S520" i="1"/>
  <c r="R520" i="1"/>
  <c r="AN519" i="1"/>
  <c r="AI519" i="1"/>
  <c r="S519" i="1"/>
  <c r="R519" i="1"/>
  <c r="AN518" i="1"/>
  <c r="AI518" i="1"/>
  <c r="S518" i="1"/>
  <c r="R518" i="1"/>
  <c r="P518" i="1"/>
  <c r="AN517" i="1"/>
  <c r="AI517" i="1"/>
  <c r="S517" i="1"/>
  <c r="R517" i="1"/>
  <c r="AN516" i="1"/>
  <c r="AI516" i="1"/>
  <c r="S516" i="1"/>
  <c r="R516" i="1"/>
  <c r="AN515" i="1"/>
  <c r="AI515" i="1"/>
  <c r="S515" i="1"/>
  <c r="R515" i="1"/>
  <c r="P515" i="1"/>
  <c r="AN514" i="1"/>
  <c r="AI514" i="1"/>
  <c r="S514" i="1"/>
  <c r="R514" i="1"/>
  <c r="AN513" i="1"/>
  <c r="AI513" i="1"/>
  <c r="S513" i="1"/>
  <c r="R513" i="1"/>
  <c r="AN512" i="1"/>
  <c r="AI512" i="1"/>
  <c r="S512" i="1"/>
  <c r="R512" i="1"/>
  <c r="P512" i="1"/>
  <c r="AN511" i="1"/>
  <c r="AI511" i="1"/>
  <c r="S511" i="1"/>
  <c r="R511" i="1"/>
  <c r="AN510" i="1"/>
  <c r="AI510" i="1"/>
  <c r="S510" i="1"/>
  <c r="R510" i="1"/>
  <c r="AN509" i="1"/>
  <c r="AI509" i="1"/>
  <c r="S509" i="1"/>
  <c r="R509" i="1"/>
  <c r="P509" i="1"/>
  <c r="AN508" i="1"/>
  <c r="AI508" i="1"/>
  <c r="S508" i="1"/>
  <c r="R508" i="1"/>
  <c r="AN507" i="1"/>
  <c r="AI507" i="1"/>
  <c r="S507" i="1"/>
  <c r="R507" i="1"/>
  <c r="AN506" i="1"/>
  <c r="AI506" i="1"/>
  <c r="S506" i="1"/>
  <c r="R506" i="1"/>
  <c r="P506" i="1"/>
  <c r="AN505" i="1"/>
  <c r="AI505" i="1"/>
  <c r="S505" i="1"/>
  <c r="R505" i="1"/>
  <c r="AN504" i="1"/>
  <c r="AI504" i="1"/>
  <c r="S504" i="1"/>
  <c r="R504" i="1"/>
  <c r="AN503" i="1"/>
  <c r="AI503" i="1"/>
  <c r="S503" i="1"/>
  <c r="R503" i="1"/>
  <c r="P503" i="1"/>
  <c r="AN502" i="1"/>
  <c r="AI502" i="1"/>
  <c r="S502" i="1"/>
  <c r="R502" i="1"/>
  <c r="AN501" i="1"/>
  <c r="AI501" i="1"/>
  <c r="S501" i="1"/>
  <c r="R501" i="1"/>
  <c r="AN500" i="1"/>
  <c r="AI500" i="1"/>
  <c r="S500" i="1"/>
  <c r="R500" i="1"/>
  <c r="P500" i="1"/>
  <c r="AN499" i="1"/>
  <c r="AI499" i="1"/>
  <c r="S499" i="1"/>
  <c r="R499" i="1"/>
  <c r="AN498" i="1"/>
  <c r="AI498" i="1"/>
  <c r="S498" i="1"/>
  <c r="R498" i="1"/>
  <c r="AN497" i="1"/>
  <c r="AI497" i="1"/>
  <c r="S497" i="1"/>
  <c r="R497" i="1"/>
  <c r="P497" i="1"/>
  <c r="AN496" i="1"/>
  <c r="AI496" i="1"/>
  <c r="S496" i="1"/>
  <c r="R496" i="1"/>
  <c r="AN495" i="1"/>
  <c r="AI495" i="1"/>
  <c r="S495" i="1"/>
  <c r="R495" i="1"/>
  <c r="AN494" i="1"/>
  <c r="AI494" i="1"/>
  <c r="S494" i="1"/>
  <c r="R494" i="1"/>
  <c r="P494" i="1"/>
  <c r="AN493" i="1"/>
  <c r="AI493" i="1"/>
  <c r="S493" i="1"/>
  <c r="R493" i="1"/>
  <c r="AN492" i="1"/>
  <c r="AI492" i="1"/>
  <c r="S492" i="1"/>
  <c r="R492" i="1"/>
  <c r="AN491" i="1"/>
  <c r="AI491" i="1"/>
  <c r="S491" i="1"/>
  <c r="R491" i="1"/>
  <c r="P491" i="1"/>
  <c r="AN490" i="1"/>
  <c r="AI490" i="1"/>
  <c r="S490" i="1"/>
  <c r="R490" i="1"/>
  <c r="AN489" i="1"/>
  <c r="AI489" i="1"/>
  <c r="S489" i="1"/>
  <c r="R489" i="1"/>
  <c r="AN488" i="1"/>
  <c r="AI488" i="1"/>
  <c r="S488" i="1"/>
  <c r="R488" i="1"/>
  <c r="P488" i="1"/>
  <c r="AN487" i="1"/>
  <c r="AI487" i="1"/>
  <c r="S487" i="1"/>
  <c r="R487" i="1"/>
  <c r="AN486" i="1"/>
  <c r="AI486" i="1"/>
  <c r="S486" i="1"/>
  <c r="R486" i="1"/>
  <c r="AN485" i="1"/>
  <c r="AI485" i="1"/>
  <c r="S485" i="1"/>
  <c r="R485" i="1"/>
  <c r="P485" i="1"/>
  <c r="AN484" i="1"/>
  <c r="AI484" i="1"/>
  <c r="S484" i="1"/>
  <c r="R484" i="1"/>
  <c r="AN483" i="1"/>
  <c r="AI483" i="1"/>
  <c r="S483" i="1"/>
  <c r="R483" i="1"/>
  <c r="AN482" i="1"/>
  <c r="AI482" i="1"/>
  <c r="S482" i="1"/>
  <c r="R482" i="1"/>
  <c r="P482" i="1"/>
  <c r="AN481" i="1"/>
  <c r="AI481" i="1"/>
  <c r="S481" i="1"/>
  <c r="R481" i="1"/>
  <c r="AN480" i="1"/>
  <c r="AI480" i="1"/>
  <c r="S480" i="1"/>
  <c r="R480" i="1"/>
  <c r="AN479" i="1"/>
  <c r="AI479" i="1"/>
  <c r="S479" i="1"/>
  <c r="R479" i="1"/>
  <c r="P479" i="1"/>
  <c r="AN478" i="1"/>
  <c r="AI478" i="1"/>
  <c r="S478" i="1"/>
  <c r="R478" i="1"/>
  <c r="AN477" i="1"/>
  <c r="AI477" i="1"/>
  <c r="S477" i="1"/>
  <c r="R477" i="1"/>
  <c r="AN476" i="1"/>
  <c r="AI476" i="1"/>
  <c r="S476" i="1"/>
  <c r="R476" i="1"/>
  <c r="P476" i="1"/>
  <c r="AN475" i="1"/>
  <c r="AI475" i="1"/>
  <c r="S475" i="1"/>
  <c r="R475" i="1"/>
  <c r="AN474" i="1"/>
  <c r="AI474" i="1"/>
  <c r="S474" i="1"/>
  <c r="R474" i="1"/>
  <c r="AN473" i="1"/>
  <c r="AI473" i="1"/>
  <c r="S473" i="1"/>
  <c r="R473" i="1"/>
  <c r="P473" i="1"/>
  <c r="AN472" i="1"/>
  <c r="AI472" i="1"/>
  <c r="S472" i="1"/>
  <c r="R472" i="1"/>
  <c r="AN471" i="1"/>
  <c r="AI471" i="1"/>
  <c r="S471" i="1"/>
  <c r="R471" i="1"/>
  <c r="AN470" i="1"/>
  <c r="AI470" i="1"/>
  <c r="S470" i="1"/>
  <c r="R470" i="1"/>
  <c r="P470" i="1"/>
  <c r="AN469" i="1"/>
  <c r="AI469" i="1"/>
  <c r="S469" i="1"/>
  <c r="R469" i="1"/>
  <c r="AN468" i="1"/>
  <c r="AI468" i="1"/>
  <c r="S468" i="1"/>
  <c r="R468" i="1"/>
  <c r="AN467" i="1"/>
  <c r="AI467" i="1"/>
  <c r="S467" i="1"/>
  <c r="R467" i="1"/>
  <c r="P467" i="1"/>
  <c r="AN466" i="1"/>
  <c r="AI466" i="1"/>
  <c r="S466" i="1"/>
  <c r="R466" i="1"/>
  <c r="AN465" i="1"/>
  <c r="AI465" i="1"/>
  <c r="S465" i="1"/>
  <c r="R465" i="1"/>
  <c r="AN464" i="1"/>
  <c r="AI464" i="1"/>
  <c r="S464" i="1"/>
  <c r="R464" i="1"/>
  <c r="P464" i="1"/>
  <c r="AN463" i="1"/>
  <c r="AI463" i="1"/>
  <c r="S463" i="1"/>
  <c r="R463" i="1"/>
  <c r="AN462" i="1"/>
  <c r="AI462" i="1"/>
  <c r="S462" i="1"/>
  <c r="R462" i="1"/>
  <c r="AN461" i="1"/>
  <c r="AI461" i="1"/>
  <c r="S461" i="1"/>
  <c r="R461" i="1"/>
  <c r="P461" i="1"/>
  <c r="AN460" i="1"/>
  <c r="AI460" i="1"/>
  <c r="S460" i="1"/>
  <c r="R460" i="1"/>
  <c r="AN459" i="1"/>
  <c r="AI459" i="1"/>
  <c r="S459" i="1"/>
  <c r="R459" i="1"/>
  <c r="AN458" i="1"/>
  <c r="AI458" i="1"/>
  <c r="S458" i="1"/>
  <c r="R458" i="1"/>
  <c r="P458" i="1"/>
  <c r="AN457" i="1"/>
  <c r="AI457" i="1"/>
  <c r="S457" i="1"/>
  <c r="R457" i="1"/>
  <c r="AN456" i="1"/>
  <c r="AI456" i="1"/>
  <c r="S456" i="1"/>
  <c r="R456" i="1"/>
  <c r="AN455" i="1"/>
  <c r="AI455" i="1"/>
  <c r="S455" i="1"/>
  <c r="R455" i="1"/>
  <c r="P455" i="1"/>
  <c r="AN454" i="1"/>
  <c r="AI454" i="1"/>
  <c r="S454" i="1"/>
  <c r="R454" i="1"/>
  <c r="AN453" i="1"/>
  <c r="AI453" i="1"/>
  <c r="S453" i="1"/>
  <c r="R453" i="1"/>
  <c r="AN452" i="1"/>
  <c r="AI452" i="1"/>
  <c r="S452" i="1"/>
  <c r="R452" i="1"/>
  <c r="P452" i="1"/>
  <c r="AN451" i="1"/>
  <c r="AI451" i="1"/>
  <c r="S451" i="1"/>
  <c r="R451" i="1"/>
  <c r="AN450" i="1"/>
  <c r="AI450" i="1"/>
  <c r="S450" i="1"/>
  <c r="R450" i="1"/>
  <c r="AN449" i="1"/>
  <c r="AI449" i="1"/>
  <c r="S449" i="1"/>
  <c r="R449" i="1"/>
  <c r="P449" i="1"/>
  <c r="AN448" i="1"/>
  <c r="AI448" i="1"/>
  <c r="S448" i="1"/>
  <c r="R448" i="1"/>
  <c r="AN447" i="1"/>
  <c r="AI447" i="1"/>
  <c r="S447" i="1"/>
  <c r="R447" i="1"/>
  <c r="AN446" i="1"/>
  <c r="AI446" i="1"/>
  <c r="S446" i="1"/>
  <c r="R446" i="1"/>
  <c r="P446" i="1"/>
  <c r="AN445" i="1"/>
  <c r="AI445" i="1"/>
  <c r="S445" i="1"/>
  <c r="R445" i="1"/>
  <c r="AN444" i="1"/>
  <c r="AI444" i="1"/>
  <c r="S444" i="1"/>
  <c r="R444" i="1"/>
  <c r="AN443" i="1"/>
  <c r="AI443" i="1"/>
  <c r="S443" i="1"/>
  <c r="R443" i="1"/>
  <c r="P443" i="1"/>
  <c r="AN442" i="1"/>
  <c r="AI442" i="1"/>
  <c r="S442" i="1"/>
  <c r="R442" i="1"/>
  <c r="AN441" i="1"/>
  <c r="AI441" i="1"/>
  <c r="S441" i="1"/>
  <c r="R441" i="1"/>
  <c r="AN440" i="1"/>
  <c r="AI440" i="1"/>
  <c r="S440" i="1"/>
  <c r="R440" i="1"/>
  <c r="P440" i="1"/>
  <c r="AN439" i="1"/>
  <c r="AI439" i="1"/>
  <c r="S439" i="1"/>
  <c r="R439" i="1"/>
  <c r="AN438" i="1"/>
  <c r="AI438" i="1"/>
  <c r="S438" i="1"/>
  <c r="R438" i="1"/>
  <c r="AN437" i="1"/>
  <c r="AI437" i="1"/>
  <c r="S437" i="1"/>
  <c r="R437" i="1"/>
  <c r="P437" i="1"/>
  <c r="AN436" i="1"/>
  <c r="AI436" i="1"/>
  <c r="S436" i="1"/>
  <c r="R436" i="1"/>
  <c r="AN435" i="1"/>
  <c r="AI435" i="1"/>
  <c r="S435" i="1"/>
  <c r="R435" i="1"/>
  <c r="AN434" i="1"/>
  <c r="AI434" i="1"/>
  <c r="S434" i="1"/>
  <c r="R434" i="1"/>
  <c r="P434" i="1"/>
  <c r="AN433" i="1"/>
  <c r="AI433" i="1"/>
  <c r="S433" i="1"/>
  <c r="R433" i="1"/>
  <c r="AN432" i="1"/>
  <c r="AI432" i="1"/>
  <c r="S432" i="1"/>
  <c r="R432" i="1"/>
  <c r="AN431" i="1"/>
  <c r="AI431" i="1"/>
  <c r="S431" i="1"/>
  <c r="R431" i="1"/>
  <c r="P431" i="1"/>
  <c r="AN430" i="1"/>
  <c r="AI430" i="1"/>
  <c r="S430" i="1"/>
  <c r="R430" i="1"/>
  <c r="AN429" i="1"/>
  <c r="AI429" i="1"/>
  <c r="S429" i="1"/>
  <c r="R429" i="1"/>
  <c r="AN428" i="1"/>
  <c r="AI428" i="1"/>
  <c r="S428" i="1"/>
  <c r="R428" i="1"/>
  <c r="P428" i="1"/>
  <c r="AN427" i="1"/>
  <c r="AI427" i="1"/>
  <c r="S427" i="1"/>
  <c r="R427" i="1"/>
  <c r="AN426" i="1"/>
  <c r="AI426" i="1"/>
  <c r="S426" i="1"/>
  <c r="R426" i="1"/>
  <c r="AN425" i="1"/>
  <c r="AI425" i="1"/>
  <c r="S425" i="1"/>
  <c r="R425" i="1"/>
  <c r="P425" i="1"/>
  <c r="AN424" i="1"/>
  <c r="AI424" i="1"/>
  <c r="S424" i="1"/>
  <c r="R424" i="1"/>
  <c r="AN423" i="1"/>
  <c r="AI423" i="1"/>
  <c r="S423" i="1"/>
  <c r="R423" i="1"/>
  <c r="AN422" i="1"/>
  <c r="AI422" i="1"/>
  <c r="S422" i="1"/>
  <c r="R422" i="1"/>
  <c r="P422" i="1"/>
  <c r="AN421" i="1"/>
  <c r="AI421" i="1"/>
  <c r="S421" i="1"/>
  <c r="R421" i="1"/>
  <c r="AN420" i="1"/>
  <c r="AI420" i="1"/>
  <c r="S420" i="1"/>
  <c r="R420" i="1"/>
  <c r="AN419" i="1"/>
  <c r="AI419" i="1"/>
  <c r="S419" i="1"/>
  <c r="R419" i="1"/>
  <c r="P419" i="1"/>
  <c r="AN418" i="1"/>
  <c r="AI418" i="1"/>
  <c r="S418" i="1"/>
  <c r="R418" i="1"/>
  <c r="AN417" i="1"/>
  <c r="AI417" i="1"/>
  <c r="S417" i="1"/>
  <c r="R417" i="1"/>
  <c r="AN416" i="1"/>
  <c r="AI416" i="1"/>
  <c r="S416" i="1"/>
  <c r="R416" i="1"/>
  <c r="P416" i="1"/>
  <c r="AN415" i="1"/>
  <c r="AI415" i="1"/>
  <c r="S415" i="1"/>
  <c r="R415" i="1"/>
  <c r="AN414" i="1"/>
  <c r="AI414" i="1"/>
  <c r="S414" i="1"/>
  <c r="R414" i="1"/>
  <c r="AN413" i="1"/>
  <c r="AI413" i="1"/>
  <c r="S413" i="1"/>
  <c r="R413" i="1"/>
  <c r="P413" i="1"/>
  <c r="AN412" i="1"/>
  <c r="AI412" i="1"/>
  <c r="S412" i="1"/>
  <c r="R412" i="1"/>
  <c r="AN411" i="1"/>
  <c r="AI411" i="1"/>
  <c r="S411" i="1"/>
  <c r="R411" i="1"/>
  <c r="AN410" i="1"/>
  <c r="AI410" i="1"/>
  <c r="S410" i="1"/>
  <c r="R410" i="1"/>
  <c r="P410" i="1"/>
  <c r="AN409" i="1"/>
  <c r="AI409" i="1"/>
  <c r="S409" i="1"/>
  <c r="R409" i="1"/>
  <c r="AN408" i="1"/>
  <c r="AI408" i="1"/>
  <c r="S408" i="1"/>
  <c r="R408" i="1"/>
  <c r="AN407" i="1"/>
  <c r="AI407" i="1"/>
  <c r="S407" i="1"/>
  <c r="R407" i="1"/>
  <c r="P407" i="1"/>
  <c r="AN406" i="1"/>
  <c r="AI406" i="1"/>
  <c r="S406" i="1"/>
  <c r="R406" i="1"/>
  <c r="AN405" i="1"/>
  <c r="AI405" i="1"/>
  <c r="S405" i="1"/>
  <c r="R405" i="1"/>
  <c r="AN404" i="1"/>
  <c r="AI404" i="1"/>
  <c r="S404" i="1"/>
  <c r="R404" i="1"/>
  <c r="P404" i="1"/>
  <c r="AN403" i="1"/>
  <c r="AI403" i="1"/>
  <c r="S403" i="1"/>
  <c r="R403" i="1"/>
  <c r="AN402" i="1"/>
  <c r="AI402" i="1"/>
  <c r="S402" i="1"/>
  <c r="R402" i="1"/>
  <c r="AN401" i="1"/>
  <c r="AI401" i="1"/>
  <c r="S401" i="1"/>
  <c r="R401" i="1"/>
  <c r="P401" i="1"/>
  <c r="AN400" i="1"/>
  <c r="AI400" i="1"/>
  <c r="S400" i="1"/>
  <c r="R400" i="1"/>
  <c r="AN399" i="1"/>
  <c r="AI399" i="1"/>
  <c r="S399" i="1"/>
  <c r="R399" i="1"/>
  <c r="AN398" i="1"/>
  <c r="AI398" i="1"/>
  <c r="S398" i="1"/>
  <c r="R398" i="1"/>
  <c r="P398" i="1"/>
  <c r="AN397" i="1"/>
  <c r="AI397" i="1"/>
  <c r="S397" i="1"/>
  <c r="R397" i="1"/>
  <c r="AN396" i="1"/>
  <c r="AI396" i="1"/>
  <c r="S396" i="1"/>
  <c r="R396" i="1"/>
  <c r="AN395" i="1"/>
  <c r="AI395" i="1"/>
  <c r="S395" i="1"/>
  <c r="R395" i="1"/>
  <c r="P395" i="1"/>
  <c r="AN394" i="1"/>
  <c r="AI394" i="1"/>
  <c r="S394" i="1"/>
  <c r="R394" i="1"/>
  <c r="AN393" i="1"/>
  <c r="AI393" i="1"/>
  <c r="S393" i="1"/>
  <c r="R393" i="1"/>
  <c r="AN392" i="1"/>
  <c r="AI392" i="1"/>
  <c r="S392" i="1"/>
  <c r="R392" i="1"/>
  <c r="P392" i="1"/>
  <c r="AN391" i="1"/>
  <c r="AI391" i="1"/>
  <c r="S391" i="1"/>
  <c r="R391" i="1"/>
  <c r="AN390" i="1"/>
  <c r="AI390" i="1"/>
  <c r="S390" i="1"/>
  <c r="R390" i="1"/>
  <c r="AN389" i="1"/>
  <c r="AI389" i="1"/>
  <c r="S389" i="1"/>
  <c r="R389" i="1"/>
  <c r="P389" i="1"/>
  <c r="AN388" i="1"/>
  <c r="AI388" i="1"/>
  <c r="S388" i="1"/>
  <c r="R388" i="1"/>
  <c r="AN387" i="1"/>
  <c r="AI387" i="1"/>
  <c r="S387" i="1"/>
  <c r="R387" i="1"/>
  <c r="AN386" i="1"/>
  <c r="AI386" i="1"/>
  <c r="S386" i="1"/>
  <c r="R386" i="1"/>
  <c r="P386" i="1"/>
  <c r="AN385" i="1"/>
  <c r="AI385" i="1"/>
  <c r="S385" i="1"/>
  <c r="R385" i="1"/>
  <c r="AN384" i="1"/>
  <c r="AI384" i="1"/>
  <c r="S384" i="1"/>
  <c r="R384" i="1"/>
  <c r="AN383" i="1"/>
  <c r="AI383" i="1"/>
  <c r="S383" i="1"/>
  <c r="R383" i="1"/>
  <c r="P383" i="1"/>
  <c r="AN382" i="1"/>
  <c r="AI382" i="1"/>
  <c r="S382" i="1"/>
  <c r="R382" i="1"/>
  <c r="AN381" i="1"/>
  <c r="AI381" i="1"/>
  <c r="S381" i="1"/>
  <c r="R381" i="1"/>
  <c r="AN380" i="1"/>
  <c r="AI380" i="1"/>
  <c r="S380" i="1"/>
  <c r="R380" i="1"/>
  <c r="P380" i="1"/>
  <c r="AN379" i="1"/>
  <c r="AI379" i="1"/>
  <c r="S379" i="1"/>
  <c r="R379" i="1"/>
  <c r="AN378" i="1"/>
  <c r="AI378" i="1"/>
  <c r="S378" i="1"/>
  <c r="R378" i="1"/>
  <c r="AN377" i="1"/>
  <c r="AI377" i="1"/>
  <c r="S377" i="1"/>
  <c r="R377" i="1"/>
  <c r="P377" i="1"/>
  <c r="AN376" i="1"/>
  <c r="AI376" i="1"/>
  <c r="S376" i="1"/>
  <c r="R376" i="1"/>
  <c r="AN375" i="1"/>
  <c r="AI375" i="1"/>
  <c r="S375" i="1"/>
  <c r="R375" i="1"/>
  <c r="AN374" i="1"/>
  <c r="AI374" i="1"/>
  <c r="S374" i="1"/>
  <c r="R374" i="1"/>
  <c r="P374" i="1"/>
  <c r="AN373" i="1"/>
  <c r="AI373" i="1"/>
  <c r="S373" i="1"/>
  <c r="R373" i="1"/>
  <c r="AN372" i="1"/>
  <c r="AI372" i="1"/>
  <c r="S372" i="1"/>
  <c r="R372" i="1"/>
  <c r="AN371" i="1"/>
  <c r="AI371" i="1"/>
  <c r="S371" i="1"/>
  <c r="R371" i="1"/>
  <c r="P371" i="1"/>
  <c r="AN370" i="1"/>
  <c r="AI370" i="1"/>
  <c r="S370" i="1"/>
  <c r="R370" i="1"/>
  <c r="AN369" i="1"/>
  <c r="AI369" i="1"/>
  <c r="S369" i="1"/>
  <c r="R369" i="1"/>
  <c r="AN368" i="1"/>
  <c r="AI368" i="1"/>
  <c r="S368" i="1"/>
  <c r="R368" i="1"/>
  <c r="P368" i="1"/>
  <c r="AN367" i="1"/>
  <c r="AI367" i="1"/>
  <c r="S367" i="1"/>
  <c r="R367" i="1"/>
  <c r="AN366" i="1"/>
  <c r="AI366" i="1"/>
  <c r="S366" i="1"/>
  <c r="R366" i="1"/>
  <c r="AN365" i="1"/>
  <c r="AI365" i="1"/>
  <c r="S365" i="1"/>
  <c r="R365" i="1"/>
  <c r="P365" i="1"/>
  <c r="AN364" i="1"/>
  <c r="AI364" i="1"/>
  <c r="S364" i="1"/>
  <c r="R364" i="1"/>
  <c r="AN363" i="1"/>
  <c r="AI363" i="1"/>
  <c r="S363" i="1"/>
  <c r="R363" i="1"/>
  <c r="AN362" i="1"/>
  <c r="AI362" i="1"/>
  <c r="S362" i="1"/>
  <c r="R362" i="1"/>
  <c r="P362" i="1"/>
  <c r="AN361" i="1"/>
  <c r="AI361" i="1"/>
  <c r="S361" i="1"/>
  <c r="R361" i="1"/>
  <c r="AN360" i="1"/>
  <c r="AI360" i="1"/>
  <c r="S360" i="1"/>
  <c r="R360" i="1"/>
  <c r="AN359" i="1"/>
  <c r="AI359" i="1"/>
  <c r="S359" i="1"/>
  <c r="R359" i="1"/>
  <c r="P359" i="1"/>
  <c r="AN358" i="1"/>
  <c r="AI358" i="1"/>
  <c r="S358" i="1"/>
  <c r="R358" i="1"/>
  <c r="AN357" i="1"/>
  <c r="AI357" i="1"/>
  <c r="S357" i="1"/>
  <c r="R357" i="1"/>
  <c r="AN356" i="1"/>
  <c r="AI356" i="1"/>
  <c r="S356" i="1"/>
  <c r="R356" i="1"/>
  <c r="P356" i="1"/>
  <c r="AN355" i="1"/>
  <c r="AI355" i="1"/>
  <c r="S355" i="1"/>
  <c r="R355" i="1"/>
  <c r="AN354" i="1"/>
  <c r="AI354" i="1"/>
  <c r="S354" i="1"/>
  <c r="R354" i="1"/>
  <c r="AN353" i="1"/>
  <c r="AI353" i="1"/>
  <c r="S353" i="1"/>
  <c r="R353" i="1"/>
  <c r="P353" i="1"/>
  <c r="AN352" i="1"/>
  <c r="AI352" i="1"/>
  <c r="S352" i="1"/>
  <c r="R352" i="1"/>
  <c r="AN351" i="1"/>
  <c r="AI351" i="1"/>
  <c r="S351" i="1"/>
  <c r="R351" i="1"/>
  <c r="AN350" i="1"/>
  <c r="AI350" i="1"/>
  <c r="S350" i="1"/>
  <c r="R350" i="1"/>
  <c r="P350" i="1"/>
  <c r="AN349" i="1"/>
  <c r="AI349" i="1"/>
  <c r="S349" i="1"/>
  <c r="R349" i="1"/>
  <c r="AN348" i="1"/>
  <c r="AI348" i="1"/>
  <c r="S348" i="1"/>
  <c r="R348" i="1"/>
  <c r="AN347" i="1"/>
  <c r="AI347" i="1"/>
  <c r="S347" i="1"/>
  <c r="R347" i="1"/>
  <c r="P347" i="1"/>
  <c r="AN346" i="1"/>
  <c r="AI346" i="1"/>
  <c r="S346" i="1"/>
  <c r="R346" i="1"/>
  <c r="AN345" i="1"/>
  <c r="AI345" i="1"/>
  <c r="S345" i="1"/>
  <c r="R345" i="1"/>
  <c r="AN344" i="1"/>
  <c r="AI344" i="1"/>
  <c r="S344" i="1"/>
  <c r="R344" i="1"/>
  <c r="P344" i="1"/>
  <c r="AN343" i="1"/>
  <c r="AI343" i="1"/>
  <c r="S343" i="1"/>
  <c r="R343" i="1"/>
  <c r="AN342" i="1"/>
  <c r="AI342" i="1"/>
  <c r="S342" i="1"/>
  <c r="R342" i="1"/>
  <c r="AN341" i="1"/>
  <c r="AI341" i="1"/>
  <c r="S341" i="1"/>
  <c r="R341" i="1"/>
  <c r="P341" i="1"/>
  <c r="AN340" i="1"/>
  <c r="AI340" i="1"/>
  <c r="S340" i="1"/>
  <c r="R340" i="1"/>
  <c r="AN339" i="1"/>
  <c r="AI339" i="1"/>
  <c r="S339" i="1"/>
  <c r="R339" i="1"/>
  <c r="AN338" i="1"/>
  <c r="AI338" i="1"/>
  <c r="S338" i="1"/>
  <c r="R338" i="1"/>
  <c r="P338" i="1"/>
  <c r="AN337" i="1"/>
  <c r="AI337" i="1"/>
  <c r="S337" i="1"/>
  <c r="R337" i="1"/>
  <c r="AN336" i="1"/>
  <c r="AI336" i="1"/>
  <c r="S336" i="1"/>
  <c r="R336" i="1"/>
  <c r="AN335" i="1"/>
  <c r="AI335" i="1"/>
  <c r="S335" i="1"/>
  <c r="R335" i="1"/>
  <c r="P335" i="1"/>
  <c r="AN334" i="1"/>
  <c r="AI334" i="1"/>
  <c r="S334" i="1"/>
  <c r="R334" i="1"/>
  <c r="AN333" i="1"/>
  <c r="AI333" i="1"/>
  <c r="S333" i="1"/>
  <c r="R333" i="1"/>
  <c r="AN332" i="1"/>
  <c r="AI332" i="1"/>
  <c r="S332" i="1"/>
  <c r="R332" i="1"/>
  <c r="P332" i="1"/>
  <c r="AN331" i="1"/>
  <c r="AI331" i="1"/>
  <c r="S331" i="1"/>
  <c r="R331" i="1"/>
  <c r="AN330" i="1"/>
  <c r="AI330" i="1"/>
  <c r="S330" i="1"/>
  <c r="R330" i="1"/>
  <c r="AN329" i="1"/>
  <c r="AI329" i="1"/>
  <c r="S329" i="1"/>
  <c r="R329" i="1"/>
  <c r="P329" i="1"/>
  <c r="AN328" i="1"/>
  <c r="AI328" i="1"/>
  <c r="S328" i="1"/>
  <c r="R328" i="1"/>
  <c r="AN327" i="1"/>
  <c r="AI327" i="1"/>
  <c r="S327" i="1"/>
  <c r="R327" i="1"/>
  <c r="AN326" i="1"/>
  <c r="AI326" i="1"/>
  <c r="S326" i="1"/>
  <c r="R326" i="1"/>
  <c r="P326" i="1"/>
  <c r="AN325" i="1"/>
  <c r="AI325" i="1"/>
  <c r="S325" i="1"/>
  <c r="R325" i="1"/>
  <c r="AN324" i="1"/>
  <c r="AI324" i="1"/>
  <c r="S324" i="1"/>
  <c r="R324" i="1"/>
  <c r="AN323" i="1"/>
  <c r="AI323" i="1"/>
  <c r="S323" i="1"/>
  <c r="R323" i="1"/>
  <c r="P323" i="1"/>
  <c r="AN322" i="1"/>
  <c r="AI322" i="1"/>
  <c r="S322" i="1"/>
  <c r="R322" i="1"/>
  <c r="AN321" i="1"/>
  <c r="AI321" i="1"/>
  <c r="S321" i="1"/>
  <c r="R321" i="1"/>
  <c r="AN320" i="1"/>
  <c r="AI320" i="1"/>
  <c r="S320" i="1"/>
  <c r="R320" i="1"/>
  <c r="P320" i="1"/>
  <c r="AN319" i="1"/>
  <c r="AI319" i="1"/>
  <c r="S319" i="1"/>
  <c r="R319" i="1"/>
  <c r="AN318" i="1"/>
  <c r="AI318" i="1"/>
  <c r="S318" i="1"/>
  <c r="R318" i="1"/>
  <c r="AN317" i="1"/>
  <c r="AI317" i="1"/>
  <c r="S317" i="1"/>
  <c r="R317" i="1"/>
  <c r="P317" i="1"/>
  <c r="AN316" i="1"/>
  <c r="AI316" i="1"/>
  <c r="S316" i="1"/>
  <c r="R316" i="1"/>
  <c r="AN315" i="1"/>
  <c r="AI315" i="1"/>
  <c r="S315" i="1"/>
  <c r="R315" i="1"/>
  <c r="AN314" i="1"/>
  <c r="AI314" i="1"/>
  <c r="S314" i="1"/>
  <c r="R314" i="1"/>
  <c r="P314" i="1"/>
  <c r="AN313" i="1"/>
  <c r="AI313" i="1"/>
  <c r="S313" i="1"/>
  <c r="R313" i="1"/>
  <c r="AN312" i="1"/>
  <c r="AI312" i="1"/>
  <c r="S312" i="1"/>
  <c r="R312" i="1"/>
  <c r="AN311" i="1"/>
  <c r="AI311" i="1"/>
  <c r="S311" i="1"/>
  <c r="R311" i="1"/>
  <c r="P311" i="1"/>
  <c r="AN310" i="1"/>
  <c r="AI310" i="1"/>
  <c r="S310" i="1"/>
  <c r="R310" i="1"/>
  <c r="AN309" i="1"/>
  <c r="AI309" i="1"/>
  <c r="S309" i="1"/>
  <c r="R309" i="1"/>
  <c r="AN308" i="1"/>
  <c r="AI308" i="1"/>
  <c r="S308" i="1"/>
  <c r="R308" i="1"/>
  <c r="P308" i="1"/>
  <c r="AN307" i="1"/>
  <c r="AI307" i="1"/>
  <c r="S307" i="1"/>
  <c r="R307" i="1"/>
  <c r="AN306" i="1"/>
  <c r="AI306" i="1"/>
  <c r="S306" i="1"/>
  <c r="R306" i="1"/>
  <c r="AN305" i="1"/>
  <c r="AI305" i="1"/>
  <c r="S305" i="1"/>
  <c r="R305" i="1"/>
  <c r="P305" i="1"/>
  <c r="AN304" i="1"/>
  <c r="AI304" i="1"/>
  <c r="S304" i="1"/>
  <c r="R304" i="1"/>
  <c r="AN303" i="1"/>
  <c r="AI303" i="1"/>
  <c r="S303" i="1"/>
  <c r="R303" i="1"/>
  <c r="AN302" i="1"/>
  <c r="AI302" i="1"/>
  <c r="S302" i="1"/>
  <c r="R302" i="1"/>
  <c r="P302" i="1"/>
  <c r="AN301" i="1"/>
  <c r="AI301" i="1"/>
  <c r="S301" i="1"/>
  <c r="R301" i="1"/>
  <c r="AN300" i="1"/>
  <c r="AI300" i="1"/>
  <c r="S300" i="1"/>
  <c r="R300" i="1"/>
  <c r="AN299" i="1"/>
  <c r="AI299" i="1"/>
  <c r="S299" i="1"/>
  <c r="R299" i="1"/>
  <c r="P299" i="1"/>
  <c r="AN298" i="1"/>
  <c r="AI298" i="1"/>
  <c r="S298" i="1"/>
  <c r="R298" i="1"/>
  <c r="AN297" i="1"/>
  <c r="AI297" i="1"/>
  <c r="S297" i="1"/>
  <c r="R297" i="1"/>
  <c r="AN296" i="1"/>
  <c r="AI296" i="1"/>
  <c r="S296" i="1"/>
  <c r="R296" i="1"/>
  <c r="P296" i="1"/>
  <c r="AN295" i="1"/>
  <c r="AI295" i="1"/>
  <c r="S295" i="1"/>
  <c r="R295" i="1"/>
  <c r="AN294" i="1"/>
  <c r="AI294" i="1"/>
  <c r="S294" i="1"/>
  <c r="R294" i="1"/>
  <c r="AN293" i="1"/>
  <c r="AI293" i="1"/>
  <c r="S293" i="1"/>
  <c r="R293" i="1"/>
  <c r="P293" i="1"/>
  <c r="AN292" i="1"/>
  <c r="AI292" i="1"/>
  <c r="S292" i="1"/>
  <c r="R292" i="1"/>
  <c r="AN291" i="1"/>
  <c r="AI291" i="1"/>
  <c r="S291" i="1"/>
  <c r="R291" i="1"/>
  <c r="AN290" i="1"/>
  <c r="AI290" i="1"/>
  <c r="S290" i="1"/>
  <c r="R290" i="1"/>
  <c r="P290" i="1"/>
  <c r="AN289" i="1"/>
  <c r="AI289" i="1"/>
  <c r="S289" i="1"/>
  <c r="R289" i="1"/>
  <c r="AN288" i="1"/>
  <c r="AI288" i="1"/>
  <c r="S288" i="1"/>
  <c r="R288" i="1"/>
  <c r="AN287" i="1"/>
  <c r="AI287" i="1"/>
  <c r="S287" i="1"/>
  <c r="R287" i="1"/>
  <c r="P287" i="1"/>
  <c r="AN286" i="1"/>
  <c r="AI286" i="1"/>
  <c r="S286" i="1"/>
  <c r="R286" i="1"/>
  <c r="AN285" i="1"/>
  <c r="AI285" i="1"/>
  <c r="S285" i="1"/>
  <c r="R285" i="1"/>
  <c r="AN284" i="1"/>
  <c r="AI284" i="1"/>
  <c r="S284" i="1"/>
  <c r="R284" i="1"/>
  <c r="P284" i="1"/>
  <c r="AN283" i="1"/>
  <c r="AI283" i="1"/>
  <c r="S283" i="1"/>
  <c r="R283" i="1"/>
  <c r="AN282" i="1"/>
  <c r="AI282" i="1"/>
  <c r="S282" i="1"/>
  <c r="R282" i="1"/>
  <c r="AN281" i="1"/>
  <c r="AI281" i="1"/>
  <c r="S281" i="1"/>
  <c r="R281" i="1"/>
  <c r="P281" i="1"/>
  <c r="S115" i="1" s="1"/>
  <c r="AN280" i="1"/>
  <c r="AI280" i="1"/>
  <c r="S280" i="1"/>
  <c r="R280" i="1"/>
  <c r="AN279" i="1"/>
  <c r="AI279" i="1"/>
  <c r="S279" i="1"/>
  <c r="R279" i="1"/>
  <c r="AN278" i="1"/>
  <c r="AI278" i="1"/>
  <c r="S278" i="1"/>
  <c r="R278" i="1"/>
  <c r="P278" i="1"/>
  <c r="AN277" i="1"/>
  <c r="AI277" i="1"/>
  <c r="S277" i="1"/>
  <c r="R277" i="1"/>
  <c r="AN276" i="1"/>
  <c r="AI276" i="1"/>
  <c r="S276" i="1"/>
  <c r="R276" i="1"/>
  <c r="AN275" i="1"/>
  <c r="AI275" i="1"/>
  <c r="S275" i="1"/>
  <c r="R275" i="1"/>
  <c r="P275" i="1"/>
  <c r="AN274" i="1"/>
  <c r="AI274" i="1"/>
  <c r="S274" i="1"/>
  <c r="R274" i="1"/>
  <c r="AN273" i="1"/>
  <c r="AI273" i="1"/>
  <c r="S273" i="1"/>
  <c r="R273" i="1"/>
  <c r="AN272" i="1"/>
  <c r="AI272" i="1"/>
  <c r="S272" i="1"/>
  <c r="R272" i="1"/>
  <c r="P272" i="1"/>
  <c r="AN271" i="1"/>
  <c r="AI271" i="1"/>
  <c r="S271" i="1"/>
  <c r="R271" i="1"/>
  <c r="AN270" i="1"/>
  <c r="AI270" i="1"/>
  <c r="S270" i="1"/>
  <c r="R270" i="1"/>
  <c r="AN269" i="1"/>
  <c r="AI269" i="1"/>
  <c r="S269" i="1"/>
  <c r="R269" i="1"/>
  <c r="P269" i="1"/>
  <c r="AN268" i="1"/>
  <c r="AI268" i="1"/>
  <c r="S268" i="1"/>
  <c r="R268" i="1"/>
  <c r="AN267" i="1"/>
  <c r="AI267" i="1"/>
  <c r="S267" i="1"/>
  <c r="R267" i="1"/>
  <c r="AN266" i="1"/>
  <c r="AI266" i="1"/>
  <c r="S266" i="1"/>
  <c r="R266" i="1"/>
  <c r="P266" i="1"/>
  <c r="AN265" i="1"/>
  <c r="AI265" i="1"/>
  <c r="S265" i="1"/>
  <c r="R265" i="1"/>
  <c r="AN264" i="1"/>
  <c r="AI264" i="1"/>
  <c r="S264" i="1"/>
  <c r="R264" i="1"/>
  <c r="AN263" i="1"/>
  <c r="AI263" i="1"/>
  <c r="S263" i="1"/>
  <c r="R263" i="1"/>
  <c r="P263" i="1"/>
  <c r="AN262" i="1"/>
  <c r="AI262" i="1"/>
  <c r="S262" i="1"/>
  <c r="R262" i="1"/>
  <c r="AN261" i="1"/>
  <c r="AI261" i="1"/>
  <c r="S261" i="1"/>
  <c r="R261" i="1"/>
  <c r="AN260" i="1"/>
  <c r="AI260" i="1"/>
  <c r="S260" i="1"/>
  <c r="R260" i="1"/>
  <c r="P260" i="1"/>
  <c r="AN259" i="1"/>
  <c r="AI259" i="1"/>
  <c r="S259" i="1"/>
  <c r="R259" i="1"/>
  <c r="AN258" i="1"/>
  <c r="AI258" i="1"/>
  <c r="S258" i="1"/>
  <c r="R258" i="1"/>
  <c r="AN257" i="1"/>
  <c r="AI257" i="1"/>
  <c r="S257" i="1"/>
  <c r="R257" i="1"/>
  <c r="P257" i="1"/>
  <c r="AN256" i="1"/>
  <c r="AI256" i="1"/>
  <c r="S256" i="1"/>
  <c r="R256" i="1"/>
  <c r="AN255" i="1"/>
  <c r="AI255" i="1"/>
  <c r="S255" i="1"/>
  <c r="R255" i="1"/>
  <c r="AN254" i="1"/>
  <c r="AI254" i="1"/>
  <c r="S254" i="1"/>
  <c r="R254" i="1"/>
  <c r="P254" i="1"/>
  <c r="AN253" i="1"/>
  <c r="AI253" i="1"/>
  <c r="S253" i="1"/>
  <c r="R253" i="1"/>
  <c r="AN252" i="1"/>
  <c r="AI252" i="1"/>
  <c r="S252" i="1"/>
  <c r="R252" i="1"/>
  <c r="AN251" i="1"/>
  <c r="AI251" i="1"/>
  <c r="S251" i="1"/>
  <c r="R251" i="1"/>
  <c r="P251" i="1"/>
  <c r="AN250" i="1"/>
  <c r="AI250" i="1"/>
  <c r="S250" i="1"/>
  <c r="R250" i="1"/>
  <c r="AN249" i="1"/>
  <c r="AI249" i="1"/>
  <c r="S249" i="1"/>
  <c r="R249" i="1"/>
  <c r="AN248" i="1"/>
  <c r="AI248" i="1"/>
  <c r="S248" i="1"/>
  <c r="R248" i="1"/>
  <c r="P248" i="1"/>
  <c r="AN247" i="1"/>
  <c r="AI247" i="1"/>
  <c r="S247" i="1"/>
  <c r="R247" i="1"/>
  <c r="AN246" i="1"/>
  <c r="AI246" i="1"/>
  <c r="S246" i="1"/>
  <c r="R246" i="1"/>
  <c r="AN245" i="1"/>
  <c r="AI245" i="1"/>
  <c r="S245" i="1"/>
  <c r="R245" i="1"/>
  <c r="P245" i="1"/>
  <c r="AN244" i="1"/>
  <c r="AI244" i="1"/>
  <c r="S244" i="1"/>
  <c r="R244" i="1"/>
  <c r="AN243" i="1"/>
  <c r="AI243" i="1"/>
  <c r="S243" i="1"/>
  <c r="R243" i="1"/>
  <c r="AN242" i="1"/>
  <c r="AI242" i="1"/>
  <c r="S242" i="1"/>
  <c r="R242" i="1"/>
  <c r="P242" i="1"/>
  <c r="AN241" i="1"/>
  <c r="AI241" i="1"/>
  <c r="S241" i="1"/>
  <c r="R241" i="1"/>
  <c r="AN240" i="1"/>
  <c r="AI240" i="1"/>
  <c r="S240" i="1"/>
  <c r="R240" i="1"/>
  <c r="AN239" i="1"/>
  <c r="AI239" i="1"/>
  <c r="S239" i="1"/>
  <c r="R239" i="1"/>
  <c r="P239" i="1"/>
  <c r="AN238" i="1"/>
  <c r="AI238" i="1"/>
  <c r="S238" i="1"/>
  <c r="R238" i="1"/>
  <c r="AN237" i="1"/>
  <c r="AI237" i="1"/>
  <c r="S237" i="1"/>
  <c r="R237" i="1"/>
  <c r="AN236" i="1"/>
  <c r="AI236" i="1"/>
  <c r="S236" i="1"/>
  <c r="R236" i="1"/>
  <c r="P236" i="1"/>
  <c r="AN235" i="1"/>
  <c r="AI235" i="1"/>
  <c r="S235" i="1"/>
  <c r="R235" i="1"/>
  <c r="AN234" i="1"/>
  <c r="AI234" i="1"/>
  <c r="S234" i="1"/>
  <c r="R234" i="1"/>
  <c r="AN233" i="1"/>
  <c r="AI233" i="1"/>
  <c r="S233" i="1"/>
  <c r="R233" i="1"/>
  <c r="P233" i="1"/>
  <c r="AN232" i="1"/>
  <c r="AI232" i="1"/>
  <c r="S232" i="1"/>
  <c r="R232" i="1"/>
  <c r="AN231" i="1"/>
  <c r="AI231" i="1"/>
  <c r="S231" i="1"/>
  <c r="R231" i="1"/>
  <c r="AN230" i="1"/>
  <c r="AI230" i="1"/>
  <c r="S230" i="1"/>
  <c r="R230" i="1"/>
  <c r="P230" i="1"/>
  <c r="AN229" i="1"/>
  <c r="AI229" i="1"/>
  <c r="S229" i="1"/>
  <c r="R229" i="1"/>
  <c r="AN228" i="1"/>
  <c r="AI228" i="1"/>
  <c r="S228" i="1"/>
  <c r="R228" i="1"/>
  <c r="AN227" i="1"/>
  <c r="AI227" i="1"/>
  <c r="S227" i="1"/>
  <c r="R227" i="1"/>
  <c r="P227" i="1"/>
  <c r="AN226" i="1"/>
  <c r="AI226" i="1"/>
  <c r="S226" i="1"/>
  <c r="R226" i="1"/>
  <c r="AN225" i="1"/>
  <c r="AI225" i="1"/>
  <c r="S225" i="1"/>
  <c r="R225" i="1"/>
  <c r="AN224" i="1"/>
  <c r="AI224" i="1"/>
  <c r="S224" i="1"/>
  <c r="R224" i="1"/>
  <c r="P224" i="1"/>
  <c r="AN223" i="1"/>
  <c r="AI223" i="1"/>
  <c r="S223" i="1"/>
  <c r="R223" i="1"/>
  <c r="AN222" i="1"/>
  <c r="AI222" i="1"/>
  <c r="S222" i="1"/>
  <c r="R222" i="1"/>
  <c r="AN221" i="1"/>
  <c r="AI221" i="1"/>
  <c r="S221" i="1"/>
  <c r="R221" i="1"/>
  <c r="P221" i="1"/>
  <c r="AN220" i="1"/>
  <c r="AI220" i="1"/>
  <c r="S220" i="1"/>
  <c r="R220" i="1"/>
  <c r="AN219" i="1"/>
  <c r="AI219" i="1"/>
  <c r="S219" i="1"/>
  <c r="R219" i="1"/>
  <c r="AN218" i="1"/>
  <c r="AI218" i="1"/>
  <c r="S218" i="1"/>
  <c r="R218" i="1"/>
  <c r="P218" i="1"/>
  <c r="AN217" i="1"/>
  <c r="AI217" i="1"/>
  <c r="S217" i="1"/>
  <c r="R217" i="1"/>
  <c r="AN216" i="1"/>
  <c r="AI216" i="1"/>
  <c r="S216" i="1"/>
  <c r="R216" i="1"/>
  <c r="AN215" i="1"/>
  <c r="AI215" i="1"/>
  <c r="S215" i="1"/>
  <c r="R215" i="1"/>
  <c r="P215" i="1"/>
  <c r="AN214" i="1"/>
  <c r="AI214" i="1"/>
  <c r="S214" i="1"/>
  <c r="R214" i="1"/>
  <c r="AN213" i="1"/>
  <c r="AI213" i="1"/>
  <c r="S213" i="1"/>
  <c r="R213" i="1"/>
  <c r="AN212" i="1"/>
  <c r="AI212" i="1"/>
  <c r="S212" i="1"/>
  <c r="R212" i="1"/>
  <c r="P212" i="1"/>
  <c r="AN211" i="1"/>
  <c r="AI211" i="1"/>
  <c r="S211" i="1"/>
  <c r="R211" i="1"/>
  <c r="AN210" i="1"/>
  <c r="AI210" i="1"/>
  <c r="S210" i="1"/>
  <c r="R210" i="1"/>
  <c r="AN209" i="1"/>
  <c r="AI209" i="1"/>
  <c r="S209" i="1"/>
  <c r="R209" i="1"/>
  <c r="P209" i="1"/>
  <c r="AN208" i="1"/>
  <c r="AI208" i="1"/>
  <c r="S208" i="1"/>
  <c r="R208" i="1"/>
  <c r="AN207" i="1"/>
  <c r="AI207" i="1"/>
  <c r="S207" i="1"/>
  <c r="R207" i="1"/>
  <c r="AN206" i="1"/>
  <c r="AI206" i="1"/>
  <c r="S206" i="1"/>
  <c r="R206" i="1"/>
  <c r="P206" i="1"/>
  <c r="AN205" i="1"/>
  <c r="AI205" i="1"/>
  <c r="S205" i="1"/>
  <c r="R205" i="1"/>
  <c r="AN204" i="1"/>
  <c r="AI204" i="1"/>
  <c r="S204" i="1"/>
  <c r="R204" i="1"/>
  <c r="AN203" i="1"/>
  <c r="AI203" i="1"/>
  <c r="S203" i="1"/>
  <c r="R203" i="1"/>
  <c r="P203" i="1"/>
  <c r="AN202" i="1"/>
  <c r="AI202" i="1"/>
  <c r="S202" i="1"/>
  <c r="R202" i="1"/>
  <c r="AN201" i="1"/>
  <c r="AI201" i="1"/>
  <c r="S201" i="1"/>
  <c r="R201" i="1"/>
  <c r="AN200" i="1"/>
  <c r="AI200" i="1"/>
  <c r="S200" i="1"/>
  <c r="R200" i="1"/>
  <c r="P200" i="1"/>
  <c r="AN199" i="1"/>
  <c r="AI199" i="1"/>
  <c r="S199" i="1"/>
  <c r="R199" i="1"/>
  <c r="AN198" i="1"/>
  <c r="AI198" i="1"/>
  <c r="S198" i="1"/>
  <c r="R198" i="1"/>
  <c r="AN197" i="1"/>
  <c r="AI197" i="1"/>
  <c r="S197" i="1"/>
  <c r="R197" i="1"/>
  <c r="P197" i="1"/>
  <c r="AN196" i="1"/>
  <c r="AI196" i="1"/>
  <c r="S196" i="1"/>
  <c r="R196" i="1"/>
  <c r="AN195" i="1"/>
  <c r="AI195" i="1"/>
  <c r="S195" i="1"/>
  <c r="R195" i="1"/>
  <c r="AN194" i="1"/>
  <c r="AI194" i="1"/>
  <c r="S194" i="1"/>
  <c r="R194" i="1"/>
  <c r="P194" i="1"/>
  <c r="AN193" i="1"/>
  <c r="AI193" i="1"/>
  <c r="S193" i="1"/>
  <c r="R193" i="1"/>
  <c r="AN192" i="1"/>
  <c r="AI192" i="1"/>
  <c r="S192" i="1"/>
  <c r="R192" i="1"/>
  <c r="AN191" i="1"/>
  <c r="AI191" i="1"/>
  <c r="S191" i="1"/>
  <c r="R191" i="1"/>
  <c r="P191" i="1"/>
  <c r="AN190" i="1"/>
  <c r="AI190" i="1"/>
  <c r="S190" i="1"/>
  <c r="R190" i="1"/>
  <c r="AN189" i="1"/>
  <c r="AI189" i="1"/>
  <c r="S189" i="1"/>
  <c r="R189" i="1"/>
  <c r="AN188" i="1"/>
  <c r="AI188" i="1"/>
  <c r="S188" i="1"/>
  <c r="R188" i="1"/>
  <c r="P188" i="1"/>
  <c r="AN187" i="1"/>
  <c r="AI187" i="1"/>
  <c r="S187" i="1"/>
  <c r="R187" i="1"/>
  <c r="AN186" i="1"/>
  <c r="AI186" i="1"/>
  <c r="S186" i="1"/>
  <c r="R186" i="1"/>
  <c r="AN185" i="1"/>
  <c r="AI185" i="1"/>
  <c r="S185" i="1"/>
  <c r="R185" i="1"/>
  <c r="P185" i="1"/>
  <c r="AN184" i="1"/>
  <c r="AI184" i="1"/>
  <c r="S184" i="1"/>
  <c r="R184" i="1"/>
  <c r="AN183" i="1"/>
  <c r="AI183" i="1"/>
  <c r="S183" i="1"/>
  <c r="R183" i="1"/>
  <c r="AN182" i="1"/>
  <c r="AI182" i="1"/>
  <c r="S182" i="1"/>
  <c r="R182" i="1"/>
  <c r="P182" i="1"/>
  <c r="AN181" i="1"/>
  <c r="AI181" i="1"/>
  <c r="S181" i="1"/>
  <c r="R181" i="1"/>
  <c r="AN180" i="1"/>
  <c r="AI180" i="1"/>
  <c r="S180" i="1"/>
  <c r="R180" i="1"/>
  <c r="AN179" i="1"/>
  <c r="AI179" i="1"/>
  <c r="S179" i="1"/>
  <c r="R179" i="1"/>
  <c r="P179" i="1"/>
  <c r="AN178" i="1"/>
  <c r="AI178" i="1"/>
  <c r="S178" i="1"/>
  <c r="R178" i="1"/>
  <c r="AN177" i="1"/>
  <c r="AI177" i="1"/>
  <c r="S177" i="1"/>
  <c r="R177" i="1"/>
  <c r="AN176" i="1"/>
  <c r="AI176" i="1"/>
  <c r="S176" i="1"/>
  <c r="R176" i="1"/>
  <c r="P176" i="1"/>
  <c r="AN175" i="1"/>
  <c r="AI175" i="1"/>
  <c r="S175" i="1"/>
  <c r="R175" i="1"/>
  <c r="AN174" i="1"/>
  <c r="AI174" i="1"/>
  <c r="S174" i="1"/>
  <c r="R174" i="1"/>
  <c r="AN173" i="1"/>
  <c r="AI173" i="1"/>
  <c r="S173" i="1"/>
  <c r="R173" i="1"/>
  <c r="P173" i="1"/>
  <c r="AN172" i="1"/>
  <c r="AI172" i="1"/>
  <c r="S172" i="1"/>
  <c r="R172" i="1"/>
  <c r="AN171" i="1"/>
  <c r="AI171" i="1"/>
  <c r="S171" i="1"/>
  <c r="R171" i="1"/>
  <c r="AN170" i="1"/>
  <c r="AI170" i="1"/>
  <c r="S170" i="1"/>
  <c r="R170" i="1"/>
  <c r="P170" i="1"/>
  <c r="AN169" i="1"/>
  <c r="AI169" i="1"/>
  <c r="S169" i="1"/>
  <c r="R169" i="1"/>
  <c r="AN168" i="1"/>
  <c r="AI168" i="1"/>
  <c r="S168" i="1"/>
  <c r="R168" i="1"/>
  <c r="AN167" i="1"/>
  <c r="AI167" i="1"/>
  <c r="S167" i="1"/>
  <c r="R167" i="1"/>
  <c r="P167" i="1"/>
  <c r="AN166" i="1"/>
  <c r="AI166" i="1"/>
  <c r="S166" i="1"/>
  <c r="R166" i="1"/>
  <c r="AN165" i="1"/>
  <c r="AI165" i="1"/>
  <c r="S165" i="1"/>
  <c r="R165" i="1"/>
  <c r="AN164" i="1"/>
  <c r="AI164" i="1"/>
  <c r="S164" i="1"/>
  <c r="R164" i="1"/>
  <c r="P164" i="1"/>
  <c r="AN163" i="1"/>
  <c r="AI163" i="1"/>
  <c r="S163" i="1"/>
  <c r="R163" i="1"/>
  <c r="AN162" i="1"/>
  <c r="AI162" i="1"/>
  <c r="S162" i="1"/>
  <c r="R162" i="1"/>
  <c r="AN161" i="1"/>
  <c r="AI161" i="1"/>
  <c r="S161" i="1"/>
  <c r="R161" i="1"/>
  <c r="P161" i="1"/>
  <c r="AN160" i="1"/>
  <c r="AI160" i="1"/>
  <c r="S160" i="1"/>
  <c r="R160" i="1"/>
  <c r="AN159" i="1"/>
  <c r="AI159" i="1"/>
  <c r="S159" i="1"/>
  <c r="R159" i="1"/>
  <c r="AN158" i="1"/>
  <c r="AI158" i="1"/>
  <c r="S158" i="1"/>
  <c r="R158" i="1"/>
  <c r="P158" i="1"/>
  <c r="AN157" i="1"/>
  <c r="AI157" i="1"/>
  <c r="S157" i="1"/>
  <c r="R157" i="1"/>
  <c r="AN156" i="1"/>
  <c r="AI156" i="1"/>
  <c r="S156" i="1"/>
  <c r="R156" i="1"/>
  <c r="AN155" i="1"/>
  <c r="AI155" i="1"/>
  <c r="S155" i="1"/>
  <c r="R155" i="1"/>
  <c r="P155" i="1"/>
  <c r="AN154" i="1"/>
  <c r="AI154" i="1"/>
  <c r="S154" i="1"/>
  <c r="R154" i="1"/>
  <c r="AN153" i="1"/>
  <c r="AI153" i="1"/>
  <c r="S153" i="1"/>
  <c r="R153" i="1"/>
  <c r="AN152" i="1"/>
  <c r="AI152" i="1"/>
  <c r="S152" i="1"/>
  <c r="R152" i="1"/>
  <c r="P152" i="1"/>
  <c r="AN151" i="1"/>
  <c r="AI151" i="1"/>
  <c r="S151" i="1"/>
  <c r="R151" i="1"/>
  <c r="AN150" i="1"/>
  <c r="AI150" i="1"/>
  <c r="S150" i="1"/>
  <c r="R150" i="1"/>
  <c r="AN149" i="1"/>
  <c r="AI149" i="1"/>
  <c r="S149" i="1"/>
  <c r="R149" i="1"/>
  <c r="P149" i="1"/>
  <c r="AN148" i="1"/>
  <c r="AI148" i="1"/>
  <c r="S148" i="1"/>
  <c r="R148" i="1"/>
  <c r="AN147" i="1"/>
  <c r="AI147" i="1"/>
  <c r="S147" i="1"/>
  <c r="R147" i="1"/>
  <c r="AN146" i="1"/>
  <c r="AI146" i="1"/>
  <c r="S146" i="1"/>
  <c r="R146" i="1"/>
  <c r="P146" i="1"/>
  <c r="AN145" i="1"/>
  <c r="AI145" i="1"/>
  <c r="S145" i="1"/>
  <c r="R145" i="1"/>
  <c r="AN144" i="1"/>
  <c r="AI144" i="1"/>
  <c r="S144" i="1"/>
  <c r="R144" i="1"/>
  <c r="AN143" i="1"/>
  <c r="AI143" i="1"/>
  <c r="S143" i="1"/>
  <c r="R143" i="1"/>
  <c r="P143" i="1"/>
  <c r="AN142" i="1"/>
  <c r="AI142" i="1"/>
  <c r="S142" i="1"/>
  <c r="R142" i="1"/>
  <c r="AN141" i="1"/>
  <c r="AI141" i="1"/>
  <c r="S141" i="1"/>
  <c r="R141" i="1"/>
  <c r="AN140" i="1"/>
  <c r="AI140" i="1"/>
  <c r="S140" i="1"/>
  <c r="R140" i="1"/>
  <c r="P140" i="1"/>
  <c r="AN139" i="1"/>
  <c r="AI139" i="1"/>
  <c r="S139" i="1"/>
  <c r="R139" i="1"/>
  <c r="AN138" i="1"/>
  <c r="AI138" i="1"/>
  <c r="S138" i="1"/>
  <c r="R138" i="1"/>
  <c r="AN137" i="1"/>
  <c r="AI137" i="1"/>
  <c r="S137" i="1"/>
  <c r="R137" i="1"/>
  <c r="P137" i="1"/>
  <c r="AN136" i="1"/>
  <c r="AI136" i="1"/>
  <c r="S136" i="1"/>
  <c r="R136" i="1"/>
  <c r="AN135" i="1"/>
  <c r="AI135" i="1"/>
  <c r="S135" i="1"/>
  <c r="R135" i="1"/>
  <c r="AN134" i="1"/>
  <c r="AI134" i="1"/>
  <c r="S134" i="1"/>
  <c r="R134" i="1"/>
  <c r="P134" i="1"/>
  <c r="AN133" i="1"/>
  <c r="AI133" i="1"/>
  <c r="S133" i="1"/>
  <c r="R133" i="1"/>
  <c r="AN132" i="1"/>
  <c r="AI132" i="1"/>
  <c r="S132" i="1"/>
  <c r="R132" i="1"/>
  <c r="AN131" i="1"/>
  <c r="AI131" i="1"/>
  <c r="S131" i="1"/>
  <c r="R131" i="1"/>
  <c r="P131" i="1"/>
  <c r="AN130" i="1"/>
  <c r="AI130" i="1"/>
  <c r="S130" i="1"/>
  <c r="R130" i="1"/>
  <c r="AN129" i="1"/>
  <c r="AI129" i="1"/>
  <c r="S129" i="1"/>
  <c r="R129" i="1"/>
  <c r="AN128" i="1"/>
  <c r="AI128" i="1"/>
  <c r="S128" i="1"/>
  <c r="R128" i="1"/>
  <c r="P128" i="1"/>
  <c r="AN127" i="1"/>
  <c r="AI127" i="1"/>
  <c r="S127" i="1"/>
  <c r="R127" i="1"/>
  <c r="AN126" i="1"/>
  <c r="AI126" i="1"/>
  <c r="S126" i="1"/>
  <c r="R126" i="1"/>
  <c r="AN125" i="1"/>
  <c r="AI125" i="1"/>
  <c r="S125" i="1"/>
  <c r="R125" i="1"/>
  <c r="P125" i="1"/>
  <c r="AN124" i="1"/>
  <c r="AI124" i="1"/>
  <c r="S124" i="1"/>
  <c r="R124" i="1"/>
  <c r="AN123" i="1"/>
  <c r="AI123" i="1"/>
  <c r="S123" i="1"/>
  <c r="R123" i="1"/>
  <c r="AN122" i="1"/>
  <c r="AI122" i="1"/>
  <c r="S122" i="1"/>
  <c r="R122" i="1"/>
  <c r="P122" i="1"/>
  <c r="AN121" i="1"/>
  <c r="AI121" i="1"/>
  <c r="S121" i="1"/>
  <c r="R121" i="1"/>
  <c r="AN120" i="1"/>
  <c r="AI120" i="1"/>
  <c r="S120" i="1"/>
  <c r="R120" i="1"/>
  <c r="AN119" i="1"/>
  <c r="AI119" i="1"/>
  <c r="S119" i="1"/>
  <c r="R119" i="1"/>
  <c r="P119" i="1"/>
  <c r="AN118" i="1"/>
  <c r="AI118" i="1"/>
  <c r="S118" i="1"/>
  <c r="R118" i="1"/>
  <c r="AN117" i="1"/>
  <c r="AI117" i="1"/>
  <c r="S117" i="1"/>
  <c r="R117" i="1"/>
  <c r="AN116" i="1"/>
  <c r="AI116" i="1"/>
  <c r="S116" i="1"/>
  <c r="R116" i="1"/>
  <c r="P116" i="1"/>
  <c r="AN115" i="1"/>
  <c r="AI115" i="1"/>
  <c r="R115" i="1"/>
  <c r="AN114" i="1"/>
  <c r="AI114" i="1"/>
  <c r="S114" i="1"/>
  <c r="R114" i="1"/>
  <c r="AN113" i="1"/>
  <c r="AI113" i="1"/>
  <c r="S113" i="1"/>
  <c r="R113" i="1"/>
  <c r="P113" i="1"/>
  <c r="AN112" i="1"/>
  <c r="AI112" i="1"/>
  <c r="S112" i="1"/>
  <c r="R112" i="1"/>
  <c r="AN111" i="1"/>
  <c r="AI111" i="1"/>
  <c r="S111" i="1"/>
  <c r="R111" i="1"/>
  <c r="AN110" i="1"/>
  <c r="AI110" i="1"/>
  <c r="S110" i="1"/>
  <c r="R110" i="1"/>
  <c r="P110" i="1"/>
  <c r="AN109" i="1"/>
  <c r="AI109" i="1"/>
  <c r="S109" i="1"/>
  <c r="R109" i="1"/>
  <c r="AN108" i="1"/>
  <c r="AI108" i="1"/>
  <c r="S108" i="1"/>
  <c r="R108" i="1"/>
  <c r="AN107" i="1"/>
  <c r="AI107" i="1"/>
  <c r="S107" i="1"/>
  <c r="R107" i="1"/>
  <c r="P107" i="1"/>
  <c r="AN106" i="1"/>
  <c r="AI106" i="1"/>
  <c r="S106" i="1"/>
  <c r="R106" i="1"/>
  <c r="AN105" i="1"/>
  <c r="AI105" i="1"/>
  <c r="S105" i="1"/>
  <c r="R105" i="1"/>
  <c r="AN104" i="1"/>
  <c r="AI104" i="1"/>
  <c r="S104" i="1"/>
  <c r="R104" i="1"/>
  <c r="P104" i="1"/>
  <c r="AN103" i="1"/>
  <c r="AI103" i="1"/>
  <c r="S103" i="1"/>
  <c r="R103" i="1"/>
  <c r="AN102" i="1"/>
  <c r="AI102" i="1"/>
  <c r="S102" i="1"/>
  <c r="R102" i="1"/>
  <c r="AN101" i="1"/>
  <c r="AI101" i="1"/>
  <c r="S101" i="1"/>
  <c r="R101" i="1"/>
  <c r="P101" i="1"/>
  <c r="AN100" i="1"/>
  <c r="AI100" i="1"/>
  <c r="S100" i="1"/>
  <c r="R100" i="1"/>
  <c r="AN99" i="1"/>
  <c r="AI99" i="1"/>
  <c r="S99" i="1"/>
  <c r="R99" i="1"/>
  <c r="AN98" i="1"/>
  <c r="AI98" i="1"/>
  <c r="S98" i="1"/>
  <c r="R98" i="1"/>
  <c r="P98" i="1"/>
  <c r="AN97" i="1"/>
  <c r="AI97" i="1"/>
  <c r="S97" i="1"/>
  <c r="R97" i="1"/>
  <c r="AN96" i="1"/>
  <c r="AI96" i="1"/>
  <c r="S96" i="1"/>
  <c r="R96" i="1"/>
  <c r="AN95" i="1"/>
  <c r="AI95" i="1"/>
  <c r="S95" i="1"/>
  <c r="R95" i="1"/>
  <c r="P95" i="1"/>
  <c r="AN94" i="1"/>
  <c r="AI94" i="1"/>
  <c r="S94" i="1"/>
  <c r="R94" i="1"/>
  <c r="AN93" i="1"/>
  <c r="AI93" i="1"/>
  <c r="S93" i="1"/>
  <c r="R93" i="1"/>
  <c r="AN92" i="1"/>
  <c r="AI92" i="1"/>
  <c r="S92" i="1"/>
  <c r="R92" i="1"/>
  <c r="P92" i="1"/>
  <c r="AN91" i="1"/>
  <c r="AI91" i="1"/>
  <c r="S91" i="1"/>
  <c r="R91" i="1"/>
  <c r="AN90" i="1"/>
  <c r="AI90" i="1"/>
  <c r="S90" i="1"/>
  <c r="R90" i="1"/>
  <c r="AN89" i="1"/>
  <c r="AI89" i="1"/>
  <c r="S89" i="1"/>
  <c r="R89" i="1"/>
  <c r="P89" i="1"/>
  <c r="AN88" i="1"/>
  <c r="AI88" i="1"/>
  <c r="S88" i="1"/>
  <c r="R88" i="1"/>
  <c r="AN87" i="1"/>
  <c r="AI87" i="1"/>
  <c r="S87" i="1"/>
  <c r="R87" i="1"/>
  <c r="AN86" i="1"/>
  <c r="AI86" i="1"/>
  <c r="S86" i="1"/>
  <c r="R86" i="1"/>
  <c r="P86" i="1"/>
  <c r="AN85" i="1"/>
  <c r="AI85" i="1"/>
  <c r="S85" i="1"/>
  <c r="R85" i="1"/>
  <c r="AN84" i="1"/>
  <c r="AI84" i="1"/>
  <c r="S84" i="1"/>
  <c r="R84" i="1"/>
  <c r="AN83" i="1"/>
  <c r="AI83" i="1"/>
  <c r="S83" i="1"/>
  <c r="R83" i="1"/>
  <c r="P83" i="1"/>
  <c r="AN82" i="1"/>
  <c r="AI82" i="1"/>
  <c r="S82" i="1"/>
  <c r="R82" i="1"/>
  <c r="AN81" i="1"/>
  <c r="AI81" i="1"/>
  <c r="S81" i="1"/>
  <c r="R81" i="1"/>
  <c r="AN80" i="1"/>
  <c r="AI80" i="1"/>
  <c r="S80" i="1"/>
  <c r="R80" i="1"/>
  <c r="P80" i="1"/>
  <c r="AN79" i="1"/>
  <c r="AI79" i="1"/>
  <c r="S79" i="1"/>
  <c r="R79" i="1"/>
  <c r="AN78" i="1"/>
  <c r="AI78" i="1"/>
  <c r="S78" i="1"/>
  <c r="R78" i="1"/>
  <c r="AN77" i="1"/>
  <c r="AI77" i="1"/>
  <c r="S77" i="1"/>
  <c r="R77" i="1"/>
  <c r="P77" i="1"/>
  <c r="AN76" i="1"/>
  <c r="AI76" i="1"/>
  <c r="S76" i="1"/>
  <c r="R76" i="1"/>
  <c r="AN75" i="1"/>
  <c r="AI75" i="1"/>
  <c r="S75" i="1"/>
  <c r="R75" i="1"/>
  <c r="AN74" i="1"/>
  <c r="AI74" i="1"/>
  <c r="S74" i="1"/>
  <c r="R74" i="1"/>
  <c r="P74" i="1"/>
  <c r="AN73" i="1"/>
  <c r="AI73" i="1"/>
  <c r="S73" i="1"/>
  <c r="R73" i="1"/>
  <c r="AN72" i="1"/>
  <c r="AI72" i="1"/>
  <c r="S72" i="1"/>
  <c r="R72" i="1"/>
  <c r="AN71" i="1"/>
  <c r="AI71" i="1"/>
  <c r="S71" i="1"/>
  <c r="R71" i="1"/>
  <c r="P71" i="1"/>
  <c r="AN70" i="1"/>
  <c r="AI70" i="1"/>
  <c r="S70" i="1"/>
  <c r="R70" i="1"/>
  <c r="AN69" i="1"/>
  <c r="AI69" i="1"/>
  <c r="S69" i="1"/>
  <c r="R69" i="1"/>
  <c r="AN68" i="1"/>
  <c r="AI68" i="1"/>
  <c r="S68" i="1"/>
  <c r="R68" i="1"/>
  <c r="P68" i="1"/>
  <c r="AN67" i="1"/>
  <c r="AI67" i="1"/>
  <c r="S67" i="1"/>
  <c r="R67" i="1"/>
  <c r="AN66" i="1"/>
  <c r="AI66" i="1"/>
  <c r="S66" i="1"/>
  <c r="R66" i="1"/>
  <c r="AN65" i="1"/>
  <c r="AI65" i="1"/>
  <c r="S65" i="1"/>
  <c r="R65" i="1"/>
  <c r="P65" i="1"/>
  <c r="AN64" i="1"/>
  <c r="AI64" i="1"/>
  <c r="S64" i="1"/>
  <c r="R64" i="1"/>
  <c r="AN63" i="1"/>
  <c r="AI63" i="1"/>
  <c r="S63" i="1"/>
  <c r="R63" i="1"/>
  <c r="AN62" i="1"/>
  <c r="AI62" i="1"/>
  <c r="S62" i="1"/>
  <c r="R62" i="1"/>
  <c r="P62" i="1"/>
  <c r="AN61" i="1"/>
  <c r="AI61" i="1"/>
  <c r="S61" i="1"/>
  <c r="R61" i="1"/>
  <c r="AN60" i="1"/>
  <c r="AI60" i="1"/>
  <c r="S60" i="1"/>
  <c r="R60" i="1"/>
  <c r="AN59" i="1"/>
  <c r="AI59" i="1"/>
  <c r="S59" i="1"/>
  <c r="R59" i="1"/>
  <c r="P59" i="1"/>
  <c r="AN58" i="1"/>
  <c r="AI58" i="1"/>
  <c r="S58" i="1"/>
  <c r="R58" i="1"/>
  <c r="AN57" i="1"/>
  <c r="AI57" i="1"/>
  <c r="S57" i="1"/>
  <c r="R57" i="1"/>
  <c r="AN56" i="1"/>
  <c r="AI56" i="1"/>
  <c r="S56" i="1"/>
  <c r="R56" i="1"/>
  <c r="P56" i="1"/>
  <c r="AN55" i="1"/>
  <c r="AI55" i="1"/>
  <c r="S55" i="1"/>
  <c r="R55" i="1"/>
  <c r="AN54" i="1"/>
  <c r="AI54" i="1"/>
  <c r="S54" i="1"/>
  <c r="R54" i="1"/>
  <c r="AN53" i="1"/>
  <c r="AI53" i="1"/>
  <c r="S53" i="1"/>
  <c r="R53" i="1"/>
  <c r="P53" i="1"/>
  <c r="AN52" i="1"/>
  <c r="AI52" i="1"/>
  <c r="S52" i="1"/>
  <c r="R52" i="1"/>
  <c r="AN51" i="1"/>
  <c r="AI51" i="1"/>
  <c r="S51" i="1"/>
  <c r="R51" i="1"/>
  <c r="AN50" i="1"/>
  <c r="AI50" i="1"/>
  <c r="S50" i="1"/>
  <c r="R50" i="1"/>
  <c r="P50" i="1"/>
  <c r="AN49" i="1"/>
  <c r="AI49" i="1"/>
  <c r="S49" i="1"/>
  <c r="R49" i="1"/>
  <c r="AN48" i="1"/>
  <c r="AI48" i="1"/>
  <c r="S48" i="1"/>
  <c r="R48" i="1"/>
  <c r="AN47" i="1"/>
  <c r="AI47" i="1"/>
  <c r="S47" i="1"/>
  <c r="R47" i="1"/>
  <c r="P47" i="1"/>
  <c r="AN46" i="1"/>
  <c r="AI46" i="1"/>
  <c r="S46" i="1"/>
  <c r="R46" i="1"/>
  <c r="AN45" i="1"/>
  <c r="AI45" i="1"/>
  <c r="S45" i="1"/>
  <c r="R45" i="1"/>
  <c r="AN44" i="1"/>
  <c r="AI44" i="1"/>
  <c r="S44" i="1"/>
  <c r="R44" i="1"/>
  <c r="P44" i="1"/>
  <c r="AN43" i="1"/>
  <c r="AI43" i="1"/>
  <c r="S43" i="1"/>
  <c r="R43" i="1"/>
  <c r="AN42" i="1"/>
  <c r="AI42" i="1"/>
  <c r="S42" i="1"/>
  <c r="R42" i="1"/>
  <c r="AN41" i="1"/>
  <c r="AI41" i="1"/>
  <c r="S41" i="1"/>
  <c r="R41" i="1"/>
  <c r="P41" i="1"/>
  <c r="S35" i="1" s="1"/>
  <c r="AN40" i="1"/>
  <c r="AI40" i="1"/>
  <c r="S40" i="1"/>
  <c r="R40" i="1"/>
  <c r="AN39" i="1"/>
  <c r="AI39" i="1"/>
  <c r="S39" i="1"/>
  <c r="R39" i="1"/>
  <c r="AN38" i="1"/>
  <c r="AI38" i="1"/>
  <c r="S38" i="1"/>
  <c r="R38" i="1"/>
  <c r="P38" i="1"/>
  <c r="AN37" i="1"/>
  <c r="AI37" i="1"/>
  <c r="S37" i="1"/>
  <c r="R37" i="1"/>
  <c r="AN36" i="1"/>
  <c r="AI36" i="1"/>
  <c r="S36" i="1"/>
  <c r="R36" i="1"/>
  <c r="AN35" i="1"/>
  <c r="AI35" i="1"/>
  <c r="R35" i="1"/>
  <c r="P35" i="1"/>
  <c r="S33" i="1" s="1"/>
  <c r="AN34" i="1"/>
  <c r="AI34" i="1"/>
  <c r="S34" i="1"/>
  <c r="R34" i="1"/>
  <c r="AN33" i="1"/>
  <c r="AI33" i="1"/>
  <c r="W33" i="1"/>
  <c r="X33" i="1" s="1"/>
  <c r="R33" i="1"/>
  <c r="AN32" i="1"/>
  <c r="X32" i="1"/>
  <c r="X24" i="1"/>
  <c r="T16" i="1"/>
  <c r="AC15" i="1"/>
  <c r="AC16" i="1" s="1"/>
  <c r="AD16" i="1" s="1"/>
  <c r="T14" i="1"/>
  <c r="Q10" i="1"/>
  <c r="AC13" i="1" s="1"/>
  <c r="T9" i="1"/>
  <c r="Q9" i="1"/>
  <c r="AC11" i="1" s="1"/>
  <c r="T8" i="1"/>
  <c r="T12" i="1" s="1"/>
  <c r="Q8" i="1"/>
  <c r="AC9" i="1" s="1"/>
  <c r="AC7" i="1"/>
  <c r="AD7" i="1" s="1"/>
  <c r="R7" i="1"/>
  <c r="AB8" i="1" s="1"/>
  <c r="AB9" i="1" s="1"/>
  <c r="Q7" i="1"/>
  <c r="AC6" i="1"/>
  <c r="AD6" i="1" s="1"/>
  <c r="AB6" i="1"/>
  <c r="AB7" i="1" s="1"/>
  <c r="R6" i="1"/>
  <c r="AD5" i="1"/>
  <c r="AC5" i="1"/>
  <c r="AB5" i="1"/>
  <c r="R5" i="1"/>
  <c r="AC4" i="1"/>
  <c r="AD4" i="1" s="1"/>
  <c r="AB4" i="1"/>
  <c r="AC3" i="1"/>
  <c r="AD3" i="1" s="1"/>
  <c r="AC10" i="1" l="1"/>
  <c r="AD10" i="1" s="1"/>
  <c r="AD9" i="1"/>
  <c r="AC14" i="1"/>
  <c r="AD14" i="1" s="1"/>
  <c r="AD13" i="1"/>
  <c r="AD11" i="1"/>
  <c r="AC12" i="1"/>
  <c r="AD12" i="1" s="1"/>
  <c r="AC8" i="1"/>
  <c r="AD8" i="1" s="1"/>
  <c r="Q12" i="1"/>
  <c r="W34" i="1"/>
  <c r="P5" i="1"/>
  <c r="R8" i="1"/>
  <c r="AD15" i="1"/>
  <c r="X34" i="2"/>
  <c r="W35" i="2"/>
  <c r="AC6" i="2"/>
  <c r="AD6" i="2" s="1"/>
  <c r="R8" i="2"/>
  <c r="AC8" i="2"/>
  <c r="AD8" i="2" s="1"/>
  <c r="AC6" i="3"/>
  <c r="AD6" i="3" s="1"/>
  <c r="AD5" i="3"/>
  <c r="AC4" i="2"/>
  <c r="AD4" i="2" s="1"/>
  <c r="X33" i="2"/>
  <c r="R6" i="3"/>
  <c r="AB4" i="3"/>
  <c r="AB5" i="3" s="1"/>
  <c r="W35" i="3"/>
  <c r="X20" i="3"/>
  <c r="T16" i="3" s="1"/>
  <c r="T20" i="3" s="1"/>
  <c r="X34" i="3"/>
  <c r="AC10" i="3"/>
  <c r="AD10" i="3" s="1"/>
  <c r="AD9" i="3"/>
  <c r="AC16" i="3"/>
  <c r="AD16" i="3" s="1"/>
  <c r="X33" i="3"/>
  <c r="Y29" i="1" l="1"/>
  <c r="Y26" i="1"/>
  <c r="Y10" i="1"/>
  <c r="Y6" i="1"/>
  <c r="Y9" i="1"/>
  <c r="Y5" i="1"/>
  <c r="Y25" i="1"/>
  <c r="Y8" i="1"/>
  <c r="Y7" i="1"/>
  <c r="Y28" i="1"/>
  <c r="Y17" i="1"/>
  <c r="Y16" i="1"/>
  <c r="Y27" i="1"/>
  <c r="Y11" i="1"/>
  <c r="AB10" i="2"/>
  <c r="AB11" i="2" s="1"/>
  <c r="R9" i="2"/>
  <c r="AB12" i="2" s="1"/>
  <c r="X34" i="1"/>
  <c r="W35" i="1"/>
  <c r="W36" i="3"/>
  <c r="X35" i="3"/>
  <c r="R7" i="3"/>
  <c r="AB6" i="3"/>
  <c r="AB7" i="3" s="1"/>
  <c r="W36" i="2"/>
  <c r="X35" i="2"/>
  <c r="R9" i="1"/>
  <c r="AB10" i="1"/>
  <c r="AB11" i="1" s="1"/>
  <c r="X36" i="2" l="1"/>
  <c r="W37" i="2"/>
  <c r="W37" i="3"/>
  <c r="X36" i="3"/>
  <c r="W36" i="1"/>
  <c r="X35" i="1"/>
  <c r="AB12" i="1"/>
  <c r="AB13" i="1" s="1"/>
  <c r="R10" i="1"/>
  <c r="AB8" i="3"/>
  <c r="AB9" i="3" s="1"/>
  <c r="R8" i="3"/>
  <c r="R9" i="3" l="1"/>
  <c r="AB10" i="3"/>
  <c r="AB11" i="3" s="1"/>
  <c r="W38" i="3"/>
  <c r="X37" i="3"/>
  <c r="W38" i="2"/>
  <c r="X37" i="2"/>
  <c r="R11" i="1"/>
  <c r="AB16" i="1" s="1"/>
  <c r="AB14" i="1"/>
  <c r="AB15" i="1" s="1"/>
  <c r="W37" i="1"/>
  <c r="X36" i="1"/>
  <c r="R12" i="1"/>
  <c r="W39" i="3" l="1"/>
  <c r="X38" i="3"/>
  <c r="X37" i="1"/>
  <c r="W38" i="1"/>
  <c r="X38" i="2"/>
  <c r="W39" i="2"/>
  <c r="AK629" i="1"/>
  <c r="AK628" i="1"/>
  <c r="AK623" i="1"/>
  <c r="AK622" i="1"/>
  <c r="AK617" i="1"/>
  <c r="AK616" i="1"/>
  <c r="AK611" i="1"/>
  <c r="AK610" i="1"/>
  <c r="AK605" i="1"/>
  <c r="AK604" i="1"/>
  <c r="AK599" i="1"/>
  <c r="AK598" i="1"/>
  <c r="AK593" i="1"/>
  <c r="AK592" i="1"/>
  <c r="AK587" i="1"/>
  <c r="AK586" i="1"/>
  <c r="AK581" i="1"/>
  <c r="AK580" i="1"/>
  <c r="AK575" i="1"/>
  <c r="AK574" i="1"/>
  <c r="AK569" i="1"/>
  <c r="AK568" i="1"/>
  <c r="AK563" i="1"/>
  <c r="AK562" i="1"/>
  <c r="AK557" i="1"/>
  <c r="AK556" i="1"/>
  <c r="AK551" i="1"/>
  <c r="AK630" i="1"/>
  <c r="AK624" i="1"/>
  <c r="AK618" i="1"/>
  <c r="AK612" i="1"/>
  <c r="AK606" i="1"/>
  <c r="AK600" i="1"/>
  <c r="AK631" i="1"/>
  <c r="AK626" i="1"/>
  <c r="AK625" i="1"/>
  <c r="AK620" i="1"/>
  <c r="AK619" i="1"/>
  <c r="AK614" i="1"/>
  <c r="AK613" i="1"/>
  <c r="AK608" i="1"/>
  <c r="AK607" i="1"/>
  <c r="AK602" i="1"/>
  <c r="AK601" i="1"/>
  <c r="AK596" i="1"/>
  <c r="AK595" i="1"/>
  <c r="AK590" i="1"/>
  <c r="AK589" i="1"/>
  <c r="AK584" i="1"/>
  <c r="AK583" i="1"/>
  <c r="AK578" i="1"/>
  <c r="AK577" i="1"/>
  <c r="AK572" i="1"/>
  <c r="AK571" i="1"/>
  <c r="AK566" i="1"/>
  <c r="AK565" i="1"/>
  <c r="AK560" i="1"/>
  <c r="AK559" i="1"/>
  <c r="AK554" i="1"/>
  <c r="AK553" i="1"/>
  <c r="AK548" i="1"/>
  <c r="AK547" i="1"/>
  <c r="AK544" i="1"/>
  <c r="AK541" i="1"/>
  <c r="AK632" i="1"/>
  <c r="AK627" i="1"/>
  <c r="AK621" i="1"/>
  <c r="AK615" i="1"/>
  <c r="AK609" i="1"/>
  <c r="AK603" i="1"/>
  <c r="AK597" i="1"/>
  <c r="AK591" i="1"/>
  <c r="AK585" i="1"/>
  <c r="AK579" i="1"/>
  <c r="AK573" i="1"/>
  <c r="AK567" i="1"/>
  <c r="AK594" i="1"/>
  <c r="AK570" i="1"/>
  <c r="AK549" i="1"/>
  <c r="AK546" i="1"/>
  <c r="AK540" i="1"/>
  <c r="AK537" i="1"/>
  <c r="AK534" i="1"/>
  <c r="AK531" i="1"/>
  <c r="AK528" i="1"/>
  <c r="AK525" i="1"/>
  <c r="AK522" i="1"/>
  <c r="AK519" i="1"/>
  <c r="AK516" i="1"/>
  <c r="AK513" i="1"/>
  <c r="AK510" i="1"/>
  <c r="AK507" i="1"/>
  <c r="AK504" i="1"/>
  <c r="AK501" i="1"/>
  <c r="AK498" i="1"/>
  <c r="AK495" i="1"/>
  <c r="AK492" i="1"/>
  <c r="AK489" i="1"/>
  <c r="AK486" i="1"/>
  <c r="AK483" i="1"/>
  <c r="AK480" i="1"/>
  <c r="AK477" i="1"/>
  <c r="AK474" i="1"/>
  <c r="AK471" i="1"/>
  <c r="AK468" i="1"/>
  <c r="AK465" i="1"/>
  <c r="AK462" i="1"/>
  <c r="AK459" i="1"/>
  <c r="AK456" i="1"/>
  <c r="AK453" i="1"/>
  <c r="AK450" i="1"/>
  <c r="AK447" i="1"/>
  <c r="AK444" i="1"/>
  <c r="AK441" i="1"/>
  <c r="AK438" i="1"/>
  <c r="AK435" i="1"/>
  <c r="AK432" i="1"/>
  <c r="AK429" i="1"/>
  <c r="AK426" i="1"/>
  <c r="AK423" i="1"/>
  <c r="AK420" i="1"/>
  <c r="AK417" i="1"/>
  <c r="AK414" i="1"/>
  <c r="AK411" i="1"/>
  <c r="AK408" i="1"/>
  <c r="AK405" i="1"/>
  <c r="AK402" i="1"/>
  <c r="AK399" i="1"/>
  <c r="AK396" i="1"/>
  <c r="AK393" i="1"/>
  <c r="AK390" i="1"/>
  <c r="AK387" i="1"/>
  <c r="AK384" i="1"/>
  <c r="AK381" i="1"/>
  <c r="AK378" i="1"/>
  <c r="AK375" i="1"/>
  <c r="AK372" i="1"/>
  <c r="AK369" i="1"/>
  <c r="AK366" i="1"/>
  <c r="AK363" i="1"/>
  <c r="AK360" i="1"/>
  <c r="AK357" i="1"/>
  <c r="AK354" i="1"/>
  <c r="AK351" i="1"/>
  <c r="AK348" i="1"/>
  <c r="AK345" i="1"/>
  <c r="AK342" i="1"/>
  <c r="AK339" i="1"/>
  <c r="AK336" i="1"/>
  <c r="AK333" i="1"/>
  <c r="AK330" i="1"/>
  <c r="AK327" i="1"/>
  <c r="AK324" i="1"/>
  <c r="AK321" i="1"/>
  <c r="AK318" i="1"/>
  <c r="AK315" i="1"/>
  <c r="AK312" i="1"/>
  <c r="AK309" i="1"/>
  <c r="AK306" i="1"/>
  <c r="AK303" i="1"/>
  <c r="AK300" i="1"/>
  <c r="AK297" i="1"/>
  <c r="AK294" i="1"/>
  <c r="AK291" i="1"/>
  <c r="AK288" i="1"/>
  <c r="AK285" i="1"/>
  <c r="AK282" i="1"/>
  <c r="AK279" i="1"/>
  <c r="AK576" i="1"/>
  <c r="AK550" i="1"/>
  <c r="AK543" i="1"/>
  <c r="AK539" i="1"/>
  <c r="AK536" i="1"/>
  <c r="AK533" i="1"/>
  <c r="AK530" i="1"/>
  <c r="AK527" i="1"/>
  <c r="AK524" i="1"/>
  <c r="AK521" i="1"/>
  <c r="AK518" i="1"/>
  <c r="AK515" i="1"/>
  <c r="AK512" i="1"/>
  <c r="AK509" i="1"/>
  <c r="AK506" i="1"/>
  <c r="AK503" i="1"/>
  <c r="AK500" i="1"/>
  <c r="AK497" i="1"/>
  <c r="AK494" i="1"/>
  <c r="AK491" i="1"/>
  <c r="AK488" i="1"/>
  <c r="AK485" i="1"/>
  <c r="AK482" i="1"/>
  <c r="AK479" i="1"/>
  <c r="AK476" i="1"/>
  <c r="AK473" i="1"/>
  <c r="AK470" i="1"/>
  <c r="AK467" i="1"/>
  <c r="AK464" i="1"/>
  <c r="AK461" i="1"/>
  <c r="AK458" i="1"/>
  <c r="AK455" i="1"/>
  <c r="AK452" i="1"/>
  <c r="AK449" i="1"/>
  <c r="AK446" i="1"/>
  <c r="AK443" i="1"/>
  <c r="AK440" i="1"/>
  <c r="AK437" i="1"/>
  <c r="AK434" i="1"/>
  <c r="AK431" i="1"/>
  <c r="AK428" i="1"/>
  <c r="AK425" i="1"/>
  <c r="AK422" i="1"/>
  <c r="AK419" i="1"/>
  <c r="AK416" i="1"/>
  <c r="AK413" i="1"/>
  <c r="AK410" i="1"/>
  <c r="AK407" i="1"/>
  <c r="AK404" i="1"/>
  <c r="AK401" i="1"/>
  <c r="AK398" i="1"/>
  <c r="AK395" i="1"/>
  <c r="AK392" i="1"/>
  <c r="AK389" i="1"/>
  <c r="AK386" i="1"/>
  <c r="AK383" i="1"/>
  <c r="AK380" i="1"/>
  <c r="AK377" i="1"/>
  <c r="AK374" i="1"/>
  <c r="AK371" i="1"/>
  <c r="AK368" i="1"/>
  <c r="AK365" i="1"/>
  <c r="AK362" i="1"/>
  <c r="AK359" i="1"/>
  <c r="AK356" i="1"/>
  <c r="AK353" i="1"/>
  <c r="AK350" i="1"/>
  <c r="AK347" i="1"/>
  <c r="AK344" i="1"/>
  <c r="AK341" i="1"/>
  <c r="AK338" i="1"/>
  <c r="AK335" i="1"/>
  <c r="AK332" i="1"/>
  <c r="AK329" i="1"/>
  <c r="AK326" i="1"/>
  <c r="AK323" i="1"/>
  <c r="AK320" i="1"/>
  <c r="AK582" i="1"/>
  <c r="AK542" i="1"/>
  <c r="AK588" i="1"/>
  <c r="AK564" i="1"/>
  <c r="AK561" i="1"/>
  <c r="AK558" i="1"/>
  <c r="AK555" i="1"/>
  <c r="AK552" i="1"/>
  <c r="AK545" i="1"/>
  <c r="AK538" i="1"/>
  <c r="AK535" i="1"/>
  <c r="AK532" i="1"/>
  <c r="AK529" i="1"/>
  <c r="AK526" i="1"/>
  <c r="AK523" i="1"/>
  <c r="AK520" i="1"/>
  <c r="AK517" i="1"/>
  <c r="AK514" i="1"/>
  <c r="AK511" i="1"/>
  <c r="AK508" i="1"/>
  <c r="AK505" i="1"/>
  <c r="AK502" i="1"/>
  <c r="AK499" i="1"/>
  <c r="AK496" i="1"/>
  <c r="AK493" i="1"/>
  <c r="AK490" i="1"/>
  <c r="AK487" i="1"/>
  <c r="AK484" i="1"/>
  <c r="AK481" i="1"/>
  <c r="AK478" i="1"/>
  <c r="AK475" i="1"/>
  <c r="AK472" i="1"/>
  <c r="AK469" i="1"/>
  <c r="AK466" i="1"/>
  <c r="AK463" i="1"/>
  <c r="AK460" i="1"/>
  <c r="AK457" i="1"/>
  <c r="AK454" i="1"/>
  <c r="AK451" i="1"/>
  <c r="AK448" i="1"/>
  <c r="AK445" i="1"/>
  <c r="AK442" i="1"/>
  <c r="AK439" i="1"/>
  <c r="AK436" i="1"/>
  <c r="AK433" i="1"/>
  <c r="AK430" i="1"/>
  <c r="AK427" i="1"/>
  <c r="AK424" i="1"/>
  <c r="AK421" i="1"/>
  <c r="AK418" i="1"/>
  <c r="AK415" i="1"/>
  <c r="AK412" i="1"/>
  <c r="AK409" i="1"/>
  <c r="AK406" i="1"/>
  <c r="AK403" i="1"/>
  <c r="AK400" i="1"/>
  <c r="AK397" i="1"/>
  <c r="AK394" i="1"/>
  <c r="AK391" i="1"/>
  <c r="AK388" i="1"/>
  <c r="AK385" i="1"/>
  <c r="AK382" i="1"/>
  <c r="AK379" i="1"/>
  <c r="AK376" i="1"/>
  <c r="AK373" i="1"/>
  <c r="AK370" i="1"/>
  <c r="AK367" i="1"/>
  <c r="AK364" i="1"/>
  <c r="AK361" i="1"/>
  <c r="AK358" i="1"/>
  <c r="AK355" i="1"/>
  <c r="AK352" i="1"/>
  <c r="AK349" i="1"/>
  <c r="AK346" i="1"/>
  <c r="AK343" i="1"/>
  <c r="AK340" i="1"/>
  <c r="AK337" i="1"/>
  <c r="AK334" i="1"/>
  <c r="AK331" i="1"/>
  <c r="AK328" i="1"/>
  <c r="AK325" i="1"/>
  <c r="AK322" i="1"/>
  <c r="AK319" i="1"/>
  <c r="AK316" i="1"/>
  <c r="AK313" i="1"/>
  <c r="AK310" i="1"/>
  <c r="AK314" i="1"/>
  <c r="AK308" i="1"/>
  <c r="AK301" i="1"/>
  <c r="AK296" i="1"/>
  <c r="AK289" i="1"/>
  <c r="AK284" i="1"/>
  <c r="AK277" i="1"/>
  <c r="AK274" i="1"/>
  <c r="AK271" i="1"/>
  <c r="AK268" i="1"/>
  <c r="AK265" i="1"/>
  <c r="AK262" i="1"/>
  <c r="AK259" i="1"/>
  <c r="AK256" i="1"/>
  <c r="AK253" i="1"/>
  <c r="AK250" i="1"/>
  <c r="AK247" i="1"/>
  <c r="AK244" i="1"/>
  <c r="AK241" i="1"/>
  <c r="AK238" i="1"/>
  <c r="AK235" i="1"/>
  <c r="AK232" i="1"/>
  <c r="AK229" i="1"/>
  <c r="AK226" i="1"/>
  <c r="AK223" i="1"/>
  <c r="AK220" i="1"/>
  <c r="AK217" i="1"/>
  <c r="AK214" i="1"/>
  <c r="AK211" i="1"/>
  <c r="AK208" i="1"/>
  <c r="AK205" i="1"/>
  <c r="AK202" i="1"/>
  <c r="AK199" i="1"/>
  <c r="AK196" i="1"/>
  <c r="AK193" i="1"/>
  <c r="AK190" i="1"/>
  <c r="AK187" i="1"/>
  <c r="AK184" i="1"/>
  <c r="AK181" i="1"/>
  <c r="AK178" i="1"/>
  <c r="AK175" i="1"/>
  <c r="AK172" i="1"/>
  <c r="AK169" i="1"/>
  <c r="AK166" i="1"/>
  <c r="AK163" i="1"/>
  <c r="AK160" i="1"/>
  <c r="AK157" i="1"/>
  <c r="AK154" i="1"/>
  <c r="AK151" i="1"/>
  <c r="AK148" i="1"/>
  <c r="AK145" i="1"/>
  <c r="AK142" i="1"/>
  <c r="AK139" i="1"/>
  <c r="AK136" i="1"/>
  <c r="AK133" i="1"/>
  <c r="AK131" i="1"/>
  <c r="AK130" i="1"/>
  <c r="AK125" i="1"/>
  <c r="AK124" i="1"/>
  <c r="AK119" i="1"/>
  <c r="AK118" i="1"/>
  <c r="AK113" i="1"/>
  <c r="AK112" i="1"/>
  <c r="AK107" i="1"/>
  <c r="AK106" i="1"/>
  <c r="AK101" i="1"/>
  <c r="AK100" i="1"/>
  <c r="AK95" i="1"/>
  <c r="AK94" i="1"/>
  <c r="AK89" i="1"/>
  <c r="AK88" i="1"/>
  <c r="AK304" i="1"/>
  <c r="AK299" i="1"/>
  <c r="AK292" i="1"/>
  <c r="AK287" i="1"/>
  <c r="AK280" i="1"/>
  <c r="AK276" i="1"/>
  <c r="AK273" i="1"/>
  <c r="AK270" i="1"/>
  <c r="AK267" i="1"/>
  <c r="AK264" i="1"/>
  <c r="AK261" i="1"/>
  <c r="AK258" i="1"/>
  <c r="AK255" i="1"/>
  <c r="AK252" i="1"/>
  <c r="AK249" i="1"/>
  <c r="AK246" i="1"/>
  <c r="AK243" i="1"/>
  <c r="AK240" i="1"/>
  <c r="AK237" i="1"/>
  <c r="AK234" i="1"/>
  <c r="AK231" i="1"/>
  <c r="AK228" i="1"/>
  <c r="AK225" i="1"/>
  <c r="AK222" i="1"/>
  <c r="AK219" i="1"/>
  <c r="AK216" i="1"/>
  <c r="AK213" i="1"/>
  <c r="AK210" i="1"/>
  <c r="AK207" i="1"/>
  <c r="AK204" i="1"/>
  <c r="AK201" i="1"/>
  <c r="AK198" i="1"/>
  <c r="AK195" i="1"/>
  <c r="AK192" i="1"/>
  <c r="AK189" i="1"/>
  <c r="AK186" i="1"/>
  <c r="AK183" i="1"/>
  <c r="AK180" i="1"/>
  <c r="AK177" i="1"/>
  <c r="AK174" i="1"/>
  <c r="AK171" i="1"/>
  <c r="AK168" i="1"/>
  <c r="AK165" i="1"/>
  <c r="AK162" i="1"/>
  <c r="AK159" i="1"/>
  <c r="AK156" i="1"/>
  <c r="AK153" i="1"/>
  <c r="AK150" i="1"/>
  <c r="AK147" i="1"/>
  <c r="AK144" i="1"/>
  <c r="AK141" i="1"/>
  <c r="AK138" i="1"/>
  <c r="AK135" i="1"/>
  <c r="AK132" i="1"/>
  <c r="AK126" i="1"/>
  <c r="AK120" i="1"/>
  <c r="AK114" i="1"/>
  <c r="AK108" i="1"/>
  <c r="AK102" i="1"/>
  <c r="AK96" i="1"/>
  <c r="AK90" i="1"/>
  <c r="AK317" i="1"/>
  <c r="AK311" i="1"/>
  <c r="AK307" i="1"/>
  <c r="AK302" i="1"/>
  <c r="AK295" i="1"/>
  <c r="AK290" i="1"/>
  <c r="AK283" i="1"/>
  <c r="AK278" i="1"/>
  <c r="AK275" i="1"/>
  <c r="AK272" i="1"/>
  <c r="AK269" i="1"/>
  <c r="AK266" i="1"/>
  <c r="AK263" i="1"/>
  <c r="AK260" i="1"/>
  <c r="AK257" i="1"/>
  <c r="AK254" i="1"/>
  <c r="AK251" i="1"/>
  <c r="AK248" i="1"/>
  <c r="AK245" i="1"/>
  <c r="AK242" i="1"/>
  <c r="AK239" i="1"/>
  <c r="AK236" i="1"/>
  <c r="AK233" i="1"/>
  <c r="AK230" i="1"/>
  <c r="AK227" i="1"/>
  <c r="AK224" i="1"/>
  <c r="AK221" i="1"/>
  <c r="AK218" i="1"/>
  <c r="AK215" i="1"/>
  <c r="AK212" i="1"/>
  <c r="AK209" i="1"/>
  <c r="AK206" i="1"/>
  <c r="AK203" i="1"/>
  <c r="AK200" i="1"/>
  <c r="AK197" i="1"/>
  <c r="AK194" i="1"/>
  <c r="AK191" i="1"/>
  <c r="AK188" i="1"/>
  <c r="AK185" i="1"/>
  <c r="AK182" i="1"/>
  <c r="AK179" i="1"/>
  <c r="AK176" i="1"/>
  <c r="AK173" i="1"/>
  <c r="AK170" i="1"/>
  <c r="AK167" i="1"/>
  <c r="AK164" i="1"/>
  <c r="AK161" i="1"/>
  <c r="AK158" i="1"/>
  <c r="AK155" i="1"/>
  <c r="AK152" i="1"/>
  <c r="AK149" i="1"/>
  <c r="AK146" i="1"/>
  <c r="AK143" i="1"/>
  <c r="AK140" i="1"/>
  <c r="AK137" i="1"/>
  <c r="AK134" i="1"/>
  <c r="AK128" i="1"/>
  <c r="AK127" i="1"/>
  <c r="AK122" i="1"/>
  <c r="AK121" i="1"/>
  <c r="AK116" i="1"/>
  <c r="AK115" i="1"/>
  <c r="AK110" i="1"/>
  <c r="AK109" i="1"/>
  <c r="AK104" i="1"/>
  <c r="AK103" i="1"/>
  <c r="AK98" i="1"/>
  <c r="AK97" i="1"/>
  <c r="AK92" i="1"/>
  <c r="AK91" i="1"/>
  <c r="AK305" i="1"/>
  <c r="AK298" i="1"/>
  <c r="AK293" i="1"/>
  <c r="AK123" i="1"/>
  <c r="AK83" i="1"/>
  <c r="AK82" i="1"/>
  <c r="AK77" i="1"/>
  <c r="AK76" i="1"/>
  <c r="AK71" i="1"/>
  <c r="AK70" i="1"/>
  <c r="AK65" i="1"/>
  <c r="AK64" i="1"/>
  <c r="AK59" i="1"/>
  <c r="AK58" i="1"/>
  <c r="AK53" i="1"/>
  <c r="AK52" i="1"/>
  <c r="AK47" i="1"/>
  <c r="AK46" i="1"/>
  <c r="AK41" i="1"/>
  <c r="AK40" i="1"/>
  <c r="AK35" i="1"/>
  <c r="AK34" i="1"/>
  <c r="AK286" i="1"/>
  <c r="AK105" i="1"/>
  <c r="AK93" i="1"/>
  <c r="AK87" i="1"/>
  <c r="AK85" i="1"/>
  <c r="AK78" i="1"/>
  <c r="AK72" i="1"/>
  <c r="AK66" i="1"/>
  <c r="AK60" i="1"/>
  <c r="AK54" i="1"/>
  <c r="AK48" i="1"/>
  <c r="AK42" i="1"/>
  <c r="AK36" i="1"/>
  <c r="AK129" i="1"/>
  <c r="AK117" i="1"/>
  <c r="AK84" i="1"/>
  <c r="AK80" i="1"/>
  <c r="AK79" i="1"/>
  <c r="AK74" i="1"/>
  <c r="AK73" i="1"/>
  <c r="AK68" i="1"/>
  <c r="AK67" i="1"/>
  <c r="AK62" i="1"/>
  <c r="AK61" i="1"/>
  <c r="AK56" i="1"/>
  <c r="AK55" i="1"/>
  <c r="AK50" i="1"/>
  <c r="AK49" i="1"/>
  <c r="AK44" i="1"/>
  <c r="AK43" i="1"/>
  <c r="AK38" i="1"/>
  <c r="AK37" i="1"/>
  <c r="AK281" i="1"/>
  <c r="AK111" i="1"/>
  <c r="AK99" i="1"/>
  <c r="AK86" i="1"/>
  <c r="AK81" i="1"/>
  <c r="AK75" i="1"/>
  <c r="AK69" i="1"/>
  <c r="AK63" i="1"/>
  <c r="AK57" i="1"/>
  <c r="AK51" i="1"/>
  <c r="AK45" i="1"/>
  <c r="AK39" i="1"/>
  <c r="AK33" i="1"/>
  <c r="AB12" i="3"/>
  <c r="AB13" i="3" s="1"/>
  <c r="R10" i="3"/>
  <c r="X38" i="1" l="1"/>
  <c r="W39" i="1"/>
  <c r="X29" i="1"/>
  <c r="W40" i="2"/>
  <c r="X39" i="2"/>
  <c r="R11" i="3"/>
  <c r="AB16" i="3" s="1"/>
  <c r="AB14" i="3"/>
  <c r="AB15" i="3" s="1"/>
  <c r="W40" i="3"/>
  <c r="X39" i="3"/>
  <c r="W41" i="3" l="1"/>
  <c r="X40" i="3"/>
  <c r="X40" i="2"/>
  <c r="W41" i="2"/>
  <c r="X39" i="1"/>
  <c r="W40" i="1"/>
  <c r="W42" i="2" l="1"/>
  <c r="X41" i="2"/>
  <c r="X40" i="1"/>
  <c r="W41" i="1"/>
  <c r="W42" i="3"/>
  <c r="X41" i="3"/>
  <c r="W43" i="3" l="1"/>
  <c r="X42" i="3"/>
  <c r="X42" i="2"/>
  <c r="W43" i="2"/>
  <c r="W42" i="1"/>
  <c r="X41" i="1"/>
  <c r="W44" i="2" l="1"/>
  <c r="X43" i="2"/>
  <c r="W43" i="1"/>
  <c r="X42" i="1"/>
  <c r="W44" i="3"/>
  <c r="X43" i="3"/>
  <c r="X43" i="1" l="1"/>
  <c r="W44" i="1"/>
  <c r="W45" i="3"/>
  <c r="X44" i="3"/>
  <c r="X44" i="2"/>
  <c r="W45" i="2"/>
  <c r="W46" i="3" l="1"/>
  <c r="X45" i="3"/>
  <c r="W46" i="2"/>
  <c r="X45" i="2"/>
  <c r="X44" i="1"/>
  <c r="W45" i="1"/>
  <c r="X46" i="2" l="1"/>
  <c r="W47" i="2"/>
  <c r="X45" i="1"/>
  <c r="W46" i="1"/>
  <c r="W47" i="3"/>
  <c r="X46" i="3"/>
  <c r="W48" i="3" l="1"/>
  <c r="X47" i="3"/>
  <c r="X46" i="1"/>
  <c r="W47" i="1"/>
  <c r="W48" i="2"/>
  <c r="X47" i="2"/>
  <c r="W48" i="1" l="1"/>
  <c r="X47" i="1"/>
  <c r="X48" i="2"/>
  <c r="W49" i="2"/>
  <c r="W49" i="3"/>
  <c r="X48" i="3"/>
  <c r="W50" i="2" l="1"/>
  <c r="X49" i="2"/>
  <c r="W50" i="3"/>
  <c r="X49" i="3"/>
  <c r="W49" i="1"/>
  <c r="X48" i="1"/>
  <c r="W51" i="3" l="1"/>
  <c r="X50" i="3"/>
  <c r="X49" i="1"/>
  <c r="W50" i="1"/>
  <c r="X50" i="2"/>
  <c r="W51" i="2"/>
  <c r="X50" i="1" l="1"/>
  <c r="W51" i="1"/>
  <c r="W52" i="2"/>
  <c r="X51" i="2"/>
  <c r="W52" i="3"/>
  <c r="X51" i="3"/>
  <c r="W53" i="3" l="1"/>
  <c r="X52" i="3"/>
  <c r="X52" i="2"/>
  <c r="W53" i="2"/>
  <c r="X51" i="1"/>
  <c r="W52" i="1"/>
  <c r="W54" i="2" l="1"/>
  <c r="X53" i="2"/>
  <c r="X52" i="1"/>
  <c r="W53" i="1"/>
  <c r="W54" i="3"/>
  <c r="X53" i="3"/>
  <c r="W54" i="1" l="1"/>
  <c r="X53" i="1"/>
  <c r="W55" i="3"/>
  <c r="X54" i="3"/>
  <c r="X54" i="2"/>
  <c r="W55" i="2"/>
  <c r="W56" i="2" l="1"/>
  <c r="X55" i="2"/>
  <c r="W56" i="3"/>
  <c r="X55" i="3"/>
  <c r="W55" i="1"/>
  <c r="X54" i="1"/>
  <c r="W57" i="3" l="1"/>
  <c r="X56" i="3"/>
  <c r="X55" i="1"/>
  <c r="W56" i="1"/>
  <c r="X56" i="2"/>
  <c r="W57" i="2"/>
  <c r="X56" i="1" l="1"/>
  <c r="W57" i="1"/>
  <c r="W58" i="2"/>
  <c r="X57" i="2"/>
  <c r="W58" i="3"/>
  <c r="X57" i="3"/>
  <c r="W59" i="3" l="1"/>
  <c r="X58" i="3"/>
  <c r="X58" i="2"/>
  <c r="W59" i="2"/>
  <c r="X57" i="1"/>
  <c r="W58" i="1"/>
  <c r="W60" i="2" l="1"/>
  <c r="X59" i="2"/>
  <c r="X58" i="1"/>
  <c r="W59" i="1"/>
  <c r="W60" i="3"/>
  <c r="X59" i="3"/>
  <c r="W60" i="1" l="1"/>
  <c r="X59" i="1"/>
  <c r="W61" i="3"/>
  <c r="X60" i="3"/>
  <c r="X60" i="2"/>
  <c r="W61" i="2"/>
  <c r="W62" i="2" l="1"/>
  <c r="X61" i="2"/>
  <c r="W62" i="3"/>
  <c r="X61" i="3"/>
  <c r="W61" i="1"/>
  <c r="X60" i="1"/>
  <c r="W63" i="3" l="1"/>
  <c r="X62" i="3"/>
  <c r="X61" i="1"/>
  <c r="W62" i="1"/>
  <c r="X62" i="2"/>
  <c r="W63" i="2"/>
  <c r="W64" i="2" l="1"/>
  <c r="X63" i="2"/>
  <c r="X62" i="1"/>
  <c r="W63" i="1"/>
  <c r="W64" i="3"/>
  <c r="X63" i="3"/>
  <c r="X63" i="1" l="1"/>
  <c r="W64" i="1"/>
  <c r="W65" i="3"/>
  <c r="X64" i="3"/>
  <c r="X64" i="2"/>
  <c r="W65" i="2"/>
  <c r="W66" i="3" l="1"/>
  <c r="X65" i="3"/>
  <c r="W66" i="2"/>
  <c r="X65" i="2"/>
  <c r="X64" i="1"/>
  <c r="W65" i="1"/>
  <c r="W66" i="1" l="1"/>
  <c r="X65" i="1"/>
  <c r="X66" i="2"/>
  <c r="W67" i="2"/>
  <c r="W67" i="3"/>
  <c r="X66" i="3"/>
  <c r="W68" i="2" l="1"/>
  <c r="X67" i="2"/>
  <c r="W68" i="3"/>
  <c r="X67" i="3"/>
  <c r="W67" i="1"/>
  <c r="X66" i="1"/>
  <c r="W69" i="3" l="1"/>
  <c r="X68" i="3"/>
  <c r="X67" i="1"/>
  <c r="W68" i="1"/>
  <c r="X68" i="2"/>
  <c r="W69" i="2"/>
  <c r="W70" i="2" l="1"/>
  <c r="X69" i="2"/>
  <c r="X68" i="1"/>
  <c r="W69" i="1"/>
  <c r="W70" i="3"/>
  <c r="X69" i="3"/>
  <c r="X69" i="1" l="1"/>
  <c r="W70" i="1"/>
  <c r="W71" i="3"/>
  <c r="X70" i="3"/>
  <c r="X70" i="2"/>
  <c r="W71" i="2"/>
  <c r="W72" i="3" l="1"/>
  <c r="X71" i="3"/>
  <c r="W72" i="2"/>
  <c r="X71" i="2"/>
  <c r="X70" i="1"/>
  <c r="W71" i="1"/>
  <c r="W72" i="1" l="1"/>
  <c r="X71" i="1"/>
  <c r="X72" i="2"/>
  <c r="W73" i="2"/>
  <c r="W73" i="3"/>
  <c r="X72" i="3"/>
  <c r="W74" i="2" l="1"/>
  <c r="X73" i="2"/>
  <c r="W74" i="3"/>
  <c r="X73" i="3"/>
  <c r="W73" i="1"/>
  <c r="X72" i="1"/>
  <c r="W75" i="3" l="1"/>
  <c r="X74" i="3"/>
  <c r="X73" i="1"/>
  <c r="W74" i="1"/>
  <c r="X74" i="2"/>
  <c r="W75" i="2"/>
  <c r="W76" i="2" l="1"/>
  <c r="X75" i="2"/>
  <c r="X74" i="1"/>
  <c r="W75" i="1"/>
  <c r="W76" i="3"/>
  <c r="X75" i="3"/>
  <c r="X75" i="1" l="1"/>
  <c r="W76" i="1"/>
  <c r="W77" i="3"/>
  <c r="X76" i="3"/>
  <c r="X76" i="2"/>
  <c r="W77" i="2"/>
  <c r="W78" i="3" l="1"/>
  <c r="X77" i="3"/>
  <c r="W78" i="2"/>
  <c r="X77" i="2"/>
  <c r="X76" i="1"/>
  <c r="W77" i="1"/>
  <c r="W78" i="1" l="1"/>
  <c r="X77" i="1"/>
  <c r="X78" i="2"/>
  <c r="W79" i="2"/>
  <c r="W79" i="3"/>
  <c r="X78" i="3"/>
  <c r="W80" i="2" l="1"/>
  <c r="X79" i="2"/>
  <c r="W80" i="3"/>
  <c r="X79" i="3"/>
  <c r="W79" i="1"/>
  <c r="X78" i="1"/>
  <c r="W81" i="3" l="1"/>
  <c r="X80" i="3"/>
  <c r="X79" i="1"/>
  <c r="W80" i="1"/>
  <c r="X80" i="2"/>
  <c r="W81" i="2"/>
  <c r="W82" i="3" l="1"/>
  <c r="X81" i="3"/>
  <c r="X80" i="1"/>
  <c r="W81" i="1"/>
  <c r="W82" i="2"/>
  <c r="X81" i="2"/>
  <c r="X81" i="1" l="1"/>
  <c r="W82" i="1"/>
  <c r="X82" i="2"/>
  <c r="W83" i="2"/>
  <c r="W83" i="3"/>
  <c r="X82" i="3"/>
  <c r="W84" i="3" l="1"/>
  <c r="X83" i="3"/>
  <c r="W84" i="2"/>
  <c r="X83" i="2"/>
  <c r="X82" i="1"/>
  <c r="W83" i="1"/>
  <c r="W84" i="1" l="1"/>
  <c r="X83" i="1"/>
  <c r="X84" i="2"/>
  <c r="W85" i="2"/>
  <c r="W85" i="3"/>
  <c r="X84" i="3"/>
  <c r="W86" i="2" l="1"/>
  <c r="X85" i="2"/>
  <c r="W86" i="3"/>
  <c r="X85" i="3"/>
  <c r="W85" i="1"/>
  <c r="X84" i="1"/>
  <c r="W87" i="3" l="1"/>
  <c r="X86" i="3"/>
  <c r="X85" i="1"/>
  <c r="W86" i="1"/>
  <c r="X86" i="2"/>
  <c r="W87" i="2"/>
  <c r="W88" i="2" l="1"/>
  <c r="X87" i="2"/>
  <c r="X86" i="1"/>
  <c r="W87" i="1"/>
  <c r="W88" i="3"/>
  <c r="X87" i="3"/>
  <c r="X87" i="1" l="1"/>
  <c r="W88" i="1"/>
  <c r="W89" i="3"/>
  <c r="X88" i="3"/>
  <c r="X88" i="2"/>
  <c r="W89" i="2"/>
  <c r="W90" i="3" l="1"/>
  <c r="X89" i="3"/>
  <c r="X89" i="2"/>
  <c r="W90" i="2"/>
  <c r="X88" i="1"/>
  <c r="W89" i="1"/>
  <c r="W90" i="1" l="1"/>
  <c r="X89" i="1"/>
  <c r="X90" i="2"/>
  <c r="W91" i="2"/>
  <c r="W91" i="3"/>
  <c r="X90" i="3"/>
  <c r="W92" i="2" l="1"/>
  <c r="X91" i="2"/>
  <c r="W92" i="3"/>
  <c r="X91" i="3"/>
  <c r="W91" i="1"/>
  <c r="X90" i="1"/>
  <c r="W93" i="3" l="1"/>
  <c r="X92" i="3"/>
  <c r="X91" i="1"/>
  <c r="W92" i="1"/>
  <c r="X92" i="2"/>
  <c r="W93" i="2"/>
  <c r="W94" i="2" l="1"/>
  <c r="X93" i="2"/>
  <c r="X92" i="1"/>
  <c r="W93" i="1"/>
  <c r="W94" i="3"/>
  <c r="X93" i="3"/>
  <c r="X93" i="1" l="1"/>
  <c r="W94" i="1"/>
  <c r="W95" i="3"/>
  <c r="X94" i="3"/>
  <c r="X94" i="2"/>
  <c r="W95" i="2"/>
  <c r="W96" i="3" l="1"/>
  <c r="X95" i="3"/>
  <c r="W96" i="2"/>
  <c r="X95" i="2"/>
  <c r="X94" i="1"/>
  <c r="W95" i="1"/>
  <c r="W96" i="1" l="1"/>
  <c r="X95" i="1"/>
  <c r="X96" i="2"/>
  <c r="W97" i="2"/>
  <c r="W97" i="3"/>
  <c r="X96" i="3"/>
  <c r="X97" i="2" l="1"/>
  <c r="W98" i="2"/>
  <c r="W98" i="3"/>
  <c r="X97" i="3"/>
  <c r="W97" i="1"/>
  <c r="X96" i="1"/>
  <c r="X97" i="1" l="1"/>
  <c r="W98" i="1"/>
  <c r="W99" i="3"/>
  <c r="X98" i="3"/>
  <c r="X98" i="2"/>
  <c r="W99" i="2"/>
  <c r="W100" i="3" l="1"/>
  <c r="X99" i="3"/>
  <c r="W100" i="2"/>
  <c r="X99" i="2"/>
  <c r="X98" i="1"/>
  <c r="W99" i="1"/>
  <c r="X100" i="2" l="1"/>
  <c r="W101" i="2"/>
  <c r="X99" i="1"/>
  <c r="W100" i="1"/>
  <c r="W101" i="3"/>
  <c r="X100" i="3"/>
  <c r="W102" i="3" l="1"/>
  <c r="X101" i="3"/>
  <c r="X100" i="1"/>
  <c r="W101" i="1"/>
  <c r="W102" i="2"/>
  <c r="X101" i="2"/>
  <c r="X102" i="2" l="1"/>
  <c r="W103" i="2"/>
  <c r="W103" i="3"/>
  <c r="X102" i="3"/>
  <c r="W102" i="1"/>
  <c r="X101" i="1"/>
  <c r="W104" i="3" l="1"/>
  <c r="X103" i="3"/>
  <c r="W104" i="2"/>
  <c r="X103" i="2"/>
  <c r="W103" i="1"/>
  <c r="X102" i="1"/>
  <c r="W105" i="2" l="1"/>
  <c r="X104" i="2"/>
  <c r="X103" i="1"/>
  <c r="W104" i="1"/>
  <c r="W105" i="3"/>
  <c r="X104" i="3"/>
  <c r="W106" i="3" l="1"/>
  <c r="X105" i="3"/>
  <c r="W106" i="2"/>
  <c r="X105" i="2"/>
  <c r="X104" i="1"/>
  <c r="W105" i="1"/>
  <c r="X105" i="1" l="1"/>
  <c r="W106" i="1"/>
  <c r="W107" i="2"/>
  <c r="X106" i="2"/>
  <c r="W107" i="3"/>
  <c r="X106" i="3"/>
  <c r="W108" i="2" l="1"/>
  <c r="X107" i="2"/>
  <c r="W108" i="3"/>
  <c r="X107" i="3"/>
  <c r="X106" i="1"/>
  <c r="W107" i="1"/>
  <c r="W109" i="2" l="1"/>
  <c r="X108" i="2"/>
  <c r="W109" i="3"/>
  <c r="X108" i="3"/>
  <c r="W108" i="1"/>
  <c r="X107" i="1"/>
  <c r="W110" i="3" l="1"/>
  <c r="X109" i="3"/>
  <c r="W109" i="1"/>
  <c r="X108" i="1"/>
  <c r="W110" i="2"/>
  <c r="X109" i="2"/>
  <c r="X109" i="1" l="1"/>
  <c r="W110" i="1"/>
  <c r="W111" i="2"/>
  <c r="X110" i="2"/>
  <c r="W111" i="3"/>
  <c r="X110" i="3"/>
  <c r="W112" i="2" l="1"/>
  <c r="X111" i="2"/>
  <c r="W112" i="3"/>
  <c r="X111" i="3"/>
  <c r="X110" i="1"/>
  <c r="W111" i="1"/>
  <c r="X111" i="1" l="1"/>
  <c r="W112" i="1"/>
  <c r="W113" i="3"/>
  <c r="X112" i="3"/>
  <c r="W113" i="2"/>
  <c r="X112" i="2"/>
  <c r="W114" i="2" l="1"/>
  <c r="X113" i="2"/>
  <c r="W114" i="3"/>
  <c r="X113" i="3"/>
  <c r="X112" i="1"/>
  <c r="W113" i="1"/>
  <c r="W114" i="1" l="1"/>
  <c r="X113" i="1"/>
  <c r="W115" i="3"/>
  <c r="X114" i="3"/>
  <c r="W115" i="2"/>
  <c r="X114" i="2"/>
  <c r="W116" i="3" l="1"/>
  <c r="X115" i="3"/>
  <c r="W116" i="2"/>
  <c r="X115" i="2"/>
  <c r="W115" i="1"/>
  <c r="X114" i="1"/>
  <c r="W117" i="2" l="1"/>
  <c r="X116" i="2"/>
  <c r="X115" i="1"/>
  <c r="W116" i="1"/>
  <c r="W117" i="3"/>
  <c r="X116" i="3"/>
  <c r="X116" i="1" l="1"/>
  <c r="W117" i="1"/>
  <c r="W118" i="3"/>
  <c r="X117" i="3"/>
  <c r="W118" i="2"/>
  <c r="X117" i="2"/>
  <c r="W119" i="2" l="1"/>
  <c r="X118" i="2"/>
  <c r="W119" i="3"/>
  <c r="X118" i="3"/>
  <c r="X117" i="1"/>
  <c r="W118" i="1"/>
  <c r="X118" i="1" l="1"/>
  <c r="W119" i="1"/>
  <c r="W120" i="3"/>
  <c r="X119" i="3"/>
  <c r="W120" i="2"/>
  <c r="X119" i="2"/>
  <c r="W121" i="2" l="1"/>
  <c r="X120" i="2"/>
  <c r="W121" i="3"/>
  <c r="X120" i="3"/>
  <c r="W120" i="1"/>
  <c r="X119" i="1"/>
  <c r="W122" i="3" l="1"/>
  <c r="X121" i="3"/>
  <c r="W121" i="1"/>
  <c r="X120" i="1"/>
  <c r="W122" i="2"/>
  <c r="X121" i="2"/>
  <c r="X121" i="1" l="1"/>
  <c r="W122" i="1"/>
  <c r="W123" i="2"/>
  <c r="X122" i="2"/>
  <c r="W123" i="3"/>
  <c r="X122" i="3"/>
  <c r="W124" i="3" l="1"/>
  <c r="X123" i="3"/>
  <c r="W124" i="2"/>
  <c r="X123" i="2"/>
  <c r="X122" i="1"/>
  <c r="W123" i="1"/>
  <c r="X123" i="1" l="1"/>
  <c r="W124" i="1"/>
  <c r="W125" i="2"/>
  <c r="X124" i="2"/>
  <c r="W125" i="3"/>
  <c r="X124" i="3"/>
  <c r="W126" i="3" l="1"/>
  <c r="X125" i="3"/>
  <c r="W126" i="2"/>
  <c r="X125" i="2"/>
  <c r="X124" i="1"/>
  <c r="W125" i="1"/>
  <c r="W127" i="3" l="1"/>
  <c r="X126" i="3"/>
  <c r="W127" i="2"/>
  <c r="X126" i="2"/>
  <c r="W126" i="1"/>
  <c r="X125" i="1"/>
  <c r="W128" i="2" l="1"/>
  <c r="X127" i="2"/>
  <c r="W127" i="1"/>
  <c r="X126" i="1"/>
  <c r="W128" i="3"/>
  <c r="X127" i="3"/>
  <c r="X127" i="1" l="1"/>
  <c r="W128" i="1"/>
  <c r="W129" i="3"/>
  <c r="X128" i="3"/>
  <c r="W129" i="2"/>
  <c r="X128" i="2"/>
  <c r="W130" i="2" l="1"/>
  <c r="X129" i="2"/>
  <c r="W130" i="3"/>
  <c r="X129" i="3"/>
  <c r="X128" i="1"/>
  <c r="W129" i="1"/>
  <c r="X129" i="1" l="1"/>
  <c r="W130" i="1"/>
  <c r="W131" i="3"/>
  <c r="X130" i="3"/>
  <c r="W131" i="2"/>
  <c r="X130" i="2"/>
  <c r="W132" i="2" l="1"/>
  <c r="X131" i="2"/>
  <c r="W132" i="3"/>
  <c r="X131" i="3"/>
  <c r="X130" i="1"/>
  <c r="W131" i="1"/>
  <c r="W132" i="1" l="1"/>
  <c r="X131" i="1"/>
  <c r="X132" i="3"/>
  <c r="W31" i="3"/>
  <c r="X132" i="2"/>
  <c r="W31" i="2"/>
  <c r="X132" i="1" l="1"/>
  <c r="W31" i="1"/>
</calcChain>
</file>

<file path=xl/sharedStrings.xml><?xml version="1.0" encoding="utf-8"?>
<sst xmlns="http://schemas.openxmlformats.org/spreadsheetml/2006/main" count="349" uniqueCount="99">
  <si>
    <t>Arquivo: "Entrada.txt"</t>
  </si>
  <si>
    <t>curva Resfriamento</t>
  </si>
  <si>
    <t>Função</t>
  </si>
  <si>
    <t>objetivo</t>
  </si>
  <si>
    <t>mínima:</t>
  </si>
  <si>
    <t>vaz (t/h)</t>
  </si>
  <si>
    <t>t acumulado (min)</t>
  </si>
  <si>
    <t>T (°C)</t>
  </si>
  <si>
    <t>tempo (min)</t>
  </si>
  <si>
    <t>Parâmetros</t>
  </si>
  <si>
    <t>utilizados:</t>
  </si>
  <si>
    <t>Linha</t>
  </si>
  <si>
    <t>Dp</t>
  </si>
  <si>
    <t>=</t>
  </si>
  <si>
    <t>Le</t>
  </si>
  <si>
    <t>zd</t>
  </si>
  <si>
    <t>Porosidade do leito</t>
  </si>
  <si>
    <t>mhc</t>
  </si>
  <si>
    <t>mhl</t>
  </si>
  <si>
    <t>mhe</t>
  </si>
  <si>
    <t>soma =</t>
  </si>
  <si>
    <t>Soma da água gerada no BLD</t>
  </si>
  <si>
    <t>versão =</t>
  </si>
  <si>
    <t>ResfPSO_v1.03</t>
  </si>
  <si>
    <t>Volume do coque no reator</t>
  </si>
  <si>
    <t>dt =</t>
  </si>
  <si>
    <t>s</t>
  </si>
  <si>
    <t>dL =</t>
  </si>
  <si>
    <t>m</t>
  </si>
  <si>
    <t>Coluna de água sobre o leito de coque</t>
  </si>
  <si>
    <t>#Diâmetro do leito [m]</t>
  </si>
  <si>
    <t>Prorosidade</t>
  </si>
  <si>
    <t>#Altura do Leito de coque [m]</t>
  </si>
  <si>
    <t>#Dimâmetro menor do cone (diâmetro da delta valve) [m]</t>
  </si>
  <si>
    <t>Total água adicionada no modelo =</t>
  </si>
  <si>
    <t>#Altura do cone (distância vertical da delta até a solda)[m]</t>
  </si>
  <si>
    <t>Total vaporizado pelo modelo =</t>
  </si>
  <si>
    <t>#Pressão do leito durante resfriamento[kgf/cm² man]</t>
  </si>
  <si>
    <t>#Temperatura inicial do coque [°C]</t>
  </si>
  <si>
    <t>versão 1.03</t>
  </si>
  <si>
    <t>#Massa específica do coque [kg/m³]</t>
  </si>
  <si>
    <t>#Condutividade térmica do coque [W/m.K]</t>
  </si>
  <si>
    <t>psi</t>
  </si>
  <si>
    <t>#Emissividade do coque</t>
  </si>
  <si>
    <t>Dia de comportamento relativo mais próximo da média</t>
  </si>
  <si>
    <t>iteração</t>
  </si>
  <si>
    <t>funcao objetivo</t>
  </si>
  <si>
    <t>dados experimentais</t>
  </si>
  <si>
    <t>Água gerada no BLD</t>
  </si>
  <si>
    <t>t (min)</t>
  </si>
  <si>
    <t>o</t>
  </si>
  <si>
    <t>derivadas</t>
  </si>
  <si>
    <t>Dados Diretos</t>
  </si>
  <si>
    <t>Dados Relativos</t>
  </si>
  <si>
    <t>052FR120</t>
  </si>
  <si>
    <t>052FR121</t>
  </si>
  <si>
    <t>t(min)</t>
  </si>
  <si>
    <t>Tvap(°C)</t>
  </si>
  <si>
    <t>TckIn(°C)</t>
  </si>
  <si>
    <t>TckSld(°C)</t>
  </si>
  <si>
    <t>TckOut(°C)</t>
  </si>
  <si>
    <t>Mvap(t/h)</t>
  </si>
  <si>
    <t>Nivel(m)</t>
  </si>
  <si>
    <t>TspIn(°C)</t>
  </si>
  <si>
    <t>TspSld(°C)</t>
  </si>
  <si>
    <t>tempo(min)</t>
  </si>
  <si>
    <t>dT/dt(°C/min)</t>
  </si>
  <si>
    <t>média</t>
  </si>
  <si>
    <t>D padrão</t>
  </si>
  <si>
    <t>M + DP</t>
  </si>
  <si>
    <t>M-Dp</t>
  </si>
  <si>
    <t>t/h</t>
  </si>
  <si>
    <t>m3/d</t>
  </si>
  <si>
    <t>eps</t>
  </si>
  <si>
    <t>de</t>
  </si>
  <si>
    <t>Pico</t>
  </si>
  <si>
    <t>vazao</t>
  </si>
  <si>
    <t>vapor</t>
  </si>
  <si>
    <t>[t/h]</t>
  </si>
  <si>
    <t>Agua</t>
  </si>
  <si>
    <t>total</t>
  </si>
  <si>
    <t>adicionada</t>
  </si>
  <si>
    <t>[kg]</t>
  </si>
  <si>
    <t>Vapor</t>
  </si>
  <si>
    <t>gerado</t>
  </si>
  <si>
    <t>acumulada</t>
  </si>
  <si>
    <t>no</t>
  </si>
  <si>
    <t>leito</t>
  </si>
  <si>
    <t>balanco</t>
  </si>
  <si>
    <t>errobalanco</t>
  </si>
  <si>
    <t>[%]</t>
  </si>
  <si>
    <t>Tempo:</t>
  </si>
  <si>
    <t>#Porosidade do leito</t>
  </si>
  <si>
    <t>tempo =</t>
  </si>
  <si>
    <t>min</t>
  </si>
  <si>
    <t>FI276122</t>
  </si>
  <si>
    <t>V-27613</t>
  </si>
  <si>
    <t>m³/h</t>
  </si>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</sst>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"/>
    <numFmt numFmtId="166" formatCode="0.000"/>
    <numFmt numFmtId="167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1" fontId="0" fillId="0" borderId="4" xfId="0" applyNumberFormat="1" applyBorder="1"/>
    <xf numFmtId="1" fontId="0" fillId="0" borderId="5" xfId="0" applyNumberFormat="1" applyBorder="1"/>
    <xf numFmtId="1" fontId="0" fillId="0" borderId="6" xfId="0" applyNumberFormat="1" applyBorder="1"/>
    <xf numFmtId="1" fontId="0" fillId="0" borderId="0" xfId="0" applyNumberFormat="1"/>
    <xf numFmtId="1" fontId="0" fillId="0" borderId="7" xfId="0" applyNumberFormat="1" applyBorder="1"/>
    <xf numFmtId="1" fontId="0" fillId="0" borderId="0" xfId="0" applyNumberFormat="1" applyBorder="1"/>
    <xf numFmtId="1" fontId="2" fillId="0" borderId="8" xfId="0" applyNumberFormat="1" applyFont="1" applyBorder="1" applyAlignment="1">
      <alignment horizontal="center"/>
    </xf>
    <xf numFmtId="0" fontId="0" fillId="3" borderId="0" xfId="0" applyFill="1"/>
    <xf numFmtId="164" fontId="0" fillId="0" borderId="0" xfId="0" applyNumberFormat="1" applyBorder="1"/>
    <xf numFmtId="0" fontId="2" fillId="0" borderId="8" xfId="0" applyFont="1" applyBorder="1" applyAlignment="1">
      <alignment horizontal="center"/>
    </xf>
    <xf numFmtId="165" fontId="0" fillId="0" borderId="0" xfId="0" applyNumberFormat="1"/>
    <xf numFmtId="0" fontId="0" fillId="0" borderId="7" xfId="0" applyBorder="1"/>
    <xf numFmtId="0" fontId="0" fillId="0" borderId="0" xfId="0" applyBorder="1"/>
    <xf numFmtId="164" fontId="0" fillId="0" borderId="0" xfId="0" quotePrefix="1" applyNumberFormat="1" applyBorder="1"/>
    <xf numFmtId="1" fontId="0" fillId="3" borderId="0" xfId="0" applyNumberFormat="1" applyFill="1"/>
    <xf numFmtId="22" fontId="0" fillId="2" borderId="9" xfId="0" applyNumberFormat="1" applyFill="1" applyBorder="1" applyAlignment="1">
      <alignment horizontal="center"/>
    </xf>
    <xf numFmtId="165" fontId="0" fillId="2" borderId="9" xfId="0" applyNumberFormat="1" applyFill="1" applyBorder="1"/>
    <xf numFmtId="0" fontId="0" fillId="0" borderId="7" xfId="0" applyBorder="1" applyAlignment="1">
      <alignment horizontal="right"/>
    </xf>
    <xf numFmtId="165" fontId="0" fillId="3" borderId="0" xfId="0" applyNumberFormat="1" applyFill="1"/>
    <xf numFmtId="0" fontId="0" fillId="0" borderId="7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/>
    <xf numFmtId="0" fontId="2" fillId="0" borderId="12" xfId="0" applyFont="1" applyBorder="1" applyAlignment="1">
      <alignment horizontal="center"/>
    </xf>
    <xf numFmtId="0" fontId="0" fillId="4" borderId="0" xfId="0" applyFill="1"/>
    <xf numFmtId="0" fontId="0" fillId="0" borderId="4" xfId="0" applyBorder="1"/>
    <xf numFmtId="0" fontId="0" fillId="0" borderId="5" xfId="0" applyBorder="1"/>
    <xf numFmtId="0" fontId="2" fillId="0" borderId="6" xfId="0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Alignment="1">
      <alignment horizontal="right"/>
    </xf>
    <xf numFmtId="2" fontId="0" fillId="4" borderId="0" xfId="0" applyNumberFormat="1" applyFill="1" applyBorder="1" applyAlignment="1">
      <alignment horizontal="center"/>
    </xf>
    <xf numFmtId="2" fontId="0" fillId="5" borderId="0" xfId="0" applyNumberFormat="1" applyFill="1" applyBorder="1" applyAlignment="1">
      <alignment horizontal="center"/>
    </xf>
    <xf numFmtId="0" fontId="0" fillId="0" borderId="0" xfId="0" applyAlignment="1">
      <alignment vertical="center" wrapText="1"/>
    </xf>
    <xf numFmtId="0" fontId="0" fillId="0" borderId="10" xfId="0" applyBorder="1"/>
    <xf numFmtId="0" fontId="0" fillId="0" borderId="11" xfId="0" applyBorder="1" applyAlignment="1">
      <alignment vertical="center" wrapText="1"/>
    </xf>
    <xf numFmtId="2" fontId="0" fillId="0" borderId="11" xfId="0" applyNumberFormat="1" applyBorder="1" applyAlignment="1">
      <alignment horizontal="center"/>
    </xf>
    <xf numFmtId="0" fontId="0" fillId="0" borderId="0" xfId="0" applyAlignment="1">
      <alignment vertical="center"/>
    </xf>
    <xf numFmtId="22" fontId="0" fillId="2" borderId="1" xfId="0" applyNumberFormat="1" applyFill="1" applyBorder="1" applyAlignment="1"/>
    <xf numFmtId="22" fontId="0" fillId="2" borderId="13" xfId="0" applyNumberFormat="1" applyFill="1" applyBorder="1" applyAlignment="1"/>
    <xf numFmtId="165" fontId="0" fillId="2" borderId="14" xfId="0" applyNumberFormat="1" applyFill="1" applyBorder="1"/>
    <xf numFmtId="0" fontId="2" fillId="0" borderId="3" xfId="0" applyFont="1" applyFill="1" applyBorder="1" applyAlignment="1">
      <alignment horizontal="center"/>
    </xf>
    <xf numFmtId="22" fontId="0" fillId="0" borderId="0" xfId="0" applyNumberFormat="1" applyAlignment="1"/>
    <xf numFmtId="0" fontId="0" fillId="0" borderId="0" xfId="0" applyAlignment="1"/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 applyFill="1"/>
    <xf numFmtId="0" fontId="0" fillId="0" borderId="7" xfId="0" applyFill="1" applyBorder="1"/>
    <xf numFmtId="0" fontId="0" fillId="0" borderId="0" xfId="0" applyFill="1" applyBorder="1"/>
    <xf numFmtId="0" fontId="0" fillId="0" borderId="8" xfId="0" applyFill="1" applyBorder="1"/>
    <xf numFmtId="0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164" fontId="0" fillId="5" borderId="7" xfId="0" applyNumberFormat="1" applyFill="1" applyBorder="1"/>
    <xf numFmtId="164" fontId="0" fillId="5" borderId="0" xfId="0" applyNumberFormat="1" applyFill="1" applyBorder="1"/>
    <xf numFmtId="164" fontId="0" fillId="5" borderId="8" xfId="0" applyNumberFormat="1" applyFill="1" applyBorder="1"/>
    <xf numFmtId="165" fontId="0" fillId="5" borderId="7" xfId="0" applyNumberFormat="1" applyFill="1" applyBorder="1"/>
    <xf numFmtId="165" fontId="0" fillId="5" borderId="0" xfId="0" applyNumberFormat="1" applyFill="1" applyBorder="1"/>
    <xf numFmtId="0" fontId="0" fillId="5" borderId="8" xfId="0" applyFill="1" applyBorder="1"/>
    <xf numFmtId="165" fontId="0" fillId="5" borderId="0" xfId="0" applyNumberFormat="1" applyFill="1"/>
    <xf numFmtId="164" fontId="0" fillId="5" borderId="10" xfId="0" applyNumberFormat="1" applyFill="1" applyBorder="1"/>
    <xf numFmtId="164" fontId="0" fillId="5" borderId="11" xfId="0" applyNumberFormat="1" applyFill="1" applyBorder="1"/>
    <xf numFmtId="164" fontId="0" fillId="5" borderId="12" xfId="0" applyNumberFormat="1" applyFill="1" applyBorder="1"/>
    <xf numFmtId="165" fontId="0" fillId="5" borderId="10" xfId="0" applyNumberFormat="1" applyFill="1" applyBorder="1"/>
    <xf numFmtId="165" fontId="0" fillId="5" borderId="11" xfId="0" applyNumberFormat="1" applyFill="1" applyBorder="1"/>
    <xf numFmtId="0" fontId="0" fillId="5" borderId="12" xfId="0" applyFill="1" applyBorder="1"/>
    <xf numFmtId="4" fontId="0" fillId="0" borderId="0" xfId="0" applyNumberFormat="1" applyBorder="1" applyAlignment="1">
      <alignment horizontal="center"/>
    </xf>
    <xf numFmtId="4" fontId="0" fillId="4" borderId="0" xfId="0" applyNumberFormat="1" applyFill="1" applyBorder="1" applyAlignment="1">
      <alignment horizontal="center"/>
    </xf>
    <xf numFmtId="4" fontId="0" fillId="5" borderId="0" xfId="0" applyNumberFormat="1" applyFill="1" applyBorder="1" applyAlignment="1">
      <alignment horizontal="center"/>
    </xf>
    <xf numFmtId="4" fontId="0" fillId="0" borderId="0" xfId="0" applyNumberFormat="1" applyBorder="1" applyAlignment="1">
      <alignment horizontal="center" vertical="center" wrapText="1"/>
    </xf>
    <xf numFmtId="167" fontId="0" fillId="0" borderId="0" xfId="1" applyNumberFormat="1" applyFont="1" applyAlignment="1">
      <alignment vertical="center" wrapText="1"/>
    </xf>
    <xf numFmtId="4" fontId="0" fillId="0" borderId="11" xfId="0" applyNumberFormat="1" applyBorder="1" applyAlignment="1">
      <alignment horizontal="center"/>
    </xf>
    <xf numFmtId="0" fontId="2" fillId="0" borderId="12" xfId="0" applyFont="1" applyBorder="1" applyAlignment="1">
      <alignment horizontal="center" vertical="center" wrapText="1"/>
    </xf>
    <xf numFmtId="0" fontId="0" fillId="5" borderId="0" xfId="0" applyFill="1"/>
    <xf numFmtId="164" fontId="0" fillId="0" borderId="0" xfId="0" applyNumberFormat="1"/>
    <xf numFmtId="0" fontId="2" fillId="0" borderId="0" xfId="0" applyFont="1" applyAlignment="1">
      <alignment horizontal="center"/>
    </xf>
    <xf numFmtId="0" fontId="2" fillId="2" borderId="3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lineMarker"/>
        <c:varyColors val="0"/>
        <c:ser>
          <c:idx val="5"/>
          <c:order val="0"/>
          <c:tx>
            <c:strRef>
              <c:f>'REGAP Mesmos Parametros'!$D$32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'REGAP Mesmos Parametros'!$A$33:$A$133</c:f>
              <c:numCache>
                <c:formatCode>0.0</c:formatCode>
                <c:ptCount val="10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</c:numCache>
            </c:numRef>
          </c:xVal>
          <c:yVal>
            <c:numRef>
              <c:f>'REGAP Mesmos Parametros'!$D$33:$D$133</c:f>
              <c:numCache>
                <c:formatCode>0.0</c:formatCode>
                <c:ptCount val="101"/>
                <c:pt idx="0">
                  <c:v>420.2</c:v>
                </c:pt>
                <c:pt idx="1">
                  <c:v>419.97</c:v>
                </c:pt>
                <c:pt idx="2">
                  <c:v>419.73</c:v>
                </c:pt>
                <c:pt idx="3">
                  <c:v>419.48599999999999</c:v>
                </c:pt>
                <c:pt idx="4">
                  <c:v>419.24799999999999</c:v>
                </c:pt>
                <c:pt idx="5">
                  <c:v>419.00700000000001</c:v>
                </c:pt>
                <c:pt idx="6">
                  <c:v>418.76900000000001</c:v>
                </c:pt>
                <c:pt idx="7">
                  <c:v>418.529</c:v>
                </c:pt>
                <c:pt idx="8">
                  <c:v>418.29</c:v>
                </c:pt>
                <c:pt idx="9">
                  <c:v>418.05099999999999</c:v>
                </c:pt>
                <c:pt idx="10">
                  <c:v>417.81200000000001</c:v>
                </c:pt>
                <c:pt idx="11">
                  <c:v>416.916</c:v>
                </c:pt>
                <c:pt idx="12">
                  <c:v>416.42899999999997</c:v>
                </c:pt>
                <c:pt idx="13">
                  <c:v>415.94099999999997</c:v>
                </c:pt>
                <c:pt idx="14">
                  <c:v>415.45400000000001</c:v>
                </c:pt>
                <c:pt idx="15">
                  <c:v>414.96499999999997</c:v>
                </c:pt>
                <c:pt idx="16">
                  <c:v>414.46899999999999</c:v>
                </c:pt>
                <c:pt idx="17">
                  <c:v>413.96600000000001</c:v>
                </c:pt>
                <c:pt idx="18">
                  <c:v>413.45400000000001</c:v>
                </c:pt>
                <c:pt idx="19">
                  <c:v>412.92599999999999</c:v>
                </c:pt>
                <c:pt idx="20">
                  <c:v>412.35899999999998</c:v>
                </c:pt>
                <c:pt idx="21">
                  <c:v>411.79599999999999</c:v>
                </c:pt>
                <c:pt idx="22">
                  <c:v>411.20600000000002</c:v>
                </c:pt>
                <c:pt idx="23">
                  <c:v>410.584</c:v>
                </c:pt>
                <c:pt idx="24">
                  <c:v>409.96699999999998</c:v>
                </c:pt>
                <c:pt idx="25">
                  <c:v>409.37599999999998</c:v>
                </c:pt>
                <c:pt idx="26">
                  <c:v>408.79</c:v>
                </c:pt>
                <c:pt idx="27">
                  <c:v>408.20299999999997</c:v>
                </c:pt>
                <c:pt idx="28">
                  <c:v>407.61799999999999</c:v>
                </c:pt>
                <c:pt idx="29">
                  <c:v>407.61799999999999</c:v>
                </c:pt>
                <c:pt idx="30">
                  <c:v>407.60399999999998</c:v>
                </c:pt>
                <c:pt idx="31">
                  <c:v>407.60399999999998</c:v>
                </c:pt>
                <c:pt idx="32">
                  <c:v>407.60399999999998</c:v>
                </c:pt>
                <c:pt idx="33">
                  <c:v>407.59800000000001</c:v>
                </c:pt>
                <c:pt idx="34">
                  <c:v>406.87799999999999</c:v>
                </c:pt>
                <c:pt idx="35">
                  <c:v>406.87799999999999</c:v>
                </c:pt>
                <c:pt idx="36">
                  <c:v>395.37700000000001</c:v>
                </c:pt>
                <c:pt idx="37">
                  <c:v>374.07400000000001</c:v>
                </c:pt>
                <c:pt idx="38">
                  <c:v>356.43200000000002</c:v>
                </c:pt>
                <c:pt idx="39">
                  <c:v>338.29599999999999</c:v>
                </c:pt>
                <c:pt idx="40">
                  <c:v>320.85399999999998</c:v>
                </c:pt>
                <c:pt idx="41">
                  <c:v>303.88499999999999</c:v>
                </c:pt>
                <c:pt idx="42">
                  <c:v>283.11099999999999</c:v>
                </c:pt>
                <c:pt idx="43">
                  <c:v>278.31799999999998</c:v>
                </c:pt>
                <c:pt idx="44">
                  <c:v>275.25700000000001</c:v>
                </c:pt>
                <c:pt idx="45">
                  <c:v>269.12200000000001</c:v>
                </c:pt>
                <c:pt idx="46">
                  <c:v>264.47500000000002</c:v>
                </c:pt>
                <c:pt idx="47">
                  <c:v>257.74200000000002</c:v>
                </c:pt>
                <c:pt idx="48">
                  <c:v>256.536</c:v>
                </c:pt>
                <c:pt idx="49">
                  <c:v>255.05500000000001</c:v>
                </c:pt>
                <c:pt idx="50">
                  <c:v>249.58500000000001</c:v>
                </c:pt>
                <c:pt idx="51">
                  <c:v>242.91200000000001</c:v>
                </c:pt>
                <c:pt idx="52">
                  <c:v>237.49600000000001</c:v>
                </c:pt>
                <c:pt idx="53">
                  <c:v>231.202</c:v>
                </c:pt>
                <c:pt idx="54">
                  <c:v>224.869</c:v>
                </c:pt>
                <c:pt idx="55">
                  <c:v>218.94499999999999</c:v>
                </c:pt>
                <c:pt idx="56">
                  <c:v>210.87200000000001</c:v>
                </c:pt>
                <c:pt idx="57">
                  <c:v>203.983</c:v>
                </c:pt>
                <c:pt idx="58">
                  <c:v>194.571</c:v>
                </c:pt>
                <c:pt idx="59">
                  <c:v>185.999</c:v>
                </c:pt>
                <c:pt idx="60">
                  <c:v>173.65700000000001</c:v>
                </c:pt>
                <c:pt idx="61">
                  <c:v>165.81200000000001</c:v>
                </c:pt>
                <c:pt idx="62">
                  <c:v>162.31200000000001</c:v>
                </c:pt>
                <c:pt idx="63">
                  <c:v>158.935</c:v>
                </c:pt>
                <c:pt idx="64">
                  <c:v>155.64699999999999</c:v>
                </c:pt>
                <c:pt idx="65">
                  <c:v>152.46100000000001</c:v>
                </c:pt>
                <c:pt idx="66">
                  <c:v>149.37</c:v>
                </c:pt>
                <c:pt idx="67">
                  <c:v>146.37299999999999</c:v>
                </c:pt>
                <c:pt idx="68">
                  <c:v>143.46700000000001</c:v>
                </c:pt>
                <c:pt idx="69">
                  <c:v>140.649</c:v>
                </c:pt>
                <c:pt idx="70">
                  <c:v>137.91900000000001</c:v>
                </c:pt>
                <c:pt idx="71">
                  <c:v>135.27099999999999</c:v>
                </c:pt>
                <c:pt idx="72">
                  <c:v>132.70500000000001</c:v>
                </c:pt>
                <c:pt idx="73">
                  <c:v>130.21799999999999</c:v>
                </c:pt>
                <c:pt idx="74">
                  <c:v>127.80800000000001</c:v>
                </c:pt>
                <c:pt idx="75">
                  <c:v>125.473</c:v>
                </c:pt>
                <c:pt idx="76">
                  <c:v>123.21</c:v>
                </c:pt>
                <c:pt idx="77">
                  <c:v>121.018</c:v>
                </c:pt>
                <c:pt idx="78">
                  <c:v>118.89400000000001</c:v>
                </c:pt>
                <c:pt idx="79">
                  <c:v>116.836</c:v>
                </c:pt>
                <c:pt idx="80">
                  <c:v>114.842</c:v>
                </c:pt>
                <c:pt idx="81">
                  <c:v>112.911</c:v>
                </c:pt>
                <c:pt idx="82">
                  <c:v>111.04</c:v>
                </c:pt>
                <c:pt idx="83">
                  <c:v>109.227</c:v>
                </c:pt>
                <c:pt idx="84">
                  <c:v>107.471</c:v>
                </c:pt>
                <c:pt idx="85">
                  <c:v>105.77</c:v>
                </c:pt>
                <c:pt idx="86">
                  <c:v>104.179</c:v>
                </c:pt>
                <c:pt idx="87">
                  <c:v>102.328</c:v>
                </c:pt>
                <c:pt idx="88">
                  <c:v>100.575</c:v>
                </c:pt>
                <c:pt idx="89">
                  <c:v>98.879599999999996</c:v>
                </c:pt>
                <c:pt idx="90">
                  <c:v>97.249300000000005</c:v>
                </c:pt>
                <c:pt idx="91">
                  <c:v>95.956199999999995</c:v>
                </c:pt>
                <c:pt idx="92">
                  <c:v>94.183700000000002</c:v>
                </c:pt>
                <c:pt idx="93">
                  <c:v>92.599800000000002</c:v>
                </c:pt>
                <c:pt idx="94">
                  <c:v>91.047200000000004</c:v>
                </c:pt>
                <c:pt idx="95">
                  <c:v>89.546099999999996</c:v>
                </c:pt>
                <c:pt idx="96">
                  <c:v>88.091200000000001</c:v>
                </c:pt>
                <c:pt idx="97">
                  <c:v>86.683499999999995</c:v>
                </c:pt>
                <c:pt idx="98">
                  <c:v>85.328599999999994</c:v>
                </c:pt>
                <c:pt idx="99">
                  <c:v>84.018600000000006</c:v>
                </c:pt>
                <c:pt idx="100">
                  <c:v>83.881699999999995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18F-4B34-9FBA-D326FED4EC62}"/>
            </c:ext>
          </c:extLst>
        </c:ser>
        <c:ser>
          <c:idx val="1"/>
          <c:order val="4"/>
          <c:tx>
            <c:strRef>
              <c:f>'REGAP Mesmos Parametros'!$AC$32</c:f>
              <c:strCache>
                <c:ptCount val="1"/>
                <c:pt idx="0">
                  <c:v>M + DP</c:v>
                </c:pt>
              </c:strCache>
            </c:strRef>
          </c:tx>
          <c:spPr>
            <a:ln w="12700">
              <a:prstDash val="sysDot"/>
            </a:ln>
          </c:spPr>
          <c:marker>
            <c:symbol val="none"/>
          </c:marker>
          <c:xVal>
            <c:numRef>
              <c:f>'REGAP Mesmos Parametros'!$Z$32:$Z$631</c:f>
              <c:numCache>
                <c:formatCode>General</c:formatCode>
                <c:ptCount val="6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</c:numCache>
            </c:numRef>
          </c:xVal>
          <c:yVal>
            <c:numRef>
              <c:f>'REGAP Mesmos Parametros'!$AC$33:$AC$632</c:f>
              <c:numCache>
                <c:formatCode>0.0000</c:formatCode>
                <c:ptCount val="600"/>
                <c:pt idx="0">
                  <c:v>447.56718941927875</c:v>
                </c:pt>
                <c:pt idx="1">
                  <c:v>447.39854474823875</c:v>
                </c:pt>
                <c:pt idx="2">
                  <c:v>447.22588120248167</c:v>
                </c:pt>
                <c:pt idx="3">
                  <c:v>447.04481066386813</c:v>
                </c:pt>
                <c:pt idx="4">
                  <c:v>446.86433757954995</c:v>
                </c:pt>
                <c:pt idx="5">
                  <c:v>446.68468707622583</c:v>
                </c:pt>
                <c:pt idx="6">
                  <c:v>446.50586557742849</c:v>
                </c:pt>
                <c:pt idx="7">
                  <c:v>446.32787949649327</c:v>
                </c:pt>
                <c:pt idx="8">
                  <c:v>446.15073523443198</c:v>
                </c:pt>
                <c:pt idx="9">
                  <c:v>445.97443917776457</c:v>
                </c:pt>
                <c:pt idx="10">
                  <c:v>445.79899769630833</c:v>
                </c:pt>
                <c:pt idx="11">
                  <c:v>445.59084109055289</c:v>
                </c:pt>
                <c:pt idx="12">
                  <c:v>445.32473007963205</c:v>
                </c:pt>
                <c:pt idx="13">
                  <c:v>445.06051621586334</c:v>
                </c:pt>
                <c:pt idx="14">
                  <c:v>444.79703109353068</c:v>
                </c:pt>
                <c:pt idx="15">
                  <c:v>444.53423585790119</c:v>
                </c:pt>
                <c:pt idx="16">
                  <c:v>444.27213798179014</c:v>
                </c:pt>
                <c:pt idx="17">
                  <c:v>444.01074498975669</c:v>
                </c:pt>
                <c:pt idx="18">
                  <c:v>443.75006445699927</c:v>
                </c:pt>
                <c:pt idx="19">
                  <c:v>443.48013173656852</c:v>
                </c:pt>
                <c:pt idx="20">
                  <c:v>443.19198898107618</c:v>
                </c:pt>
                <c:pt idx="21">
                  <c:v>442.90396726994896</c:v>
                </c:pt>
                <c:pt idx="22">
                  <c:v>442.61651586497408</c:v>
                </c:pt>
                <c:pt idx="23">
                  <c:v>442.32964135762234</c:v>
                </c:pt>
                <c:pt idx="24">
                  <c:v>442.04335040156514</c:v>
                </c:pt>
                <c:pt idx="25">
                  <c:v>441.75764971234219</c:v>
                </c:pt>
                <c:pt idx="26">
                  <c:v>441.47254606698328</c:v>
                </c:pt>
                <c:pt idx="27">
                  <c:v>441.18804630358051</c:v>
                </c:pt>
                <c:pt idx="28">
                  <c:v>440.90415732081124</c:v>
                </c:pt>
                <c:pt idx="29">
                  <c:v>440.62088607740753</c:v>
                </c:pt>
                <c:pt idx="30">
                  <c:v>440.3382395915728</c:v>
                </c:pt>
                <c:pt idx="31">
                  <c:v>440.05622494034253</c:v>
                </c:pt>
                <c:pt idx="32">
                  <c:v>439.77484925888785</c:v>
                </c:pt>
                <c:pt idx="33">
                  <c:v>439.49411973976044</c:v>
                </c:pt>
                <c:pt idx="34">
                  <c:v>439.204707832027</c:v>
                </c:pt>
                <c:pt idx="35">
                  <c:v>438.89864042044422</c:v>
                </c:pt>
                <c:pt idx="36">
                  <c:v>438.5932635073342</c:v>
                </c:pt>
                <c:pt idx="37">
                  <c:v>438.28900352652857</c:v>
                </c:pt>
                <c:pt idx="38">
                  <c:v>437.98587439077193</c:v>
                </c:pt>
                <c:pt idx="39">
                  <c:v>437.68389008274193</c:v>
                </c:pt>
                <c:pt idx="40">
                  <c:v>437.38306464980246</c:v>
                </c:pt>
                <c:pt idx="41">
                  <c:v>437.08341219849757</c:v>
                </c:pt>
                <c:pt idx="42">
                  <c:v>436.78494688878123</c:v>
                </c:pt>
                <c:pt idx="43">
                  <c:v>436.47980572536972</c:v>
                </c:pt>
                <c:pt idx="44">
                  <c:v>436.16133496193765</c:v>
                </c:pt>
                <c:pt idx="45">
                  <c:v>435.8436208092894</c:v>
                </c:pt>
                <c:pt idx="46">
                  <c:v>435.52698725994725</c:v>
                </c:pt>
                <c:pt idx="47">
                  <c:v>435.21144864302005</c:v>
                </c:pt>
                <c:pt idx="48">
                  <c:v>434.89701938413913</c:v>
                </c:pt>
                <c:pt idx="49">
                  <c:v>434.58371400063641</c:v>
                </c:pt>
                <c:pt idx="50">
                  <c:v>434.27154709643594</c:v>
                </c:pt>
                <c:pt idx="51">
                  <c:v>433.96053335665488</c:v>
                </c:pt>
                <c:pt idx="52">
                  <c:v>433.65068754190457</c:v>
                </c:pt>
                <c:pt idx="53">
                  <c:v>433.34190467883917</c:v>
                </c:pt>
                <c:pt idx="54">
                  <c:v>433.03410801789937</c:v>
                </c:pt>
                <c:pt idx="55">
                  <c:v>432.72697767088351</c:v>
                </c:pt>
                <c:pt idx="56">
                  <c:v>432.42009997258515</c:v>
                </c:pt>
                <c:pt idx="57">
                  <c:v>432.11443140564734</c:v>
                </c:pt>
                <c:pt idx="58">
                  <c:v>431.81000584013844</c:v>
                </c:pt>
                <c:pt idx="59">
                  <c:v>431.50683841723929</c:v>
                </c:pt>
                <c:pt idx="60">
                  <c:v>431.204944306041</c:v>
                </c:pt>
                <c:pt idx="61">
                  <c:v>430.90433869529073</c:v>
                </c:pt>
                <c:pt idx="62">
                  <c:v>430.60503678481467</c:v>
                </c:pt>
                <c:pt idx="63">
                  <c:v>430.30625501920889</c:v>
                </c:pt>
                <c:pt idx="64">
                  <c:v>430.00733169112078</c:v>
                </c:pt>
                <c:pt idx="65">
                  <c:v>429.70970034179516</c:v>
                </c:pt>
                <c:pt idx="66">
                  <c:v>429.41340667258953</c:v>
                </c:pt>
                <c:pt idx="67">
                  <c:v>429.11865277038498</c:v>
                </c:pt>
                <c:pt idx="68">
                  <c:v>428.82559686224522</c:v>
                </c:pt>
                <c:pt idx="69">
                  <c:v>428.53392674119209</c:v>
                </c:pt>
                <c:pt idx="70">
                  <c:v>428.25118354716852</c:v>
                </c:pt>
                <c:pt idx="71">
                  <c:v>427.9835542029424</c:v>
                </c:pt>
                <c:pt idx="72">
                  <c:v>427.71760189116952</c:v>
                </c:pt>
                <c:pt idx="73">
                  <c:v>427.45304877402037</c:v>
                </c:pt>
                <c:pt idx="74">
                  <c:v>427.18206847212605</c:v>
                </c:pt>
                <c:pt idx="75">
                  <c:v>426.89780446689775</c:v>
                </c:pt>
                <c:pt idx="76">
                  <c:v>426.61467487873307</c:v>
                </c:pt>
                <c:pt idx="77">
                  <c:v>426.33303474064763</c:v>
                </c:pt>
                <c:pt idx="78">
                  <c:v>426.05289675585595</c:v>
                </c:pt>
                <c:pt idx="79">
                  <c:v>425.77427344118894</c:v>
                </c:pt>
                <c:pt idx="80">
                  <c:v>425.49717711528876</c:v>
                </c:pt>
                <c:pt idx="81">
                  <c:v>425.22161988675373</c:v>
                </c:pt>
                <c:pt idx="82">
                  <c:v>424.94761364225405</c:v>
                </c:pt>
                <c:pt idx="83">
                  <c:v>424.67517003464218</c:v>
                </c:pt>
                <c:pt idx="84">
                  <c:v>424.40430047108123</c:v>
                </c:pt>
                <c:pt idx="85">
                  <c:v>424.13501610121642</c:v>
                </c:pt>
                <c:pt idx="86">
                  <c:v>423.86732780541217</c:v>
                </c:pt>
                <c:pt idx="87">
                  <c:v>423.60124618308328</c:v>
                </c:pt>
                <c:pt idx="88">
                  <c:v>423.33678154114494</c:v>
                </c:pt>
                <c:pt idx="89">
                  <c:v>423.0739438826073</c:v>
                </c:pt>
                <c:pt idx="90">
                  <c:v>422.81274289534269</c:v>
                </c:pt>
                <c:pt idx="91">
                  <c:v>422.55164583305742</c:v>
                </c:pt>
                <c:pt idx="92">
                  <c:v>422.28957279220521</c:v>
                </c:pt>
                <c:pt idx="93">
                  <c:v>422.02945008451229</c:v>
                </c:pt>
                <c:pt idx="94">
                  <c:v>421.77135087871272</c:v>
                </c:pt>
                <c:pt idx="95">
                  <c:v>421.51528374126315</c:v>
                </c:pt>
                <c:pt idx="96">
                  <c:v>421.26125666179178</c:v>
                </c:pt>
                <c:pt idx="97">
                  <c:v>420.99418380152349</c:v>
                </c:pt>
                <c:pt idx="98">
                  <c:v>420.70254357673963</c:v>
                </c:pt>
                <c:pt idx="99">
                  <c:v>420.41241431911288</c:v>
                </c:pt>
                <c:pt idx="100">
                  <c:v>420.12430951181022</c:v>
                </c:pt>
                <c:pt idx="101">
                  <c:v>419.83824210933409</c:v>
                </c:pt>
                <c:pt idx="102">
                  <c:v>419.55422453978247</c:v>
                </c:pt>
                <c:pt idx="103">
                  <c:v>419.27226868652536</c:v>
                </c:pt>
                <c:pt idx="104">
                  <c:v>418.99303225153756</c:v>
                </c:pt>
                <c:pt idx="105">
                  <c:v>418.71706465283756</c:v>
                </c:pt>
                <c:pt idx="106">
                  <c:v>418.44315659730307</c:v>
                </c:pt>
                <c:pt idx="107">
                  <c:v>418.14653061141115</c:v>
                </c:pt>
                <c:pt idx="108">
                  <c:v>417.80608919983587</c:v>
                </c:pt>
                <c:pt idx="109">
                  <c:v>417.46666097451134</c:v>
                </c:pt>
                <c:pt idx="110">
                  <c:v>417.12927500860599</c:v>
                </c:pt>
                <c:pt idx="111">
                  <c:v>416.79394540690089</c:v>
                </c:pt>
                <c:pt idx="112">
                  <c:v>416.46068574258641</c:v>
                </c:pt>
                <c:pt idx="113">
                  <c:v>416.12950903683469</c:v>
                </c:pt>
                <c:pt idx="114">
                  <c:v>415.80042773890904</c:v>
                </c:pt>
                <c:pt idx="115">
                  <c:v>415.47345370687668</c:v>
                </c:pt>
                <c:pt idx="116">
                  <c:v>415.13175959023914</c:v>
                </c:pt>
                <c:pt idx="117">
                  <c:v>414.76069792375273</c:v>
                </c:pt>
                <c:pt idx="118">
                  <c:v>414.39091122577418</c:v>
                </c:pt>
                <c:pt idx="119">
                  <c:v>414.02311981629146</c:v>
                </c:pt>
                <c:pt idx="120">
                  <c:v>413.65769447422838</c:v>
                </c:pt>
                <c:pt idx="121">
                  <c:v>413.29491138599116</c:v>
                </c:pt>
                <c:pt idx="122">
                  <c:v>412.90764400972557</c:v>
                </c:pt>
                <c:pt idx="123">
                  <c:v>412.47416316081262</c:v>
                </c:pt>
                <c:pt idx="124">
                  <c:v>412.04166333964497</c:v>
                </c:pt>
                <c:pt idx="125">
                  <c:v>411.61117600284643</c:v>
                </c:pt>
                <c:pt idx="126">
                  <c:v>411.18271983805244</c:v>
                </c:pt>
                <c:pt idx="127">
                  <c:v>410.75631309621775</c:v>
                </c:pt>
                <c:pt idx="128">
                  <c:v>410.33197356501029</c:v>
                </c:pt>
                <c:pt idx="129">
                  <c:v>409.90971854232458</c:v>
                </c:pt>
                <c:pt idx="130">
                  <c:v>409.48956480999948</c:v>
                </c:pt>
                <c:pt idx="131">
                  <c:v>409.07152860781974</c:v>
                </c:pt>
                <c:pt idx="132">
                  <c:v>408.65562560788732</c:v>
                </c:pt>
                <c:pt idx="133">
                  <c:v>408.24187088944802</c:v>
                </c:pt>
                <c:pt idx="134">
                  <c:v>407.78409962928129</c:v>
                </c:pt>
                <c:pt idx="135">
                  <c:v>407.25072233781668</c:v>
                </c:pt>
                <c:pt idx="136">
                  <c:v>406.72116366766494</c:v>
                </c:pt>
                <c:pt idx="137">
                  <c:v>406.19687515603027</c:v>
                </c:pt>
                <c:pt idx="138">
                  <c:v>405.67790887664631</c:v>
                </c:pt>
                <c:pt idx="139">
                  <c:v>405.16431283809629</c:v>
                </c:pt>
                <c:pt idx="140">
                  <c:v>404.65613077963491</c:v>
                </c:pt>
                <c:pt idx="141">
                  <c:v>404.15340198151455</c:v>
                </c:pt>
                <c:pt idx="142">
                  <c:v>403.65616109166291</c:v>
                </c:pt>
                <c:pt idx="143">
                  <c:v>403.1644379704444</c:v>
                </c:pt>
                <c:pt idx="144">
                  <c:v>402.67825755509784</c:v>
                </c:pt>
                <c:pt idx="145">
                  <c:v>402.19763974525711</c:v>
                </c:pt>
                <c:pt idx="146">
                  <c:v>401.72259931077093</c:v>
                </c:pt>
                <c:pt idx="147">
                  <c:v>401.25314582280834</c:v>
                </c:pt>
                <c:pt idx="148">
                  <c:v>400.78928360899715</c:v>
                </c:pt>
                <c:pt idx="149">
                  <c:v>400.33101173308324</c:v>
                </c:pt>
                <c:pt idx="150">
                  <c:v>399.87832399933399</c:v>
                </c:pt>
                <c:pt idx="151">
                  <c:v>399.45827950347336</c:v>
                </c:pt>
                <c:pt idx="152">
                  <c:v>399.09514081454006</c:v>
                </c:pt>
                <c:pt idx="153">
                  <c:v>398.74403931988934</c:v>
                </c:pt>
                <c:pt idx="154">
                  <c:v>398.40369322012009</c:v>
                </c:pt>
                <c:pt idx="155">
                  <c:v>398.07370160411028</c:v>
                </c:pt>
                <c:pt idx="156">
                  <c:v>397.57631806501746</c:v>
                </c:pt>
                <c:pt idx="157">
                  <c:v>396.77389511937434</c:v>
                </c:pt>
                <c:pt idx="158">
                  <c:v>395.88623676840848</c:v>
                </c:pt>
                <c:pt idx="159">
                  <c:v>394.84305723740067</c:v>
                </c:pt>
                <c:pt idx="160">
                  <c:v>393.72714335538438</c:v>
                </c:pt>
                <c:pt idx="161">
                  <c:v>392.4720596319317</c:v>
                </c:pt>
                <c:pt idx="162">
                  <c:v>391.24825113266508</c:v>
                </c:pt>
                <c:pt idx="163">
                  <c:v>390.05937720938624</c:v>
                </c:pt>
                <c:pt idx="164">
                  <c:v>388.9056746870429</c:v>
                </c:pt>
                <c:pt idx="165">
                  <c:v>387.78717985410344</c:v>
                </c:pt>
                <c:pt idx="166">
                  <c:v>386.70372742901287</c:v>
                </c:pt>
                <c:pt idx="167">
                  <c:v>385.65495524868055</c:v>
                </c:pt>
                <c:pt idx="168">
                  <c:v>384.64031437247121</c:v>
                </c:pt>
                <c:pt idx="169">
                  <c:v>383.65908395619959</c:v>
                </c:pt>
                <c:pt idx="170">
                  <c:v>382.71038998425729</c:v>
                </c:pt>
                <c:pt idx="171">
                  <c:v>381.7932267788068</c:v>
                </c:pt>
                <c:pt idx="172">
                  <c:v>380.90648014190668</c:v>
                </c:pt>
                <c:pt idx="173">
                  <c:v>380.02613420536778</c:v>
                </c:pt>
                <c:pt idx="174">
                  <c:v>379.13167044401871</c:v>
                </c:pt>
                <c:pt idx="175">
                  <c:v>378.2601655710335</c:v>
                </c:pt>
                <c:pt idx="176">
                  <c:v>377.41488789345914</c:v>
                </c:pt>
                <c:pt idx="177">
                  <c:v>376.59441303100698</c:v>
                </c:pt>
                <c:pt idx="178">
                  <c:v>375.79726723916411</c:v>
                </c:pt>
                <c:pt idx="179">
                  <c:v>374.92386828345406</c:v>
                </c:pt>
                <c:pt idx="180">
                  <c:v>373.89997377516067</c:v>
                </c:pt>
                <c:pt idx="181">
                  <c:v>372.89466109078774</c:v>
                </c:pt>
                <c:pt idx="182">
                  <c:v>371.91014194030078</c:v>
                </c:pt>
                <c:pt idx="183">
                  <c:v>370.94541507222982</c:v>
                </c:pt>
                <c:pt idx="184">
                  <c:v>369.99949545706232</c:v>
                </c:pt>
                <c:pt idx="185">
                  <c:v>369.07142068161522</c:v>
                </c:pt>
                <c:pt idx="186">
                  <c:v>368.16025608518618</c:v>
                </c:pt>
                <c:pt idx="187">
                  <c:v>367.26509873735927</c:v>
                </c:pt>
                <c:pt idx="188">
                  <c:v>366.38508037475668</c:v>
                </c:pt>
                <c:pt idx="189">
                  <c:v>365.51936942231168</c:v>
                </c:pt>
                <c:pt idx="190">
                  <c:v>364.66717222573124</c:v>
                </c:pt>
                <c:pt idx="191">
                  <c:v>363.82773361759064</c:v>
                </c:pt>
                <c:pt idx="192">
                  <c:v>363.00033693159156</c:v>
                </c:pt>
                <c:pt idx="193">
                  <c:v>362.18430356932748</c:v>
                </c:pt>
                <c:pt idx="194">
                  <c:v>361.37899221252417</c:v>
                </c:pt>
                <c:pt idx="195">
                  <c:v>360.58379776201338</c:v>
                </c:pt>
                <c:pt idx="196">
                  <c:v>359.79815007323674</c:v>
                </c:pt>
                <c:pt idx="197">
                  <c:v>359.02151254729233</c:v>
                </c:pt>
                <c:pt idx="198">
                  <c:v>358.25338062665037</c:v>
                </c:pt>
                <c:pt idx="199">
                  <c:v>357.49328023582598</c:v>
                </c:pt>
                <c:pt idx="200">
                  <c:v>356.7407661995266</c:v>
                </c:pt>
                <c:pt idx="201">
                  <c:v>355.99542066408077</c:v>
                </c:pt>
                <c:pt idx="202">
                  <c:v>355.25685154223572</c:v>
                </c:pt>
                <c:pt idx="203">
                  <c:v>354.52469099659913</c:v>
                </c:pt>
                <c:pt idx="204">
                  <c:v>353.79859397300345</c:v>
                </c:pt>
                <c:pt idx="205">
                  <c:v>353.07823679178455</c:v>
                </c:pt>
                <c:pt idx="206">
                  <c:v>352.36331580231104</c:v>
                </c:pt>
                <c:pt idx="207">
                  <c:v>351.65354610393359</c:v>
                </c:pt>
                <c:pt idx="208">
                  <c:v>350.94866033487131</c:v>
                </c:pt>
                <c:pt idx="209">
                  <c:v>350.24840752919289</c:v>
                </c:pt>
                <c:pt idx="210">
                  <c:v>349.55268168526993</c:v>
                </c:pt>
                <c:pt idx="211">
                  <c:v>348.86134408698479</c:v>
                </c:pt>
                <c:pt idx="212">
                  <c:v>348.1739452723715</c:v>
                </c:pt>
                <c:pt idx="213">
                  <c:v>347.48398860933628</c:v>
                </c:pt>
                <c:pt idx="214">
                  <c:v>346.80157883378365</c:v>
                </c:pt>
                <c:pt idx="215">
                  <c:v>346.15126406197447</c:v>
                </c:pt>
                <c:pt idx="216">
                  <c:v>345.52092523657996</c:v>
                </c:pt>
                <c:pt idx="217">
                  <c:v>344.92058169878089</c:v>
                </c:pt>
                <c:pt idx="218">
                  <c:v>344.32476131992377</c:v>
                </c:pt>
                <c:pt idx="219">
                  <c:v>343.73280128616477</c:v>
                </c:pt>
                <c:pt idx="220">
                  <c:v>343.14457194492559</c:v>
                </c:pt>
                <c:pt idx="221">
                  <c:v>342.55994848341106</c:v>
                </c:pt>
                <c:pt idx="222">
                  <c:v>341.97881076179937</c:v>
                </c:pt>
                <c:pt idx="223">
                  <c:v>341.40104314867659</c:v>
                </c:pt>
                <c:pt idx="224">
                  <c:v>340.82653435922805</c:v>
                </c:pt>
                <c:pt idx="225">
                  <c:v>340.25517729659686</c:v>
                </c:pt>
                <c:pt idx="226">
                  <c:v>339.68686889675428</c:v>
                </c:pt>
                <c:pt idx="227">
                  <c:v>339.12150997714684</c:v>
                </c:pt>
                <c:pt idx="228">
                  <c:v>338.55687143594906</c:v>
                </c:pt>
                <c:pt idx="229">
                  <c:v>337.99098874748313</c:v>
                </c:pt>
                <c:pt idx="230">
                  <c:v>337.42766780983368</c:v>
                </c:pt>
                <c:pt idx="231">
                  <c:v>336.86691622269683</c:v>
                </c:pt>
                <c:pt idx="232">
                  <c:v>336.30865325663376</c:v>
                </c:pt>
                <c:pt idx="233">
                  <c:v>335.75317060501527</c:v>
                </c:pt>
                <c:pt idx="234">
                  <c:v>335.20051104789155</c:v>
                </c:pt>
                <c:pt idx="235">
                  <c:v>334.64987845950776</c:v>
                </c:pt>
                <c:pt idx="236">
                  <c:v>334.10120022919563</c:v>
                </c:pt>
                <c:pt idx="237">
                  <c:v>333.55441911514208</c:v>
                </c:pt>
                <c:pt idx="238">
                  <c:v>333.0079146998944</c:v>
                </c:pt>
                <c:pt idx="239">
                  <c:v>332.46041620439814</c:v>
                </c:pt>
                <c:pt idx="240">
                  <c:v>331.9146697653868</c:v>
                </c:pt>
                <c:pt idx="241">
                  <c:v>331.37068214288013</c:v>
                </c:pt>
                <c:pt idx="242">
                  <c:v>330.82840349962999</c:v>
                </c:pt>
                <c:pt idx="243">
                  <c:v>330.28778571248358</c:v>
                </c:pt>
                <c:pt idx="244">
                  <c:v>329.74878230682191</c:v>
                </c:pt>
                <c:pt idx="245">
                  <c:v>329.2113483935243</c:v>
                </c:pt>
                <c:pt idx="246">
                  <c:v>328.67544060839384</c:v>
                </c:pt>
                <c:pt idx="247">
                  <c:v>328.14101705395194</c:v>
                </c:pt>
                <c:pt idx="248">
                  <c:v>327.60803724352979</c:v>
                </c:pt>
                <c:pt idx="249">
                  <c:v>327.07646204756941</c:v>
                </c:pt>
                <c:pt idx="250">
                  <c:v>326.54625364205981</c:v>
                </c:pt>
                <c:pt idx="251">
                  <c:v>326.01737545903546</c:v>
                </c:pt>
                <c:pt idx="252">
                  <c:v>325.48979213904738</c:v>
                </c:pt>
                <c:pt idx="253">
                  <c:v>324.96346948554765</c:v>
                </c:pt>
                <c:pt idx="254">
                  <c:v>324.43837442110396</c:v>
                </c:pt>
                <c:pt idx="255">
                  <c:v>323.91447494537726</c:v>
                </c:pt>
                <c:pt idx="256">
                  <c:v>323.39174009479501</c:v>
                </c:pt>
                <c:pt idx="257">
                  <c:v>322.87013990384787</c:v>
                </c:pt>
                <c:pt idx="258">
                  <c:v>322.34964536795019</c:v>
                </c:pt>
                <c:pt idx="259">
                  <c:v>321.83022840780075</c:v>
                </c:pt>
                <c:pt idx="260">
                  <c:v>321.31186183517855</c:v>
                </c:pt>
                <c:pt idx="261">
                  <c:v>320.79451932012051</c:v>
                </c:pt>
                <c:pt idx="262">
                  <c:v>320.27817535942052</c:v>
                </c:pt>
                <c:pt idx="263">
                  <c:v>319.75512563505299</c:v>
                </c:pt>
                <c:pt idx="264">
                  <c:v>319.22009084704484</c:v>
                </c:pt>
                <c:pt idx="265">
                  <c:v>318.68714879330781</c:v>
                </c:pt>
                <c:pt idx="266">
                  <c:v>318.15653924964028</c:v>
                </c:pt>
                <c:pt idx="267">
                  <c:v>317.62821810863272</c:v>
                </c:pt>
                <c:pt idx="268">
                  <c:v>317.08303958531218</c:v>
                </c:pt>
                <c:pt idx="269">
                  <c:v>316.50315567131599</c:v>
                </c:pt>
                <c:pt idx="270">
                  <c:v>315.92444276382196</c:v>
                </c:pt>
                <c:pt idx="271">
                  <c:v>315.35218846268504</c:v>
                </c:pt>
                <c:pt idx="272">
                  <c:v>314.79113602165637</c:v>
                </c:pt>
                <c:pt idx="273">
                  <c:v>314.23959322182145</c:v>
                </c:pt>
                <c:pt idx="274">
                  <c:v>313.70380841834907</c:v>
                </c:pt>
                <c:pt idx="275">
                  <c:v>313.18215771045777</c:v>
                </c:pt>
                <c:pt idx="276">
                  <c:v>312.68429972795133</c:v>
                </c:pt>
                <c:pt idx="277">
                  <c:v>312.18923281779064</c:v>
                </c:pt>
                <c:pt idx="278">
                  <c:v>311.69638226098544</c:v>
                </c:pt>
                <c:pt idx="279">
                  <c:v>311.20571663211382</c:v>
                </c:pt>
                <c:pt idx="280">
                  <c:v>310.71720490637102</c:v>
                </c:pt>
                <c:pt idx="281">
                  <c:v>310.23081645913851</c:v>
                </c:pt>
                <c:pt idx="282">
                  <c:v>309.7465210652644</c:v>
                </c:pt>
                <c:pt idx="283">
                  <c:v>309.23820601046401</c:v>
                </c:pt>
                <c:pt idx="284">
                  <c:v>308.67960197313255</c:v>
                </c:pt>
                <c:pt idx="285">
                  <c:v>308.12148444464765</c:v>
                </c:pt>
                <c:pt idx="286">
                  <c:v>307.56529544600858</c:v>
                </c:pt>
                <c:pt idx="287">
                  <c:v>307.01101117652081</c:v>
                </c:pt>
                <c:pt idx="288">
                  <c:v>306.45860808540419</c:v>
                </c:pt>
                <c:pt idx="289">
                  <c:v>305.89821114920937</c:v>
                </c:pt>
                <c:pt idx="290">
                  <c:v>305.32171426379767</c:v>
                </c:pt>
                <c:pt idx="291">
                  <c:v>304.74626205547543</c:v>
                </c:pt>
                <c:pt idx="292">
                  <c:v>304.17219293601761</c:v>
                </c:pt>
                <c:pt idx="293">
                  <c:v>303.59949791570654</c:v>
                </c:pt>
                <c:pt idx="294">
                  <c:v>303.02816801039745</c:v>
                </c:pt>
                <c:pt idx="295">
                  <c:v>302.45819424302914</c:v>
                </c:pt>
                <c:pt idx="296">
                  <c:v>301.88956764510203</c:v>
                </c:pt>
                <c:pt idx="297">
                  <c:v>301.33718382989792</c:v>
                </c:pt>
                <c:pt idx="298">
                  <c:v>300.81454656142984</c:v>
                </c:pt>
                <c:pt idx="299">
                  <c:v>300.29316816773064</c:v>
                </c:pt>
                <c:pt idx="300">
                  <c:v>299.77230206702097</c:v>
                </c:pt>
                <c:pt idx="301">
                  <c:v>299.25194503618081</c:v>
                </c:pt>
                <c:pt idx="302">
                  <c:v>298.73209386933371</c:v>
                </c:pt>
                <c:pt idx="303">
                  <c:v>298.21274537786996</c:v>
                </c:pt>
                <c:pt idx="304">
                  <c:v>297.69389639046756</c:v>
                </c:pt>
                <c:pt idx="305">
                  <c:v>297.17554375310863</c:v>
                </c:pt>
                <c:pt idx="306">
                  <c:v>296.65768432909454</c:v>
                </c:pt>
                <c:pt idx="307">
                  <c:v>296.14031499905616</c:v>
                </c:pt>
                <c:pt idx="308">
                  <c:v>295.62343266096235</c:v>
                </c:pt>
                <c:pt idx="309">
                  <c:v>295.10703423012592</c:v>
                </c:pt>
                <c:pt idx="310">
                  <c:v>294.59111663920476</c:v>
                </c:pt>
                <c:pt idx="311">
                  <c:v>294.07567683820275</c:v>
                </c:pt>
                <c:pt idx="312">
                  <c:v>293.56071179446627</c:v>
                </c:pt>
                <c:pt idx="313">
                  <c:v>293.04621849267909</c:v>
                </c:pt>
                <c:pt idx="314">
                  <c:v>292.53219393485313</c:v>
                </c:pt>
                <c:pt idx="315">
                  <c:v>292.01863514031936</c:v>
                </c:pt>
                <c:pt idx="316">
                  <c:v>291.50553914571321</c:v>
                </c:pt>
                <c:pt idx="317">
                  <c:v>290.9929030049604</c:v>
                </c:pt>
                <c:pt idx="318">
                  <c:v>290.48072378925804</c:v>
                </c:pt>
                <c:pt idx="319">
                  <c:v>289.96983710695037</c:v>
                </c:pt>
                <c:pt idx="320">
                  <c:v>289.46112368037041</c:v>
                </c:pt>
                <c:pt idx="321">
                  <c:v>288.95309903752587</c:v>
                </c:pt>
                <c:pt idx="322">
                  <c:v>288.4457216770686</c:v>
                </c:pt>
                <c:pt idx="323">
                  <c:v>287.93898815899672</c:v>
                </c:pt>
                <c:pt idx="324">
                  <c:v>287.43289505273788</c:v>
                </c:pt>
                <c:pt idx="325">
                  <c:v>286.92743893733007</c:v>
                </c:pt>
                <c:pt idx="326">
                  <c:v>286.42261640159836</c:v>
                </c:pt>
                <c:pt idx="327">
                  <c:v>285.82810986423675</c:v>
                </c:pt>
                <c:pt idx="328">
                  <c:v>285.05046509097673</c:v>
                </c:pt>
                <c:pt idx="329">
                  <c:v>284.26837012792402</c:v>
                </c:pt>
                <c:pt idx="330">
                  <c:v>283.49025602326816</c:v>
                </c:pt>
                <c:pt idx="331">
                  <c:v>282.71909831405998</c:v>
                </c:pt>
                <c:pt idx="332">
                  <c:v>281.95916692688354</c:v>
                </c:pt>
                <c:pt idx="333">
                  <c:v>281.21912399817307</c:v>
                </c:pt>
                <c:pt idx="334">
                  <c:v>280.48035283207798</c:v>
                </c:pt>
                <c:pt idx="335">
                  <c:v>279.74240099205713</c:v>
                </c:pt>
                <c:pt idx="336">
                  <c:v>279.00527034632461</c:v>
                </c:pt>
                <c:pt idx="337">
                  <c:v>278.26896274438263</c:v>
                </c:pt>
                <c:pt idx="338">
                  <c:v>277.53348001676812</c:v>
                </c:pt>
                <c:pt idx="339">
                  <c:v>276.79882397480054</c:v>
                </c:pt>
                <c:pt idx="340">
                  <c:v>276.06499641033122</c:v>
                </c:pt>
                <c:pt idx="341">
                  <c:v>275.33199909549319</c:v>
                </c:pt>
                <c:pt idx="342">
                  <c:v>274.59983378245437</c:v>
                </c:pt>
                <c:pt idx="343">
                  <c:v>273.74046103874588</c:v>
                </c:pt>
                <c:pt idx="344">
                  <c:v>272.62790649638504</c:v>
                </c:pt>
                <c:pt idx="345">
                  <c:v>271.50735124843391</c:v>
                </c:pt>
                <c:pt idx="346">
                  <c:v>270.38421172009544</c:v>
                </c:pt>
                <c:pt idx="347">
                  <c:v>269.26140313615412</c:v>
                </c:pt>
                <c:pt idx="348">
                  <c:v>268.13900577597269</c:v>
                </c:pt>
                <c:pt idx="349">
                  <c:v>267.01702500786899</c:v>
                </c:pt>
                <c:pt idx="350">
                  <c:v>265.89546628746393</c:v>
                </c:pt>
                <c:pt idx="351">
                  <c:v>264.77433515930943</c:v>
                </c:pt>
                <c:pt idx="352">
                  <c:v>263.65363725854803</c:v>
                </c:pt>
                <c:pt idx="353">
                  <c:v>262.53337831260438</c:v>
                </c:pt>
                <c:pt idx="354">
                  <c:v>261.42126022647511</c:v>
                </c:pt>
                <c:pt idx="355">
                  <c:v>260.32521814010369</c:v>
                </c:pt>
                <c:pt idx="356">
                  <c:v>259.22979537423396</c:v>
                </c:pt>
                <c:pt idx="357">
                  <c:v>258.13451712733024</c:v>
                </c:pt>
                <c:pt idx="358">
                  <c:v>257.03938546268563</c:v>
                </c:pt>
                <c:pt idx="359">
                  <c:v>255.94440248221224</c:v>
                </c:pt>
                <c:pt idx="360">
                  <c:v>254.84957032732845</c:v>
                </c:pt>
                <c:pt idx="361">
                  <c:v>253.75489117986962</c:v>
                </c:pt>
                <c:pt idx="362">
                  <c:v>252.66036726302377</c:v>
                </c:pt>
                <c:pt idx="363">
                  <c:v>251.56600084229228</c:v>
                </c:pt>
                <c:pt idx="364">
                  <c:v>250.47179422647702</c:v>
                </c:pt>
                <c:pt idx="365">
                  <c:v>249.37774976869497</c:v>
                </c:pt>
                <c:pt idx="366">
                  <c:v>248.28386986741936</c:v>
                </c:pt>
                <c:pt idx="367">
                  <c:v>247.19015696755122</c:v>
                </c:pt>
                <c:pt idx="368">
                  <c:v>246.09661356151923</c:v>
                </c:pt>
                <c:pt idx="369">
                  <c:v>245.00324219041096</c:v>
                </c:pt>
                <c:pt idx="370">
                  <c:v>243.91004544513515</c:v>
                </c:pt>
                <c:pt idx="371">
                  <c:v>242.81702596761667</c:v>
                </c:pt>
                <c:pt idx="372">
                  <c:v>241.72418645202521</c:v>
                </c:pt>
                <c:pt idx="373">
                  <c:v>240.63152964603813</c:v>
                </c:pt>
                <c:pt idx="374">
                  <c:v>239.53905835213993</c:v>
                </c:pt>
                <c:pt idx="375">
                  <c:v>238.44677542895724</c:v>
                </c:pt>
                <c:pt idx="376">
                  <c:v>237.35468379263298</c:v>
                </c:pt>
                <c:pt idx="377">
                  <c:v>236.26377766271105</c:v>
                </c:pt>
                <c:pt idx="378">
                  <c:v>235.17499839404752</c:v>
                </c:pt>
                <c:pt idx="379">
                  <c:v>234.08650666735662</c:v>
                </c:pt>
                <c:pt idx="380">
                  <c:v>232.99825911296352</c:v>
                </c:pt>
                <c:pt idx="381">
                  <c:v>231.90930772871451</c:v>
                </c:pt>
                <c:pt idx="382">
                  <c:v>230.81866543999288</c:v>
                </c:pt>
                <c:pt idx="383">
                  <c:v>229.72820931761578</c:v>
                </c:pt>
                <c:pt idx="384">
                  <c:v>228.63799963575732</c:v>
                </c:pt>
                <c:pt idx="385">
                  <c:v>227.57748712168257</c:v>
                </c:pt>
                <c:pt idx="386">
                  <c:v>226.57643114421955</c:v>
                </c:pt>
                <c:pt idx="387">
                  <c:v>225.57756919086688</c:v>
                </c:pt>
                <c:pt idx="388">
                  <c:v>224.57925421116249</c:v>
                </c:pt>
                <c:pt idx="389">
                  <c:v>223.58608915263369</c:v>
                </c:pt>
                <c:pt idx="390">
                  <c:v>222.60639719494333</c:v>
                </c:pt>
                <c:pt idx="391">
                  <c:v>221.63528677221609</c:v>
                </c:pt>
                <c:pt idx="392">
                  <c:v>220.66494482310625</c:v>
                </c:pt>
                <c:pt idx="393">
                  <c:v>219.69518505017049</c:v>
                </c:pt>
                <c:pt idx="394">
                  <c:v>218.72601632441132</c:v>
                </c:pt>
                <c:pt idx="395">
                  <c:v>217.75744768148903</c:v>
                </c:pt>
                <c:pt idx="396">
                  <c:v>216.78948832509508</c:v>
                </c:pt>
                <c:pt idx="397">
                  <c:v>215.82163130044029</c:v>
                </c:pt>
                <c:pt idx="398">
                  <c:v>214.85339917734996</c:v>
                </c:pt>
                <c:pt idx="399">
                  <c:v>213.88578700609531</c:v>
                </c:pt>
                <c:pt idx="400">
                  <c:v>212.91883150853363</c:v>
                </c:pt>
                <c:pt idx="401">
                  <c:v>211.95254343895425</c:v>
                </c:pt>
                <c:pt idx="402">
                  <c:v>210.98693376591547</c:v>
                </c:pt>
                <c:pt idx="403">
                  <c:v>210.08764635692239</c:v>
                </c:pt>
                <c:pt idx="404">
                  <c:v>209.31609357351601</c:v>
                </c:pt>
                <c:pt idx="405">
                  <c:v>208.54797318035452</c:v>
                </c:pt>
                <c:pt idx="406">
                  <c:v>207.783874867154</c:v>
                </c:pt>
                <c:pt idx="407">
                  <c:v>207.02758158698822</c:v>
                </c:pt>
                <c:pt idx="408">
                  <c:v>206.27154910566642</c:v>
                </c:pt>
                <c:pt idx="409">
                  <c:v>205.51556094188879</c:v>
                </c:pt>
                <c:pt idx="410">
                  <c:v>204.75961760639862</c:v>
                </c:pt>
                <c:pt idx="411">
                  <c:v>204.00371961771654</c:v>
                </c:pt>
                <c:pt idx="412">
                  <c:v>203.24786750228614</c:v>
                </c:pt>
                <c:pt idx="413">
                  <c:v>202.49206179462448</c:v>
                </c:pt>
                <c:pt idx="414">
                  <c:v>201.73630303747467</c:v>
                </c:pt>
                <c:pt idx="415">
                  <c:v>200.98059178196326</c:v>
                </c:pt>
                <c:pt idx="416">
                  <c:v>200.22492858775968</c:v>
                </c:pt>
                <c:pt idx="417">
                  <c:v>199.46931402324074</c:v>
                </c:pt>
                <c:pt idx="418">
                  <c:v>198.71374866565776</c:v>
                </c:pt>
                <c:pt idx="419">
                  <c:v>197.95823310130822</c:v>
                </c:pt>
                <c:pt idx="420">
                  <c:v>197.20276792571102</c:v>
                </c:pt>
                <c:pt idx="421">
                  <c:v>196.44735374378556</c:v>
                </c:pt>
                <c:pt idx="422">
                  <c:v>195.69199117003583</c:v>
                </c:pt>
                <c:pt idx="423">
                  <c:v>194.93668082873751</c:v>
                </c:pt>
                <c:pt idx="424">
                  <c:v>194.18142335413057</c:v>
                </c:pt>
                <c:pt idx="425">
                  <c:v>193.42621939061547</c:v>
                </c:pt>
                <c:pt idx="426">
                  <c:v>192.67106959295432</c:v>
                </c:pt>
                <c:pt idx="427">
                  <c:v>191.91597462647721</c:v>
                </c:pt>
                <c:pt idx="428">
                  <c:v>191.16093516729262</c:v>
                </c:pt>
                <c:pt idx="429">
                  <c:v>190.40595190250306</c:v>
                </c:pt>
                <c:pt idx="430">
                  <c:v>189.65102553042595</c:v>
                </c:pt>
                <c:pt idx="431">
                  <c:v>188.89615676081996</c:v>
                </c:pt>
                <c:pt idx="432">
                  <c:v>188.1413463151161</c:v>
                </c:pt>
                <c:pt idx="433">
                  <c:v>187.38659492665522</c:v>
                </c:pt>
                <c:pt idx="434">
                  <c:v>186.63103866813623</c:v>
                </c:pt>
                <c:pt idx="435">
                  <c:v>185.87388191431319</c:v>
                </c:pt>
                <c:pt idx="436">
                  <c:v>185.11717100541784</c:v>
                </c:pt>
                <c:pt idx="437">
                  <c:v>184.36134389895815</c:v>
                </c:pt>
                <c:pt idx="438">
                  <c:v>183.60564458747169</c:v>
                </c:pt>
                <c:pt idx="439">
                  <c:v>182.85005398956673</c:v>
                </c:pt>
                <c:pt idx="440">
                  <c:v>182.09457350925598</c:v>
                </c:pt>
                <c:pt idx="441">
                  <c:v>181.3392045741389</c:v>
                </c:pt>
                <c:pt idx="442">
                  <c:v>180.58394863588427</c:v>
                </c:pt>
                <c:pt idx="443">
                  <c:v>179.82880717072271</c:v>
                </c:pt>
                <c:pt idx="444">
                  <c:v>179.0716619190851</c:v>
                </c:pt>
                <c:pt idx="445">
                  <c:v>178.30305121828846</c:v>
                </c:pt>
                <c:pt idx="446">
                  <c:v>177.51951319137692</c:v>
                </c:pt>
                <c:pt idx="447">
                  <c:v>176.73573075468195</c:v>
                </c:pt>
                <c:pt idx="448">
                  <c:v>175.95209096269599</c:v>
                </c:pt>
                <c:pt idx="449">
                  <c:v>175.16858000214989</c:v>
                </c:pt>
                <c:pt idx="450">
                  <c:v>174.38518883049861</c:v>
                </c:pt>
                <c:pt idx="451">
                  <c:v>173.60195177935597</c:v>
                </c:pt>
                <c:pt idx="452">
                  <c:v>172.81887193066251</c:v>
                </c:pt>
                <c:pt idx="453">
                  <c:v>172.03595161521969</c:v>
                </c:pt>
                <c:pt idx="454">
                  <c:v>171.25319320858409</c:v>
                </c:pt>
                <c:pt idx="455">
                  <c:v>170.4705991321074</c:v>
                </c:pt>
                <c:pt idx="456">
                  <c:v>169.68817185400229</c:v>
                </c:pt>
                <c:pt idx="457">
                  <c:v>168.90591389043888</c:v>
                </c:pt>
                <c:pt idx="458">
                  <c:v>168.12382780666942</c:v>
                </c:pt>
                <c:pt idx="459">
                  <c:v>167.34191621818348</c:v>
                </c:pt>
                <c:pt idx="460">
                  <c:v>166.56018179189493</c:v>
                </c:pt>
                <c:pt idx="461">
                  <c:v>165.78625040752911</c:v>
                </c:pt>
                <c:pt idx="462">
                  <c:v>165.02714627805818</c:v>
                </c:pt>
                <c:pt idx="463">
                  <c:v>164.26859913228776</c:v>
                </c:pt>
                <c:pt idx="464">
                  <c:v>163.51024890381709</c:v>
                </c:pt>
                <c:pt idx="465">
                  <c:v>162.75209848917078</c:v>
                </c:pt>
                <c:pt idx="466">
                  <c:v>162.00031680814232</c:v>
                </c:pt>
                <c:pt idx="467">
                  <c:v>161.26101957648538</c:v>
                </c:pt>
                <c:pt idx="468">
                  <c:v>160.52254956941439</c:v>
                </c:pt>
                <c:pt idx="469">
                  <c:v>159.78459589884966</c:v>
                </c:pt>
                <c:pt idx="470">
                  <c:v>159.04716734036398</c:v>
                </c:pt>
                <c:pt idx="471">
                  <c:v>158.31027285115596</c:v>
                </c:pt>
                <c:pt idx="472">
                  <c:v>157.5739215741948</c:v>
                </c:pt>
                <c:pt idx="473">
                  <c:v>156.83812284245769</c:v>
                </c:pt>
                <c:pt idx="474">
                  <c:v>156.10288618325941</c:v>
                </c:pt>
                <c:pt idx="475">
                  <c:v>155.36822132267648</c:v>
                </c:pt>
                <c:pt idx="476">
                  <c:v>154.63413819006635</c:v>
                </c:pt>
                <c:pt idx="477">
                  <c:v>153.90064692268299</c:v>
                </c:pt>
                <c:pt idx="478">
                  <c:v>153.16775787039094</c:v>
                </c:pt>
                <c:pt idx="479">
                  <c:v>152.43548160047632</c:v>
                </c:pt>
                <c:pt idx="480">
                  <c:v>151.70382890255848</c:v>
                </c:pt>
                <c:pt idx="481">
                  <c:v>150.97281079360044</c:v>
                </c:pt>
                <c:pt idx="482">
                  <c:v>150.24243852302189</c:v>
                </c:pt>
                <c:pt idx="483">
                  <c:v>149.51272357791149</c:v>
                </c:pt>
                <c:pt idx="484">
                  <c:v>148.78367768834218</c:v>
                </c:pt>
                <c:pt idx="485">
                  <c:v>148.05531283278773</c:v>
                </c:pt>
                <c:pt idx="486">
                  <c:v>147.32764124364189</c:v>
                </c:pt>
                <c:pt idx="487">
                  <c:v>146.60067541283826</c:v>
                </c:pt>
                <c:pt idx="488">
                  <c:v>145.88178820669677</c:v>
                </c:pt>
                <c:pt idx="489">
                  <c:v>145.17796159204096</c:v>
                </c:pt>
                <c:pt idx="490">
                  <c:v>144.47578587951401</c:v>
                </c:pt>
                <c:pt idx="491">
                  <c:v>143.78246373812914</c:v>
                </c:pt>
                <c:pt idx="492">
                  <c:v>143.10537968774781</c:v>
                </c:pt>
                <c:pt idx="493">
                  <c:v>142.43050767847149</c:v>
                </c:pt>
                <c:pt idx="494">
                  <c:v>141.75752177257502</c:v>
                </c:pt>
                <c:pt idx="495">
                  <c:v>141.08647420353952</c:v>
                </c:pt>
                <c:pt idx="496">
                  <c:v>140.41741885272427</c:v>
                </c:pt>
                <c:pt idx="497">
                  <c:v>139.76929113453201</c:v>
                </c:pt>
                <c:pt idx="498">
                  <c:v>139.15898117017557</c:v>
                </c:pt>
                <c:pt idx="499">
                  <c:v>138.55114567173601</c:v>
                </c:pt>
                <c:pt idx="500">
                  <c:v>137.94494564144446</c:v>
                </c:pt>
                <c:pt idx="501">
                  <c:v>137.39149462489399</c:v>
                </c:pt>
                <c:pt idx="502">
                  <c:v>136.93280208985149</c:v>
                </c:pt>
                <c:pt idx="503">
                  <c:v>136.47338383792996</c:v>
                </c:pt>
                <c:pt idx="504">
                  <c:v>136.01429315104403</c:v>
                </c:pt>
                <c:pt idx="505">
                  <c:v>135.55563420258204</c:v>
                </c:pt>
                <c:pt idx="506">
                  <c:v>135.09742267731295</c:v>
                </c:pt>
                <c:pt idx="507">
                  <c:v>134.63967501102604</c:v>
                </c:pt>
                <c:pt idx="508">
                  <c:v>134.18240843485449</c:v>
                </c:pt>
                <c:pt idx="509">
                  <c:v>133.72564102268416</c:v>
                </c:pt>
                <c:pt idx="510">
                  <c:v>133.26939174189076</c:v>
                </c:pt>
                <c:pt idx="511">
                  <c:v>132.8136805076727</c:v>
                </c:pt>
                <c:pt idx="512">
                  <c:v>132.35852824126778</c:v>
                </c:pt>
                <c:pt idx="513">
                  <c:v>131.90395693237221</c:v>
                </c:pt>
                <c:pt idx="514">
                  <c:v>131.47457925960308</c:v>
                </c:pt>
                <c:pt idx="515">
                  <c:v>131.09221301168571</c:v>
                </c:pt>
                <c:pt idx="516">
                  <c:v>130.71130209205032</c:v>
                </c:pt>
                <c:pt idx="517">
                  <c:v>130.33075040642737</c:v>
                </c:pt>
                <c:pt idx="518">
                  <c:v>129.95057129561934</c:v>
                </c:pt>
                <c:pt idx="519">
                  <c:v>129.5707787547482</c:v>
                </c:pt>
                <c:pt idx="520">
                  <c:v>129.19138747290407</c:v>
                </c:pt>
                <c:pt idx="521">
                  <c:v>128.81241287563623</c:v>
                </c:pt>
                <c:pt idx="522">
                  <c:v>128.43387117051549</c:v>
                </c:pt>
                <c:pt idx="523">
                  <c:v>128.05577939602665</c:v>
                </c:pt>
                <c:pt idx="524">
                  <c:v>127.67815547406462</c:v>
                </c:pt>
                <c:pt idx="525">
                  <c:v>127.29936959870533</c:v>
                </c:pt>
                <c:pt idx="526">
                  <c:v>126.91801495305992</c:v>
                </c:pt>
                <c:pt idx="527">
                  <c:v>126.53735833583372</c:v>
                </c:pt>
                <c:pt idx="528">
                  <c:v>126.15751752875151</c:v>
                </c:pt>
                <c:pt idx="529">
                  <c:v>125.77852636837406</c:v>
                </c:pt>
                <c:pt idx="530">
                  <c:v>125.40042050099456</c:v>
                </c:pt>
                <c:pt idx="531">
                  <c:v>125.02323749860757</c:v>
                </c:pt>
                <c:pt idx="532">
                  <c:v>124.64701698329424</c:v>
                </c:pt>
                <c:pt idx="533">
                  <c:v>124.27180076067505</c:v>
                </c:pt>
                <c:pt idx="534">
                  <c:v>123.89763296313312</c:v>
                </c:pt>
                <c:pt idx="535">
                  <c:v>123.52456020356172</c:v>
                </c:pt>
                <c:pt idx="536">
                  <c:v>123.15263174044566</c:v>
                </c:pt>
                <c:pt idx="537">
                  <c:v>122.7818996551411</c:v>
                </c:pt>
                <c:pt idx="538">
                  <c:v>122.41241904228302</c:v>
                </c:pt>
                <c:pt idx="539">
                  <c:v>122.04424821430254</c:v>
                </c:pt>
                <c:pt idx="540">
                  <c:v>121.67744892110744</c:v>
                </c:pt>
                <c:pt idx="541">
                  <c:v>121.31208658603182</c:v>
                </c:pt>
                <c:pt idx="542">
                  <c:v>120.9482305592297</c:v>
                </c:pt>
                <c:pt idx="543">
                  <c:v>120.58595438973849</c:v>
                </c:pt>
                <c:pt idx="544">
                  <c:v>120.22533611749162</c:v>
                </c:pt>
                <c:pt idx="545">
                  <c:v>119.86645858660926</c:v>
                </c:pt>
                <c:pt idx="546">
                  <c:v>119.49144960074607</c:v>
                </c:pt>
                <c:pt idx="547">
                  <c:v>119.08420108188169</c:v>
                </c:pt>
                <c:pt idx="548">
                  <c:v>118.65906549012414</c:v>
                </c:pt>
                <c:pt idx="549">
                  <c:v>118.19621649892788</c:v>
                </c:pt>
                <c:pt idx="550">
                  <c:v>117.73434182520529</c:v>
                </c:pt>
                <c:pt idx="551">
                  <c:v>117.27460139748322</c:v>
                </c:pt>
                <c:pt idx="552">
                  <c:v>116.81708347878684</c:v>
                </c:pt>
                <c:pt idx="553">
                  <c:v>116.36230716498301</c:v>
                </c:pt>
                <c:pt idx="554">
                  <c:v>115.91033599870497</c:v>
                </c:pt>
                <c:pt idx="555">
                  <c:v>115.46018797952284</c:v>
                </c:pt>
                <c:pt idx="556">
                  <c:v>115.01190644817677</c:v>
                </c:pt>
                <c:pt idx="557">
                  <c:v>114.56464806233814</c:v>
                </c:pt>
                <c:pt idx="558">
                  <c:v>114.11759936819762</c:v>
                </c:pt>
                <c:pt idx="559">
                  <c:v>113.71995982564974</c:v>
                </c:pt>
                <c:pt idx="560">
                  <c:v>113.41786833152747</c:v>
                </c:pt>
                <c:pt idx="561">
                  <c:v>113.12082126507714</c:v>
                </c:pt>
                <c:pt idx="562">
                  <c:v>112.82640544434531</c:v>
                </c:pt>
                <c:pt idx="563">
                  <c:v>112.53467035762391</c:v>
                </c:pt>
                <c:pt idx="564">
                  <c:v>112.29620278609167</c:v>
                </c:pt>
                <c:pt idx="565">
                  <c:v>112.16255874871861</c:v>
                </c:pt>
                <c:pt idx="566">
                  <c:v>112.03374595367565</c:v>
                </c:pt>
                <c:pt idx="567">
                  <c:v>111.90677173922359</c:v>
                </c:pt>
                <c:pt idx="568">
                  <c:v>111.78163793114157</c:v>
                </c:pt>
                <c:pt idx="569">
                  <c:v>111.6583457341697</c:v>
                </c:pt>
                <c:pt idx="570">
                  <c:v>111.53689572997207</c:v>
                </c:pt>
                <c:pt idx="571">
                  <c:v>111.4172878761525</c:v>
                </c:pt>
                <c:pt idx="572">
                  <c:v>111.29952150632478</c:v>
                </c:pt>
                <c:pt idx="573">
                  <c:v>111.18359533124266</c:v>
                </c:pt>
                <c:pt idx="574">
                  <c:v>111.0695074409779</c:v>
                </c:pt>
                <c:pt idx="575">
                  <c:v>110.95725530814416</c:v>
                </c:pt>
                <c:pt idx="576">
                  <c:v>110.84683579215002</c:v>
                </c:pt>
                <c:pt idx="577">
                  <c:v>110.73824514446603</c:v>
                </c:pt>
                <c:pt idx="578">
                  <c:v>110.63147901488506</c:v>
                </c:pt>
                <c:pt idx="579">
                  <c:v>110.52653245875246</c:v>
                </c:pt>
                <c:pt idx="580">
                  <c:v>110.423399945136</c:v>
                </c:pt>
                <c:pt idx="581">
                  <c:v>110.32207536590791</c:v>
                </c:pt>
                <c:pt idx="582">
                  <c:v>110.22162661206295</c:v>
                </c:pt>
                <c:pt idx="583">
                  <c:v>110.12207868035095</c:v>
                </c:pt>
                <c:pt idx="584">
                  <c:v>110.03617208630666</c:v>
                </c:pt>
                <c:pt idx="585">
                  <c:v>109.97434530157594</c:v>
                </c:pt>
                <c:pt idx="586">
                  <c:v>109.90407330091233</c:v>
                </c:pt>
                <c:pt idx="587">
                  <c:v>109.81089210232292</c:v>
                </c:pt>
                <c:pt idx="588">
                  <c:v>109.72853119843096</c:v>
                </c:pt>
                <c:pt idx="589">
                  <c:v>109.66728496062179</c:v>
                </c:pt>
                <c:pt idx="590">
                  <c:v>109.60714620919286</c:v>
                </c:pt>
                <c:pt idx="591">
                  <c:v>109.54760456241829</c:v>
                </c:pt>
                <c:pt idx="592">
                  <c:v>109.48868517833428</c:v>
                </c:pt>
                <c:pt idx="593">
                  <c:v>109.43041456730488</c:v>
                </c:pt>
                <c:pt idx="594">
                  <c:v>109.37282067780673</c:v>
                </c:pt>
                <c:pt idx="595">
                  <c:v>109.3159329882306</c:v>
                </c:pt>
                <c:pt idx="596">
                  <c:v>109.25978260511826</c:v>
                </c:pt>
                <c:pt idx="597">
                  <c:v>109.20615014827798</c:v>
                </c:pt>
                <c:pt idx="598">
                  <c:v>109.1564120801342</c:v>
                </c:pt>
                <c:pt idx="599">
                  <c:v>109.1070664047258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8F-4B34-9FBA-D326FED4EC62}"/>
            </c:ext>
          </c:extLst>
        </c:ser>
        <c:ser>
          <c:idx val="2"/>
          <c:order val="5"/>
          <c:tx>
            <c:strRef>
              <c:f>'REGAP Mesmos Parametros'!$AD$32</c:f>
              <c:strCache>
                <c:ptCount val="1"/>
                <c:pt idx="0">
                  <c:v>M-Dp</c:v>
                </c:pt>
              </c:strCache>
            </c:strRef>
          </c:tx>
          <c:spPr>
            <a:ln w="12700">
              <a:prstDash val="sysDot"/>
            </a:ln>
          </c:spPr>
          <c:marker>
            <c:symbol val="none"/>
          </c:marker>
          <c:xVal>
            <c:numRef>
              <c:f>'REGAP Mesmos Parametros'!$Z$32:$Z$631</c:f>
              <c:numCache>
                <c:formatCode>General</c:formatCode>
                <c:ptCount val="6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</c:numCache>
            </c:numRef>
          </c:xVal>
          <c:yVal>
            <c:numRef>
              <c:f>'REGAP Mesmos Parametros'!$AD$33:$AD$632</c:f>
              <c:numCache>
                <c:formatCode>0.0000</c:formatCode>
                <c:ptCount val="600"/>
                <c:pt idx="0">
                  <c:v>392.92329813149024</c:v>
                </c:pt>
                <c:pt idx="1">
                  <c:v>392.89918916819084</c:v>
                </c:pt>
                <c:pt idx="2">
                  <c:v>392.8700656322236</c:v>
                </c:pt>
                <c:pt idx="3">
                  <c:v>392.83226176439791</c:v>
                </c:pt>
                <c:pt idx="4">
                  <c:v>392.79345563882379</c:v>
                </c:pt>
                <c:pt idx="5">
                  <c:v>392.75382693225538</c:v>
                </c:pt>
                <c:pt idx="6">
                  <c:v>392.71336922116018</c:v>
                </c:pt>
                <c:pt idx="7">
                  <c:v>392.67207609220299</c:v>
                </c:pt>
                <c:pt idx="8">
                  <c:v>392.62994114437174</c:v>
                </c:pt>
                <c:pt idx="9">
                  <c:v>392.58695799114673</c:v>
                </c:pt>
                <c:pt idx="10">
                  <c:v>392.54312026271054</c:v>
                </c:pt>
                <c:pt idx="11">
                  <c:v>392.49418458588389</c:v>
                </c:pt>
                <c:pt idx="12">
                  <c:v>392.43156159772417</c:v>
                </c:pt>
                <c:pt idx="13">
                  <c:v>392.35857070210977</c:v>
                </c:pt>
                <c:pt idx="14">
                  <c:v>392.28471447886136</c:v>
                </c:pt>
                <c:pt idx="15">
                  <c:v>392.21016836890988</c:v>
                </c:pt>
                <c:pt idx="16">
                  <c:v>392.13492489943985</c:v>
                </c:pt>
                <c:pt idx="17">
                  <c:v>392.05897654589245</c:v>
                </c:pt>
                <c:pt idx="18">
                  <c:v>391.98231573306879</c:v>
                </c:pt>
                <c:pt idx="19">
                  <c:v>391.90062667355835</c:v>
                </c:pt>
                <c:pt idx="20">
                  <c:v>391.81019246431924</c:v>
                </c:pt>
                <c:pt idx="21">
                  <c:v>391.71900273977366</c:v>
                </c:pt>
                <c:pt idx="22">
                  <c:v>391.62724270907574</c:v>
                </c:pt>
                <c:pt idx="23">
                  <c:v>391.53490578075446</c:v>
                </c:pt>
                <c:pt idx="24">
                  <c:v>391.44198530113874</c:v>
                </c:pt>
                <c:pt idx="25">
                  <c:v>391.34847455468878</c:v>
                </c:pt>
                <c:pt idx="26">
                  <c:v>391.25436676437477</c:v>
                </c:pt>
                <c:pt idx="27">
                  <c:v>391.1596550921044</c:v>
                </c:pt>
                <c:pt idx="28">
                  <c:v>391.06433263920087</c:v>
                </c:pt>
                <c:pt idx="29">
                  <c:v>390.96839244693166</c:v>
                </c:pt>
                <c:pt idx="30">
                  <c:v>390.87182749709348</c:v>
                </c:pt>
                <c:pt idx="31">
                  <c:v>390.77463071265095</c:v>
                </c:pt>
                <c:pt idx="32">
                  <c:v>390.67679495843248</c:v>
                </c:pt>
                <c:pt idx="33">
                  <c:v>390.57831304188721</c:v>
                </c:pt>
                <c:pt idx="34">
                  <c:v>390.47816559063176</c:v>
                </c:pt>
                <c:pt idx="35">
                  <c:v>390.37516478753497</c:v>
                </c:pt>
                <c:pt idx="36">
                  <c:v>390.27101596991702</c:v>
                </c:pt>
                <c:pt idx="37">
                  <c:v>390.16575021999478</c:v>
                </c:pt>
                <c:pt idx="38">
                  <c:v>390.05935362502333</c:v>
                </c:pt>
                <c:pt idx="39">
                  <c:v>389.95181220232536</c:v>
                </c:pt>
                <c:pt idx="40">
                  <c:v>389.84311190453673</c:v>
                </c:pt>
                <c:pt idx="41">
                  <c:v>389.73323862511387</c:v>
                </c:pt>
                <c:pt idx="42">
                  <c:v>389.62217820410223</c:v>
                </c:pt>
                <c:pt idx="43">
                  <c:v>389.5109139083994</c:v>
                </c:pt>
                <c:pt idx="44">
                  <c:v>389.40037127123389</c:v>
                </c:pt>
                <c:pt idx="45">
                  <c:v>389.28880143098195</c:v>
                </c:pt>
                <c:pt idx="46">
                  <c:v>389.17615098742391</c:v>
                </c:pt>
                <c:pt idx="47">
                  <c:v>389.06240561145091</c:v>
                </c:pt>
                <c:pt idx="48">
                  <c:v>388.94755087743152</c:v>
                </c:pt>
                <c:pt idx="49">
                  <c:v>388.83157226803417</c:v>
                </c:pt>
                <c:pt idx="50">
                  <c:v>388.71445517933432</c:v>
                </c:pt>
                <c:pt idx="51">
                  <c:v>388.59618492621541</c:v>
                </c:pt>
                <c:pt idx="52">
                  <c:v>388.47674674806541</c:v>
                </c:pt>
                <c:pt idx="53">
                  <c:v>388.35660497134501</c:v>
                </c:pt>
                <c:pt idx="54">
                  <c:v>388.23611204119959</c:v>
                </c:pt>
                <c:pt idx="55">
                  <c:v>388.11413188721082</c:v>
                </c:pt>
                <c:pt idx="56">
                  <c:v>387.99041773551539</c:v>
                </c:pt>
                <c:pt idx="57">
                  <c:v>387.86546565235278</c:v>
                </c:pt>
                <c:pt idx="58">
                  <c:v>387.73927056776125</c:v>
                </c:pt>
                <c:pt idx="59">
                  <c:v>387.61181734055998</c:v>
                </c:pt>
                <c:pt idx="60">
                  <c:v>387.48309080165785</c:v>
                </c:pt>
                <c:pt idx="61">
                  <c:v>387.35307576230758</c:v>
                </c:pt>
                <c:pt idx="62">
                  <c:v>387.22175702268322</c:v>
                </c:pt>
                <c:pt idx="63">
                  <c:v>387.08806848785179</c:v>
                </c:pt>
                <c:pt idx="64">
                  <c:v>386.95114482385765</c:v>
                </c:pt>
                <c:pt idx="65">
                  <c:v>386.8128576010987</c:v>
                </c:pt>
                <c:pt idx="66">
                  <c:v>386.67323269821975</c:v>
                </c:pt>
                <c:pt idx="67">
                  <c:v>386.53154148204351</c:v>
                </c:pt>
                <c:pt idx="68">
                  <c:v>386.38721810417724</c:v>
                </c:pt>
                <c:pt idx="69">
                  <c:v>386.24149092190021</c:v>
                </c:pt>
                <c:pt idx="70">
                  <c:v>386.09450640794233</c:v>
                </c:pt>
                <c:pt idx="71">
                  <c:v>385.94638461495606</c:v>
                </c:pt>
                <c:pt idx="72">
                  <c:v>385.79688036913313</c:v>
                </c:pt>
                <c:pt idx="73">
                  <c:v>385.64597692868659</c:v>
                </c:pt>
                <c:pt idx="74">
                  <c:v>385.49101701945926</c:v>
                </c:pt>
                <c:pt idx="75">
                  <c:v>385.32963482125177</c:v>
                </c:pt>
                <c:pt idx="76">
                  <c:v>385.16666026308002</c:v>
                </c:pt>
                <c:pt idx="77">
                  <c:v>385.0021962548289</c:v>
                </c:pt>
                <c:pt idx="78">
                  <c:v>384.83623009328414</c:v>
                </c:pt>
                <c:pt idx="79">
                  <c:v>384.66874926161472</c:v>
                </c:pt>
                <c:pt idx="80">
                  <c:v>384.49974144117834</c:v>
                </c:pt>
                <c:pt idx="81">
                  <c:v>384.32919452337683</c:v>
                </c:pt>
                <c:pt idx="82">
                  <c:v>384.15709662154006</c:v>
                </c:pt>
                <c:pt idx="83">
                  <c:v>383.98343608281562</c:v>
                </c:pt>
                <c:pt idx="84">
                  <c:v>383.8082015000399</c:v>
                </c:pt>
                <c:pt idx="85">
                  <c:v>383.63138172356827</c:v>
                </c:pt>
                <c:pt idx="86">
                  <c:v>383.45296587303608</c:v>
                </c:pt>
                <c:pt idx="87">
                  <c:v>383.27294334902842</c:v>
                </c:pt>
                <c:pt idx="88">
                  <c:v>383.0913038446302</c:v>
                </c:pt>
                <c:pt idx="89">
                  <c:v>382.90803735683141</c:v>
                </c:pt>
                <c:pt idx="90">
                  <c:v>382.72313419775958</c:v>
                </c:pt>
                <c:pt idx="91">
                  <c:v>382.53331418215686</c:v>
                </c:pt>
                <c:pt idx="92">
                  <c:v>382.33553269741509</c:v>
                </c:pt>
                <c:pt idx="93">
                  <c:v>382.13560087425753</c:v>
                </c:pt>
                <c:pt idx="94">
                  <c:v>381.93364554920618</c:v>
                </c:pt>
                <c:pt idx="95">
                  <c:v>381.72965815580505</c:v>
                </c:pt>
                <c:pt idx="96">
                  <c:v>381.52363070442561</c:v>
                </c:pt>
                <c:pt idx="97">
                  <c:v>381.31910483479851</c:v>
                </c:pt>
                <c:pt idx="98">
                  <c:v>381.11881356762041</c:v>
                </c:pt>
                <c:pt idx="99">
                  <c:v>380.91662877672815</c:v>
                </c:pt>
                <c:pt idx="100">
                  <c:v>380.71241953551169</c:v>
                </c:pt>
                <c:pt idx="101">
                  <c:v>380.5061728894687</c:v>
                </c:pt>
                <c:pt idx="102">
                  <c:v>380.29787641050132</c:v>
                </c:pt>
                <c:pt idx="103">
                  <c:v>380.0875182152393</c:v>
                </c:pt>
                <c:pt idx="104">
                  <c:v>379.87159463134901</c:v>
                </c:pt>
                <c:pt idx="105">
                  <c:v>379.64700346381113</c:v>
                </c:pt>
                <c:pt idx="106">
                  <c:v>379.42022374095848</c:v>
                </c:pt>
                <c:pt idx="107">
                  <c:v>379.18669669608965</c:v>
                </c:pt>
                <c:pt idx="108">
                  <c:v>378.94243203563161</c:v>
                </c:pt>
                <c:pt idx="109">
                  <c:v>378.69594476381315</c:v>
                </c:pt>
                <c:pt idx="110">
                  <c:v>378.44741523257562</c:v>
                </c:pt>
                <c:pt idx="111">
                  <c:v>378.19682933713773</c:v>
                </c:pt>
                <c:pt idx="112">
                  <c:v>377.94417350430922</c:v>
                </c:pt>
                <c:pt idx="113">
                  <c:v>377.68943471291794</c:v>
                </c:pt>
                <c:pt idx="114">
                  <c:v>377.43260051370072</c:v>
                </c:pt>
                <c:pt idx="115">
                  <c:v>377.17365904858997</c:v>
                </c:pt>
                <c:pt idx="116">
                  <c:v>376.90148797499552</c:v>
                </c:pt>
                <c:pt idx="117">
                  <c:v>376.60658826872935</c:v>
                </c:pt>
                <c:pt idx="118">
                  <c:v>376.30923406151851</c:v>
                </c:pt>
                <c:pt idx="119">
                  <c:v>376.00988456581194</c:v>
                </c:pt>
                <c:pt idx="120">
                  <c:v>375.70631018335382</c:v>
                </c:pt>
                <c:pt idx="121">
                  <c:v>375.39662765297152</c:v>
                </c:pt>
                <c:pt idx="122">
                  <c:v>375.08588675950273</c:v>
                </c:pt>
                <c:pt idx="123">
                  <c:v>374.77498451566908</c:v>
                </c:pt>
                <c:pt idx="124">
                  <c:v>374.46212581169493</c:v>
                </c:pt>
                <c:pt idx="125">
                  <c:v>374.14725462335167</c:v>
                </c:pt>
                <c:pt idx="126">
                  <c:v>373.83035226300422</c:v>
                </c:pt>
                <c:pt idx="127">
                  <c:v>373.51140047969699</c:v>
                </c:pt>
                <c:pt idx="128">
                  <c:v>373.19038148576288</c:v>
                </c:pt>
                <c:pt idx="129">
                  <c:v>372.86727798330691</c:v>
                </c:pt>
                <c:pt idx="130">
                  <c:v>372.54207319049021</c:v>
                </c:pt>
                <c:pt idx="131">
                  <c:v>372.21475086752827</c:v>
                </c:pt>
                <c:pt idx="132">
                  <c:v>371.8852953423189</c:v>
                </c:pt>
                <c:pt idx="133">
                  <c:v>371.55369153561651</c:v>
                </c:pt>
                <c:pt idx="134">
                  <c:v>371.19925796721532</c:v>
                </c:pt>
                <c:pt idx="135">
                  <c:v>370.80495295276774</c:v>
                </c:pt>
                <c:pt idx="136">
                  <c:v>370.40479888572048</c:v>
                </c:pt>
                <c:pt idx="137">
                  <c:v>369.9993746601566</c:v>
                </c:pt>
                <c:pt idx="138">
                  <c:v>369.58862820234179</c:v>
                </c:pt>
                <c:pt idx="139">
                  <c:v>369.17251150369316</c:v>
                </c:pt>
                <c:pt idx="140">
                  <c:v>368.75098082495578</c:v>
                </c:pt>
                <c:pt idx="141">
                  <c:v>368.32399688587714</c:v>
                </c:pt>
                <c:pt idx="142">
                  <c:v>367.89152503853035</c:v>
                </c:pt>
                <c:pt idx="143">
                  <c:v>367.45353542254998</c:v>
                </c:pt>
                <c:pt idx="144">
                  <c:v>367.01000310069776</c:v>
                </c:pt>
                <c:pt idx="145">
                  <c:v>366.56090817333961</c:v>
                </c:pt>
                <c:pt idx="146">
                  <c:v>366.10623587062713</c:v>
                </c:pt>
                <c:pt idx="147">
                  <c:v>365.64597662139096</c:v>
                </c:pt>
                <c:pt idx="148">
                  <c:v>365.18012609800348</c:v>
                </c:pt>
                <c:pt idx="149">
                  <c:v>364.70868523671862</c:v>
                </c:pt>
                <c:pt idx="150">
                  <c:v>364.23166023326911</c:v>
                </c:pt>
                <c:pt idx="151">
                  <c:v>363.6434291367309</c:v>
                </c:pt>
                <c:pt idx="152">
                  <c:v>362.86076599090279</c:v>
                </c:pt>
                <c:pt idx="153">
                  <c:v>362.06353236375685</c:v>
                </c:pt>
                <c:pt idx="154">
                  <c:v>361.25554334172966</c:v>
                </c:pt>
                <c:pt idx="155">
                  <c:v>360.43719983594303</c:v>
                </c:pt>
                <c:pt idx="156">
                  <c:v>359.66350172799838</c:v>
                </c:pt>
                <c:pt idx="157">
                  <c:v>358.97204298927096</c:v>
                </c:pt>
                <c:pt idx="158">
                  <c:v>358.23579682753973</c:v>
                </c:pt>
                <c:pt idx="159">
                  <c:v>357.42686327262413</c:v>
                </c:pt>
                <c:pt idx="160">
                  <c:v>356.5297018878411</c:v>
                </c:pt>
                <c:pt idx="161">
                  <c:v>355.495318813437</c:v>
                </c:pt>
                <c:pt idx="162">
                  <c:v>354.42437370347915</c:v>
                </c:pt>
                <c:pt idx="163">
                  <c:v>353.31849401753328</c:v>
                </c:pt>
                <c:pt idx="164">
                  <c:v>352.17744293065203</c:v>
                </c:pt>
                <c:pt idx="165">
                  <c:v>351.00118415436691</c:v>
                </c:pt>
                <c:pt idx="166">
                  <c:v>349.7898829702329</c:v>
                </c:pt>
                <c:pt idx="167">
                  <c:v>348.54390154134063</c:v>
                </c:pt>
                <c:pt idx="168">
                  <c:v>347.26378880832539</c:v>
                </c:pt>
                <c:pt idx="169">
                  <c:v>345.9502656153723</c:v>
                </c:pt>
                <c:pt idx="170">
                  <c:v>344.60420597809002</c:v>
                </c:pt>
                <c:pt idx="171">
                  <c:v>343.22661557431604</c:v>
                </c:pt>
                <c:pt idx="172">
                  <c:v>341.81860860199146</c:v>
                </c:pt>
                <c:pt idx="173">
                  <c:v>340.33226731032988</c:v>
                </c:pt>
                <c:pt idx="174">
                  <c:v>338.7276354744746</c:v>
                </c:pt>
                <c:pt idx="175">
                  <c:v>337.09143255870248</c:v>
                </c:pt>
                <c:pt idx="176">
                  <c:v>335.42888753743131</c:v>
                </c:pt>
                <c:pt idx="177">
                  <c:v>333.74153970103828</c:v>
                </c:pt>
                <c:pt idx="178">
                  <c:v>332.03086279403595</c:v>
                </c:pt>
                <c:pt idx="179">
                  <c:v>330.31585995237407</c:v>
                </c:pt>
                <c:pt idx="180">
                  <c:v>328.60966843137385</c:v>
                </c:pt>
                <c:pt idx="181">
                  <c:v>326.88224476725941</c:v>
                </c:pt>
                <c:pt idx="182">
                  <c:v>325.13402756925876</c:v>
                </c:pt>
                <c:pt idx="183">
                  <c:v>323.36601808884234</c:v>
                </c:pt>
                <c:pt idx="184">
                  <c:v>321.57920135552234</c:v>
                </c:pt>
                <c:pt idx="185">
                  <c:v>319.77453978248184</c:v>
                </c:pt>
                <c:pt idx="186">
                  <c:v>317.95296803042351</c:v>
                </c:pt>
                <c:pt idx="187">
                  <c:v>316.11538902976304</c:v>
                </c:pt>
                <c:pt idx="188">
                  <c:v>314.26267104387802</c:v>
                </c:pt>
                <c:pt idx="189">
                  <c:v>312.39564564783552</c:v>
                </c:pt>
                <c:pt idx="190">
                  <c:v>310.51510649592848</c:v>
                </c:pt>
                <c:pt idx="191">
                  <c:v>308.6218087555817</c:v>
                </c:pt>
                <c:pt idx="192">
                  <c:v>306.71646909309317</c:v>
                </c:pt>
                <c:pt idx="193">
                  <c:v>304.79976610686987</c:v>
                </c:pt>
                <c:pt idx="194">
                  <c:v>302.87234111518569</c:v>
                </c:pt>
                <c:pt idx="195">
                  <c:v>300.93479921720899</c:v>
                </c:pt>
                <c:pt idx="196">
                  <c:v>298.98771055749813</c:v>
                </c:pt>
                <c:pt idx="197">
                  <c:v>297.03161173495516</c:v>
                </c:pt>
                <c:pt idx="198">
                  <c:v>295.06700730710963</c:v>
                </c:pt>
                <c:pt idx="199">
                  <c:v>293.09437134944653</c:v>
                </c:pt>
                <c:pt idx="200">
                  <c:v>291.11414903725841</c:v>
                </c:pt>
                <c:pt idx="201">
                  <c:v>289.12675822421676</c:v>
                </c:pt>
                <c:pt idx="202">
                  <c:v>287.13259099757431</c:v>
                </c:pt>
                <c:pt idx="203">
                  <c:v>285.13201519472341</c:v>
                </c:pt>
                <c:pt idx="204">
                  <c:v>283.1253758698316</c:v>
                </c:pt>
                <c:pt idx="205">
                  <c:v>281.11299670256312</c:v>
                </c:pt>
                <c:pt idx="206">
                  <c:v>279.09518134354914</c:v>
                </c:pt>
                <c:pt idx="207">
                  <c:v>277.07221469343909</c:v>
                </c:pt>
                <c:pt idx="208">
                  <c:v>275.04436411401389</c:v>
                </c:pt>
                <c:pt idx="209">
                  <c:v>273.01188057120493</c:v>
                </c:pt>
                <c:pt idx="210">
                  <c:v>270.97416991980094</c:v>
                </c:pt>
                <c:pt idx="211">
                  <c:v>268.93079751814059</c:v>
                </c:pt>
                <c:pt idx="212">
                  <c:v>266.88345965460474</c:v>
                </c:pt>
                <c:pt idx="213">
                  <c:v>264.91586626369156</c:v>
                </c:pt>
                <c:pt idx="214">
                  <c:v>263.17266131174392</c:v>
                </c:pt>
                <c:pt idx="215">
                  <c:v>261.56043582715887</c:v>
                </c:pt>
                <c:pt idx="216">
                  <c:v>259.9571144161024</c:v>
                </c:pt>
                <c:pt idx="217">
                  <c:v>258.36995563688879</c:v>
                </c:pt>
                <c:pt idx="218">
                  <c:v>256.77922752190312</c:v>
                </c:pt>
                <c:pt idx="219">
                  <c:v>255.18463906181941</c:v>
                </c:pt>
                <c:pt idx="220">
                  <c:v>253.58631990921583</c:v>
                </c:pt>
                <c:pt idx="221">
                  <c:v>251.98439487688756</c:v>
                </c:pt>
                <c:pt idx="222">
                  <c:v>250.3789841046565</c:v>
                </c:pt>
                <c:pt idx="223">
                  <c:v>248.77020322393659</c:v>
                </c:pt>
                <c:pt idx="224">
                  <c:v>247.15816351954231</c:v>
                </c:pt>
                <c:pt idx="225">
                  <c:v>245.54297208833083</c:v>
                </c:pt>
                <c:pt idx="226">
                  <c:v>243.92473199433059</c:v>
                </c:pt>
                <c:pt idx="227">
                  <c:v>242.30354242009525</c:v>
                </c:pt>
                <c:pt idx="228">
                  <c:v>240.67999658380853</c:v>
                </c:pt>
                <c:pt idx="229">
                  <c:v>239.05463422376138</c:v>
                </c:pt>
                <c:pt idx="230">
                  <c:v>237.42664000005905</c:v>
                </c:pt>
                <c:pt idx="231">
                  <c:v>235.79607642584423</c:v>
                </c:pt>
                <c:pt idx="232">
                  <c:v>234.16302423055549</c:v>
                </c:pt>
                <c:pt idx="233">
                  <c:v>232.54327637562949</c:v>
                </c:pt>
                <c:pt idx="234">
                  <c:v>230.94948459249028</c:v>
                </c:pt>
                <c:pt idx="235">
                  <c:v>229.35423694758543</c:v>
                </c:pt>
                <c:pt idx="236">
                  <c:v>227.75703494460896</c:v>
                </c:pt>
                <c:pt idx="237">
                  <c:v>226.15793582537401</c:v>
                </c:pt>
                <c:pt idx="238">
                  <c:v>224.55624345719596</c:v>
                </c:pt>
                <c:pt idx="239">
                  <c:v>222.951352589327</c:v>
                </c:pt>
                <c:pt idx="240">
                  <c:v>221.344623255724</c:v>
                </c:pt>
                <c:pt idx="241">
                  <c:v>219.7361351056164</c:v>
                </c:pt>
                <c:pt idx="242">
                  <c:v>218.12593797625223</c:v>
                </c:pt>
                <c:pt idx="243">
                  <c:v>216.51407999078444</c:v>
                </c:pt>
                <c:pt idx="244">
                  <c:v>214.90060762383175</c:v>
                </c:pt>
                <c:pt idx="245">
                  <c:v>213.28556576451513</c:v>
                </c:pt>
                <c:pt idx="246">
                  <c:v>211.66899777703131</c:v>
                </c:pt>
                <c:pt idx="247">
                  <c:v>210.05094555885898</c:v>
                </c:pt>
                <c:pt idx="248">
                  <c:v>208.43144959666688</c:v>
                </c:pt>
                <c:pt idx="249">
                  <c:v>206.8105490200129</c:v>
                </c:pt>
                <c:pt idx="250">
                  <c:v>205.18828165290833</c:v>
                </c:pt>
                <c:pt idx="251">
                  <c:v>203.56468406331834</c:v>
                </c:pt>
                <c:pt idx="252">
                  <c:v>201.9397916106922</c:v>
                </c:pt>
                <c:pt idx="253">
                  <c:v>200.31363849157765</c:v>
                </c:pt>
                <c:pt idx="254">
                  <c:v>198.68625778340709</c:v>
                </c:pt>
                <c:pt idx="255">
                  <c:v>197.0576814865195</c:v>
                </c:pt>
                <c:pt idx="256">
                  <c:v>195.42794056448753</c:v>
                </c:pt>
                <c:pt idx="257">
                  <c:v>193.79706498282033</c:v>
                </c:pt>
                <c:pt idx="258">
                  <c:v>192.16508374610373</c:v>
                </c:pt>
                <c:pt idx="259">
                  <c:v>190.53202493363892</c:v>
                </c:pt>
                <c:pt idx="260">
                  <c:v>188.89791573364684</c:v>
                </c:pt>
                <c:pt idx="261">
                  <c:v>187.26278247609054</c:v>
                </c:pt>
                <c:pt idx="262">
                  <c:v>185.62665066417628</c:v>
                </c:pt>
                <c:pt idx="263">
                  <c:v>184.07232958174831</c:v>
                </c:pt>
                <c:pt idx="264">
                  <c:v>182.66600738064179</c:v>
                </c:pt>
                <c:pt idx="265">
                  <c:v>181.26040150232751</c:v>
                </c:pt>
                <c:pt idx="266">
                  <c:v>179.85246311394388</c:v>
                </c:pt>
                <c:pt idx="267">
                  <c:v>178.44223632290016</c:v>
                </c:pt>
                <c:pt idx="268">
                  <c:v>177.03482317138662</c:v>
                </c:pt>
                <c:pt idx="269">
                  <c:v>175.63501395587019</c:v>
                </c:pt>
                <c:pt idx="270">
                  <c:v>174.23335208292264</c:v>
                </c:pt>
                <c:pt idx="271">
                  <c:v>172.87512171715116</c:v>
                </c:pt>
                <c:pt idx="272">
                  <c:v>171.60476765131406</c:v>
                </c:pt>
                <c:pt idx="273">
                  <c:v>170.34445459621179</c:v>
                </c:pt>
                <c:pt idx="274">
                  <c:v>169.101655917183</c:v>
                </c:pt>
                <c:pt idx="275">
                  <c:v>167.87645408293355</c:v>
                </c:pt>
                <c:pt idx="276">
                  <c:v>166.68714627214717</c:v>
                </c:pt>
                <c:pt idx="277">
                  <c:v>165.49656203056352</c:v>
                </c:pt>
                <c:pt idx="278">
                  <c:v>164.30376143562432</c:v>
                </c:pt>
                <c:pt idx="279">
                  <c:v>163.10877591275158</c:v>
                </c:pt>
                <c:pt idx="280">
                  <c:v>161.91163648675001</c:v>
                </c:pt>
                <c:pt idx="281">
                  <c:v>160.71237378223813</c:v>
                </c:pt>
                <c:pt idx="282">
                  <c:v>159.51101802436779</c:v>
                </c:pt>
                <c:pt idx="283">
                  <c:v>158.31474681767747</c:v>
                </c:pt>
                <c:pt idx="284">
                  <c:v>157.1308073761324</c:v>
                </c:pt>
                <c:pt idx="285">
                  <c:v>155.94531700576124</c:v>
                </c:pt>
                <c:pt idx="286">
                  <c:v>154.75789810554423</c:v>
                </c:pt>
                <c:pt idx="287">
                  <c:v>153.56857447617574</c:v>
                </c:pt>
                <c:pt idx="288">
                  <c:v>152.37736966843624</c:v>
                </c:pt>
                <c:pt idx="289">
                  <c:v>151.28531482998517</c:v>
                </c:pt>
                <c:pt idx="290">
                  <c:v>150.37252511184931</c:v>
                </c:pt>
                <c:pt idx="291">
                  <c:v>149.4619330024972</c:v>
                </c:pt>
                <c:pt idx="292">
                  <c:v>148.54995780428067</c:v>
                </c:pt>
                <c:pt idx="293">
                  <c:v>147.63660850691741</c:v>
                </c:pt>
                <c:pt idx="294">
                  <c:v>146.72189409455211</c:v>
                </c:pt>
                <c:pt idx="295">
                  <c:v>145.80582354424604</c:v>
                </c:pt>
                <c:pt idx="296">
                  <c:v>144.88840582449876</c:v>
                </c:pt>
                <c:pt idx="297">
                  <c:v>143.99202011435904</c:v>
                </c:pt>
                <c:pt idx="298">
                  <c:v>143.13829830288444</c:v>
                </c:pt>
                <c:pt idx="299">
                  <c:v>142.28517455648674</c:v>
                </c:pt>
                <c:pt idx="300">
                  <c:v>141.43153851709945</c:v>
                </c:pt>
                <c:pt idx="301">
                  <c:v>140.57739340784281</c:v>
                </c:pt>
                <c:pt idx="302">
                  <c:v>139.72274243459293</c:v>
                </c:pt>
                <c:pt idx="303">
                  <c:v>138.86758878595973</c:v>
                </c:pt>
                <c:pt idx="304">
                  <c:v>138.01193563326527</c:v>
                </c:pt>
                <c:pt idx="305">
                  <c:v>137.1557861305273</c:v>
                </c:pt>
                <c:pt idx="306">
                  <c:v>136.29914341444444</c:v>
                </c:pt>
                <c:pt idx="307">
                  <c:v>135.44201060438596</c:v>
                </c:pt>
                <c:pt idx="308">
                  <c:v>134.58439080238281</c:v>
                </c:pt>
                <c:pt idx="309">
                  <c:v>133.72628709312232</c:v>
                </c:pt>
                <c:pt idx="310">
                  <c:v>132.86770254394656</c:v>
                </c:pt>
                <c:pt idx="311">
                  <c:v>132.0086402048517</c:v>
                </c:pt>
                <c:pt idx="312">
                  <c:v>131.14910310849126</c:v>
                </c:pt>
                <c:pt idx="313">
                  <c:v>130.28909427018147</c:v>
                </c:pt>
                <c:pt idx="314">
                  <c:v>129.42861668791056</c:v>
                </c:pt>
                <c:pt idx="315">
                  <c:v>128.56767334234743</c:v>
                </c:pt>
                <c:pt idx="316">
                  <c:v>127.7062671968567</c:v>
                </c:pt>
                <c:pt idx="317">
                  <c:v>126.84440119751254</c:v>
                </c:pt>
                <c:pt idx="318">
                  <c:v>125.98207827311792</c:v>
                </c:pt>
                <c:pt idx="319">
                  <c:v>125.14080192755517</c:v>
                </c:pt>
                <c:pt idx="320">
                  <c:v>124.33967589085985</c:v>
                </c:pt>
                <c:pt idx="321">
                  <c:v>123.53886861654183</c:v>
                </c:pt>
                <c:pt idx="322">
                  <c:v>122.73741405983665</c:v>
                </c:pt>
                <c:pt idx="323">
                  <c:v>121.93531566074603</c:v>
                </c:pt>
                <c:pt idx="324">
                  <c:v>121.13257684984239</c:v>
                </c:pt>
                <c:pt idx="325">
                  <c:v>120.32920104808771</c:v>
                </c:pt>
                <c:pt idx="326">
                  <c:v>119.52519166665699</c:v>
                </c:pt>
                <c:pt idx="327">
                  <c:v>118.74617300570587</c:v>
                </c:pt>
                <c:pt idx="328">
                  <c:v>118.01851879934141</c:v>
                </c:pt>
                <c:pt idx="329">
                  <c:v>117.29145359933545</c:v>
                </c:pt>
                <c:pt idx="330">
                  <c:v>116.57627526594202</c:v>
                </c:pt>
                <c:pt idx="331">
                  <c:v>115.88513068442482</c:v>
                </c:pt>
                <c:pt idx="332">
                  <c:v>115.22161365897855</c:v>
                </c:pt>
                <c:pt idx="333">
                  <c:v>114.61037375212887</c:v>
                </c:pt>
                <c:pt idx="334">
                  <c:v>113.99958600380361</c:v>
                </c:pt>
                <c:pt idx="335">
                  <c:v>113.38797892940407</c:v>
                </c:pt>
                <c:pt idx="336">
                  <c:v>112.77555066071626</c:v>
                </c:pt>
                <c:pt idx="337">
                  <c:v>112.16229934823782</c:v>
                </c:pt>
                <c:pt idx="338">
                  <c:v>111.54822316143195</c:v>
                </c:pt>
                <c:pt idx="339">
                  <c:v>110.93332028897912</c:v>
                </c:pt>
                <c:pt idx="340">
                  <c:v>110.3175889390281</c:v>
                </c:pt>
                <c:pt idx="341">
                  <c:v>109.70102733944574</c:v>
                </c:pt>
                <c:pt idx="342">
                  <c:v>109.08363373806419</c:v>
                </c:pt>
                <c:pt idx="343">
                  <c:v>108.504034869026</c:v>
                </c:pt>
                <c:pt idx="344">
                  <c:v>108.00042460618938</c:v>
                </c:pt>
                <c:pt idx="345">
                  <c:v>107.52604770650608</c:v>
                </c:pt>
                <c:pt idx="346">
                  <c:v>107.10448673674234</c:v>
                </c:pt>
                <c:pt idx="347">
                  <c:v>106.68385611692008</c:v>
                </c:pt>
                <c:pt idx="348">
                  <c:v>106.26281427333798</c:v>
                </c:pt>
                <c:pt idx="349">
                  <c:v>105.84135583767812</c:v>
                </c:pt>
                <c:pt idx="350">
                  <c:v>105.41947535431959</c:v>
                </c:pt>
                <c:pt idx="351">
                  <c:v>104.99716727871063</c:v>
                </c:pt>
                <c:pt idx="352">
                  <c:v>104.57442597570844</c:v>
                </c:pt>
                <c:pt idx="353">
                  <c:v>104.15124571788863</c:v>
                </c:pt>
                <c:pt idx="354">
                  <c:v>103.74853489321282</c:v>
                </c:pt>
                <c:pt idx="355">
                  <c:v>103.38859702616712</c:v>
                </c:pt>
                <c:pt idx="356">
                  <c:v>103.02981026868983</c:v>
                </c:pt>
                <c:pt idx="357">
                  <c:v>102.67087899224664</c:v>
                </c:pt>
                <c:pt idx="358">
                  <c:v>102.31180113354428</c:v>
                </c:pt>
                <c:pt idx="359">
                  <c:v>101.95257459067081</c:v>
                </c:pt>
                <c:pt idx="360">
                  <c:v>101.59319722220758</c:v>
                </c:pt>
                <c:pt idx="361">
                  <c:v>101.23366684631948</c:v>
                </c:pt>
                <c:pt idx="362">
                  <c:v>100.87398123981835</c:v>
                </c:pt>
                <c:pt idx="363">
                  <c:v>100.51413813720283</c:v>
                </c:pt>
                <c:pt idx="364">
                  <c:v>100.15413522967124</c:v>
                </c:pt>
                <c:pt idx="365">
                  <c:v>99.793970164106383</c:v>
                </c:pt>
                <c:pt idx="366">
                  <c:v>99.43364054203505</c:v>
                </c:pt>
                <c:pt idx="367">
                  <c:v>99.073143918556255</c:v>
                </c:pt>
                <c:pt idx="368">
                  <c:v>98.712477801241292</c:v>
                </c:pt>
                <c:pt idx="369">
                  <c:v>98.351639649002593</c:v>
                </c:pt>
                <c:pt idx="370">
                  <c:v>97.990626870931479</c:v>
                </c:pt>
                <c:pt idx="371">
                  <c:v>97.629436825102943</c:v>
                </c:pt>
                <c:pt idx="372">
                  <c:v>97.26806681734746</c:v>
                </c:pt>
                <c:pt idx="373">
                  <c:v>96.906514099987632</c:v>
                </c:pt>
                <c:pt idx="374">
                  <c:v>96.544775870538899</c:v>
                </c:pt>
                <c:pt idx="375">
                  <c:v>96.182849270374589</c:v>
                </c:pt>
                <c:pt idx="376">
                  <c:v>95.820731383351898</c:v>
                </c:pt>
                <c:pt idx="377">
                  <c:v>95.468781590937212</c:v>
                </c:pt>
                <c:pt idx="378">
                  <c:v>95.136512595486749</c:v>
                </c:pt>
                <c:pt idx="379">
                  <c:v>94.804497018025543</c:v>
                </c:pt>
                <c:pt idx="380">
                  <c:v>94.472237268266426</c:v>
                </c:pt>
                <c:pt idx="381">
                  <c:v>94.13675866239447</c:v>
                </c:pt>
                <c:pt idx="382">
                  <c:v>93.795001710143168</c:v>
                </c:pt>
                <c:pt idx="383">
                  <c:v>93.452826735101041</c:v>
                </c:pt>
                <c:pt idx="384">
                  <c:v>93.110405319540263</c:v>
                </c:pt>
                <c:pt idx="385">
                  <c:v>92.759090933014747</c:v>
                </c:pt>
                <c:pt idx="386">
                  <c:v>92.390018591381775</c:v>
                </c:pt>
                <c:pt idx="387">
                  <c:v>92.01992114265461</c:v>
                </c:pt>
                <c:pt idx="388">
                  <c:v>91.649276720279147</c:v>
                </c:pt>
                <c:pt idx="389">
                  <c:v>91.283765355485215</c:v>
                </c:pt>
                <c:pt idx="390">
                  <c:v>90.942832549301542</c:v>
                </c:pt>
                <c:pt idx="391">
                  <c:v>90.628966578518842</c:v>
                </c:pt>
                <c:pt idx="392">
                  <c:v>90.315211844334755</c:v>
                </c:pt>
                <c:pt idx="393">
                  <c:v>90.000874933976561</c:v>
                </c:pt>
                <c:pt idx="394">
                  <c:v>89.685946976441741</c:v>
                </c:pt>
                <c:pt idx="395">
                  <c:v>89.370418936070081</c:v>
                </c:pt>
                <c:pt idx="396">
                  <c:v>89.054281609170104</c:v>
                </c:pt>
                <c:pt idx="397">
                  <c:v>88.747712567982958</c:v>
                </c:pt>
                <c:pt idx="398">
                  <c:v>88.460400537619364</c:v>
                </c:pt>
                <c:pt idx="399">
                  <c:v>88.172959968808343</c:v>
                </c:pt>
                <c:pt idx="400">
                  <c:v>87.884862726304391</c:v>
                </c:pt>
                <c:pt idx="401">
                  <c:v>87.596098055818061</c:v>
                </c:pt>
                <c:pt idx="402">
                  <c:v>87.306654988791152</c:v>
                </c:pt>
                <c:pt idx="403">
                  <c:v>87.000453121502289</c:v>
                </c:pt>
                <c:pt idx="404">
                  <c:v>86.662716792187382</c:v>
                </c:pt>
                <c:pt idx="405">
                  <c:v>86.324008938178224</c:v>
                </c:pt>
                <c:pt idx="406">
                  <c:v>85.999442129143176</c:v>
                </c:pt>
                <c:pt idx="407">
                  <c:v>85.703498083648697</c:v>
                </c:pt>
                <c:pt idx="408">
                  <c:v>85.408316181517677</c:v>
                </c:pt>
                <c:pt idx="409">
                  <c:v>85.113089961842363</c:v>
                </c:pt>
                <c:pt idx="410">
                  <c:v>84.817818913879677</c:v>
                </c:pt>
                <c:pt idx="411">
                  <c:v>84.522502519108883</c:v>
                </c:pt>
                <c:pt idx="412">
                  <c:v>84.227140251086468</c:v>
                </c:pt>
                <c:pt idx="413">
                  <c:v>83.931731575295203</c:v>
                </c:pt>
                <c:pt idx="414">
                  <c:v>83.636275948992193</c:v>
                </c:pt>
                <c:pt idx="415">
                  <c:v>83.34077282105072</c:v>
                </c:pt>
                <c:pt idx="416">
                  <c:v>83.045221631801439</c:v>
                </c:pt>
                <c:pt idx="417">
                  <c:v>82.749621812867503</c:v>
                </c:pt>
                <c:pt idx="418">
                  <c:v>82.453972786997539</c:v>
                </c:pt>
                <c:pt idx="419">
                  <c:v>82.158273967894274</c:v>
                </c:pt>
                <c:pt idx="420">
                  <c:v>81.862524760038553</c:v>
                </c:pt>
                <c:pt idx="421">
                  <c:v>81.566724558511197</c:v>
                </c:pt>
                <c:pt idx="422">
                  <c:v>81.270872748808046</c:v>
                </c:pt>
                <c:pt idx="423">
                  <c:v>80.974968706653485</c:v>
                </c:pt>
                <c:pt idx="424">
                  <c:v>80.679011797807561</c:v>
                </c:pt>
                <c:pt idx="425">
                  <c:v>80.383001377869789</c:v>
                </c:pt>
                <c:pt idx="426">
                  <c:v>80.086936792078063</c:v>
                </c:pt>
                <c:pt idx="427">
                  <c:v>79.790817375102307</c:v>
                </c:pt>
                <c:pt idx="428">
                  <c:v>79.494642450834064</c:v>
                </c:pt>
                <c:pt idx="429">
                  <c:v>79.198411332170764</c:v>
                </c:pt>
                <c:pt idx="430">
                  <c:v>78.902123320794999</c:v>
                </c:pt>
                <c:pt idx="431">
                  <c:v>78.605777706948132</c:v>
                </c:pt>
                <c:pt idx="432">
                  <c:v>78.309373769199098</c:v>
                </c:pt>
                <c:pt idx="433">
                  <c:v>78.012910774207114</c:v>
                </c:pt>
                <c:pt idx="434">
                  <c:v>77.713325717690395</c:v>
                </c:pt>
                <c:pt idx="435">
                  <c:v>77.407719181907865</c:v>
                </c:pt>
                <c:pt idx="436">
                  <c:v>77.104430216620187</c:v>
                </c:pt>
                <c:pt idx="437">
                  <c:v>76.806039562304562</c:v>
                </c:pt>
                <c:pt idx="438">
                  <c:v>76.507672036604077</c:v>
                </c:pt>
                <c:pt idx="439">
                  <c:v>76.209195797322153</c:v>
                </c:pt>
                <c:pt idx="440">
                  <c:v>75.910609440445995</c:v>
                </c:pt>
                <c:pt idx="441">
                  <c:v>75.61191153837612</c:v>
                </c:pt>
                <c:pt idx="442">
                  <c:v>75.313100639443874</c:v>
                </c:pt>
                <c:pt idx="443">
                  <c:v>75.014175267418508</c:v>
                </c:pt>
                <c:pt idx="444">
                  <c:v>74.715201851617181</c:v>
                </c:pt>
                <c:pt idx="445">
                  <c:v>74.418791902306737</c:v>
                </c:pt>
                <c:pt idx="446">
                  <c:v>74.127152206569207</c:v>
                </c:pt>
                <c:pt idx="447">
                  <c:v>73.83549793743461</c:v>
                </c:pt>
                <c:pt idx="448">
                  <c:v>73.543701023590998</c:v>
                </c:pt>
                <c:pt idx="449">
                  <c:v>73.252844399348717</c:v>
                </c:pt>
                <c:pt idx="450">
                  <c:v>72.963948077068125</c:v>
                </c:pt>
                <c:pt idx="451">
                  <c:v>72.674951217389747</c:v>
                </c:pt>
                <c:pt idx="452">
                  <c:v>72.385797155262338</c:v>
                </c:pt>
                <c:pt idx="453">
                  <c:v>72.096483559884149</c:v>
                </c:pt>
                <c:pt idx="454">
                  <c:v>71.807008055698802</c:v>
                </c:pt>
                <c:pt idx="455">
                  <c:v>71.517368221354531</c:v>
                </c:pt>
                <c:pt idx="456">
                  <c:v>71.227561588638721</c:v>
                </c:pt>
                <c:pt idx="457">
                  <c:v>70.937585641381162</c:v>
                </c:pt>
                <c:pt idx="458">
                  <c:v>70.647437814329663</c:v>
                </c:pt>
                <c:pt idx="459">
                  <c:v>70.357115491994662</c:v>
                </c:pt>
                <c:pt idx="460">
                  <c:v>70.066616007462244</c:v>
                </c:pt>
                <c:pt idx="461">
                  <c:v>69.774119183347793</c:v>
                </c:pt>
                <c:pt idx="462">
                  <c:v>69.477943977295595</c:v>
                </c:pt>
                <c:pt idx="463">
                  <c:v>69.181488158680523</c:v>
                </c:pt>
                <c:pt idx="464">
                  <c:v>68.88483542276569</c:v>
                </c:pt>
                <c:pt idx="465">
                  <c:v>68.587982873026505</c:v>
                </c:pt>
                <c:pt idx="466">
                  <c:v>68.317318132226632</c:v>
                </c:pt>
                <c:pt idx="467">
                  <c:v>68.098000938178075</c:v>
                </c:pt>
                <c:pt idx="468">
                  <c:v>67.87953784865141</c:v>
                </c:pt>
                <c:pt idx="469">
                  <c:v>67.660558422618493</c:v>
                </c:pt>
                <c:pt idx="470">
                  <c:v>67.441053884506516</c:v>
                </c:pt>
                <c:pt idx="471">
                  <c:v>67.221015277116848</c:v>
                </c:pt>
                <c:pt idx="472">
                  <c:v>67.000433457480355</c:v>
                </c:pt>
                <c:pt idx="473">
                  <c:v>66.779299092619794</c:v>
                </c:pt>
                <c:pt idx="474">
                  <c:v>66.55760265522045</c:v>
                </c:pt>
                <c:pt idx="475">
                  <c:v>66.335334419205736</c:v>
                </c:pt>
                <c:pt idx="476">
                  <c:v>66.11248445521818</c:v>
                </c:pt>
                <c:pt idx="477">
                  <c:v>65.889042626003928</c:v>
                </c:pt>
                <c:pt idx="478">
                  <c:v>65.664998581698313</c:v>
                </c:pt>
                <c:pt idx="479">
                  <c:v>65.440341755015282</c:v>
                </c:pt>
                <c:pt idx="480">
                  <c:v>65.215061356335397</c:v>
                </c:pt>
                <c:pt idx="481">
                  <c:v>64.989146368695828</c:v>
                </c:pt>
                <c:pt idx="482">
                  <c:v>64.762585542676732</c:v>
                </c:pt>
                <c:pt idx="483">
                  <c:v>64.535367391189482</c:v>
                </c:pt>
                <c:pt idx="484">
                  <c:v>64.307480184161079</c:v>
                </c:pt>
                <c:pt idx="485">
                  <c:v>64.078911943117902</c:v>
                </c:pt>
                <c:pt idx="486">
                  <c:v>63.849650435666106</c:v>
                </c:pt>
                <c:pt idx="487">
                  <c:v>63.619683169872069</c:v>
                </c:pt>
                <c:pt idx="488">
                  <c:v>63.452015806740974</c:v>
                </c:pt>
                <c:pt idx="489">
                  <c:v>63.403000887043177</c:v>
                </c:pt>
                <c:pt idx="490">
                  <c:v>63.355545318164211</c:v>
                </c:pt>
                <c:pt idx="491">
                  <c:v>63.339244134519397</c:v>
                </c:pt>
                <c:pt idx="492">
                  <c:v>63.384455856409708</c:v>
                </c:pt>
                <c:pt idx="493">
                  <c:v>63.429451757516759</c:v>
                </c:pt>
                <c:pt idx="494">
                  <c:v>63.472561555243892</c:v>
                </c:pt>
                <c:pt idx="495">
                  <c:v>63.513733016110024</c:v>
                </c:pt>
                <c:pt idx="496">
                  <c:v>63.55291225875591</c:v>
                </c:pt>
                <c:pt idx="497">
                  <c:v>63.629689640875938</c:v>
                </c:pt>
                <c:pt idx="498">
                  <c:v>63.780570266742586</c:v>
                </c:pt>
                <c:pt idx="499">
                  <c:v>63.931716602095861</c:v>
                </c:pt>
                <c:pt idx="500">
                  <c:v>64.081227469301126</c:v>
                </c:pt>
                <c:pt idx="501">
                  <c:v>64.261666597895456</c:v>
                </c:pt>
                <c:pt idx="502">
                  <c:v>64.548005044897991</c:v>
                </c:pt>
                <c:pt idx="503">
                  <c:v>64.924030015414189</c:v>
                </c:pt>
                <c:pt idx="504">
                  <c:v>65.301875794510408</c:v>
                </c:pt>
                <c:pt idx="505">
                  <c:v>65.679289835182729</c:v>
                </c:pt>
                <c:pt idx="506">
                  <c:v>66.056256452662097</c:v>
                </c:pt>
                <c:pt idx="507">
                  <c:v>66.432759211159279</c:v>
                </c:pt>
                <c:pt idx="508">
                  <c:v>66.808780879541189</c:v>
                </c:pt>
                <c:pt idx="509">
                  <c:v>67.184303383921787</c:v>
                </c:pt>
                <c:pt idx="510">
                  <c:v>67.559307756925534</c:v>
                </c:pt>
                <c:pt idx="511">
                  <c:v>67.933774083353839</c:v>
                </c:pt>
                <c:pt idx="512">
                  <c:v>68.307681441969109</c:v>
                </c:pt>
                <c:pt idx="513">
                  <c:v>68.681007843074951</c:v>
                </c:pt>
                <c:pt idx="514">
                  <c:v>69.0483349802617</c:v>
                </c:pt>
                <c:pt idx="515">
                  <c:v>69.405011519245122</c:v>
                </c:pt>
                <c:pt idx="516">
                  <c:v>69.761097986944876</c:v>
                </c:pt>
                <c:pt idx="517">
                  <c:v>70.116825220632165</c:v>
                </c:pt>
                <c:pt idx="518">
                  <c:v>70.472179879504523</c:v>
                </c:pt>
                <c:pt idx="519">
                  <c:v>70.82714796844003</c:v>
                </c:pt>
                <c:pt idx="520">
                  <c:v>71.181714798348537</c:v>
                </c:pt>
                <c:pt idx="521">
                  <c:v>71.535864943680707</c:v>
                </c:pt>
                <c:pt idx="522">
                  <c:v>71.889582196865831</c:v>
                </c:pt>
                <c:pt idx="523">
                  <c:v>72.242849519418996</c:v>
                </c:pt>
                <c:pt idx="524">
                  <c:v>72.595648989445351</c:v>
                </c:pt>
                <c:pt idx="525">
                  <c:v>72.942059703703606</c:v>
                </c:pt>
                <c:pt idx="526">
                  <c:v>73.276207849175137</c:v>
                </c:pt>
                <c:pt idx="527">
                  <c:v>73.609265259075357</c:v>
                </c:pt>
                <c:pt idx="528">
                  <c:v>73.941506858831573</c:v>
                </c:pt>
                <c:pt idx="529">
                  <c:v>74.272898811883067</c:v>
                </c:pt>
                <c:pt idx="530">
                  <c:v>74.603405471936611</c:v>
                </c:pt>
                <c:pt idx="531">
                  <c:v>74.932989266997666</c:v>
                </c:pt>
                <c:pt idx="532">
                  <c:v>75.261610574985013</c:v>
                </c:pt>
                <c:pt idx="533">
                  <c:v>75.589227590278242</c:v>
                </c:pt>
                <c:pt idx="534">
                  <c:v>75.915796180494183</c:v>
                </c:pt>
                <c:pt idx="535">
                  <c:v>76.241269732739653</c:v>
                </c:pt>
                <c:pt idx="536">
                  <c:v>76.5655989885297</c:v>
                </c:pt>
                <c:pt idx="537">
                  <c:v>76.888731866508351</c:v>
                </c:pt>
                <c:pt idx="538">
                  <c:v>77.210613272040447</c:v>
                </c:pt>
                <c:pt idx="539">
                  <c:v>77.531184892694966</c:v>
                </c:pt>
                <c:pt idx="540">
                  <c:v>77.85038497856408</c:v>
                </c:pt>
                <c:pt idx="541">
                  <c:v>78.168148106313737</c:v>
                </c:pt>
                <c:pt idx="542">
                  <c:v>78.484404925789903</c:v>
                </c:pt>
                <c:pt idx="543">
                  <c:v>78.799081887955154</c:v>
                </c:pt>
                <c:pt idx="544">
                  <c:v>79.112100952876062</c:v>
                </c:pt>
                <c:pt idx="545">
                  <c:v>79.42337927643247</c:v>
                </c:pt>
                <c:pt idx="546">
                  <c:v>79.690165265109485</c:v>
                </c:pt>
                <c:pt idx="547">
                  <c:v>79.871099223376419</c:v>
                </c:pt>
                <c:pt idx="548">
                  <c:v>80.005674400701452</c:v>
                </c:pt>
                <c:pt idx="549">
                  <c:v>80.057163317157276</c:v>
                </c:pt>
                <c:pt idx="550">
                  <c:v>80.104433374490526</c:v>
                </c:pt>
                <c:pt idx="551">
                  <c:v>80.149569185823282</c:v>
                </c:pt>
                <c:pt idx="552">
                  <c:v>80.192482488130324</c:v>
                </c:pt>
                <c:pt idx="553">
                  <c:v>80.215239340621878</c:v>
                </c:pt>
                <c:pt idx="554">
                  <c:v>80.200676768305073</c:v>
                </c:pt>
                <c:pt idx="555">
                  <c:v>80.183353595895753</c:v>
                </c:pt>
                <c:pt idx="556">
                  <c:v>80.164163935650379</c:v>
                </c:pt>
                <c:pt idx="557">
                  <c:v>80.141745455378498</c:v>
                </c:pt>
                <c:pt idx="558">
                  <c:v>80.114959720361369</c:v>
                </c:pt>
                <c:pt idx="559">
                  <c:v>80.068797763406991</c:v>
                </c:pt>
                <c:pt idx="560">
                  <c:v>79.98622018487174</c:v>
                </c:pt>
                <c:pt idx="561">
                  <c:v>79.900160063274271</c:v>
                </c:pt>
                <c:pt idx="562">
                  <c:v>79.811468695958297</c:v>
                </c:pt>
                <c:pt idx="563">
                  <c:v>79.720096594631841</c:v>
                </c:pt>
                <c:pt idx="564">
                  <c:v>79.620733430674761</c:v>
                </c:pt>
                <c:pt idx="565">
                  <c:v>79.508548953358869</c:v>
                </c:pt>
                <c:pt idx="566">
                  <c:v>79.394211480412352</c:v>
                </c:pt>
                <c:pt idx="567">
                  <c:v>79.278035426874936</c:v>
                </c:pt>
                <c:pt idx="568">
                  <c:v>79.160018966967471</c:v>
                </c:pt>
                <c:pt idx="569">
                  <c:v>79.040160895949896</c:v>
                </c:pt>
                <c:pt idx="570">
                  <c:v>78.918460632158101</c:v>
                </c:pt>
                <c:pt idx="571">
                  <c:v>78.794918217988197</c:v>
                </c:pt>
                <c:pt idx="572">
                  <c:v>78.66953431982644</c:v>
                </c:pt>
                <c:pt idx="573">
                  <c:v>78.542310226919113</c:v>
                </c:pt>
                <c:pt idx="574">
                  <c:v>78.41324784919442</c:v>
                </c:pt>
                <c:pt idx="575">
                  <c:v>78.282349714038688</c:v>
                </c:pt>
                <c:pt idx="576">
                  <c:v>78.149618962043377</c:v>
                </c:pt>
                <c:pt idx="577">
                  <c:v>78.015059341737881</c:v>
                </c:pt>
                <c:pt idx="578">
                  <c:v>77.878675203329408</c:v>
                </c:pt>
                <c:pt idx="579">
                  <c:v>77.740471491472533</c:v>
                </c:pt>
                <c:pt idx="580">
                  <c:v>77.600453737099542</c:v>
                </c:pt>
                <c:pt idx="581">
                  <c:v>77.458628048338156</c:v>
                </c:pt>
                <c:pt idx="582">
                  <c:v>77.354310120570688</c:v>
                </c:pt>
                <c:pt idx="583">
                  <c:v>77.323877389520149</c:v>
                </c:pt>
                <c:pt idx="584">
                  <c:v>77.322087910952661</c:v>
                </c:pt>
                <c:pt idx="585">
                  <c:v>77.374908015581326</c:v>
                </c:pt>
                <c:pt idx="586">
                  <c:v>77.515938654360525</c:v>
                </c:pt>
                <c:pt idx="587">
                  <c:v>77.829141479468063</c:v>
                </c:pt>
                <c:pt idx="588">
                  <c:v>78.16083124540431</c:v>
                </c:pt>
                <c:pt idx="589">
                  <c:v>78.521431973889875</c:v>
                </c:pt>
                <c:pt idx="590">
                  <c:v>78.882229311564842</c:v>
                </c:pt>
                <c:pt idx="591">
                  <c:v>79.242429544585463</c:v>
                </c:pt>
                <c:pt idx="592">
                  <c:v>79.602007514915513</c:v>
                </c:pt>
                <c:pt idx="593">
                  <c:v>79.960936712190929</c:v>
                </c:pt>
                <c:pt idx="594">
                  <c:v>80.319189187935123</c:v>
                </c:pt>
                <c:pt idx="595">
                  <c:v>80.676735463757268</c:v>
                </c:pt>
                <c:pt idx="596">
                  <c:v>81.033544433115679</c:v>
                </c:pt>
                <c:pt idx="597">
                  <c:v>81.405008645366863</c:v>
                </c:pt>
                <c:pt idx="598">
                  <c:v>81.806358681271831</c:v>
                </c:pt>
                <c:pt idx="599">
                  <c:v>82.208214422234931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8F-4B34-9FBA-D326FED4E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8864"/>
        <c:axId val="420791040"/>
      </c:scatterChart>
      <c:scatterChart>
        <c:scatterStyle val="smoothMarker"/>
        <c:varyColors val="0"/>
        <c:ser>
          <c:idx val="16"/>
          <c:order val="3"/>
          <c:tx>
            <c:strRef>
              <c:f>'REGAP Mesmos Parametros'!$AA$32</c:f>
              <c:strCache>
                <c:ptCount val="1"/>
                <c:pt idx="0">
                  <c:v>média</c:v>
                </c:pt>
              </c:strCache>
            </c:strRef>
          </c:tx>
          <c:spPr>
            <a:ln w="12700"/>
            <a:effectLst/>
          </c:spPr>
          <c:marker>
            <c:symbol val="none"/>
          </c:marker>
          <c:xVal>
            <c:numRef>
              <c:f>'REGAP Mesmos Parametros'!$Z$32:$Z$631</c:f>
              <c:numCache>
                <c:formatCode>General</c:formatCode>
                <c:ptCount val="6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</c:numCache>
            </c:numRef>
          </c:xVal>
          <c:yVal>
            <c:numRef>
              <c:f>'REGAP Mesmos Parametros'!$AA$33:$AA$632</c:f>
              <c:numCache>
                <c:formatCode>0.0000</c:formatCode>
                <c:ptCount val="600"/>
                <c:pt idx="0">
                  <c:v>420.24524377538449</c:v>
                </c:pt>
                <c:pt idx="1">
                  <c:v>420.1488669582148</c:v>
                </c:pt>
                <c:pt idx="2">
                  <c:v>420.04797341735264</c:v>
                </c:pt>
                <c:pt idx="3">
                  <c:v>419.93853621413302</c:v>
                </c:pt>
                <c:pt idx="4">
                  <c:v>419.82889660918687</c:v>
                </c:pt>
                <c:pt idx="5">
                  <c:v>419.7192570042406</c:v>
                </c:pt>
                <c:pt idx="6">
                  <c:v>419.60961739929434</c:v>
                </c:pt>
                <c:pt idx="7">
                  <c:v>419.49997779434813</c:v>
                </c:pt>
                <c:pt idx="8">
                  <c:v>419.39033818940186</c:v>
                </c:pt>
                <c:pt idx="9">
                  <c:v>419.28069858445565</c:v>
                </c:pt>
                <c:pt idx="10">
                  <c:v>419.17105897950944</c:v>
                </c:pt>
                <c:pt idx="11">
                  <c:v>419.04251283821839</c:v>
                </c:pt>
                <c:pt idx="12">
                  <c:v>418.87814583867811</c:v>
                </c:pt>
                <c:pt idx="13">
                  <c:v>418.70954345898656</c:v>
                </c:pt>
                <c:pt idx="14">
                  <c:v>418.54087278619602</c:v>
                </c:pt>
                <c:pt idx="15">
                  <c:v>418.37220211340554</c:v>
                </c:pt>
                <c:pt idx="16">
                  <c:v>418.203531440615</c:v>
                </c:pt>
                <c:pt idx="17">
                  <c:v>418.03486076782457</c:v>
                </c:pt>
                <c:pt idx="18">
                  <c:v>417.86619009503403</c:v>
                </c:pt>
                <c:pt idx="19">
                  <c:v>417.69037920506344</c:v>
                </c:pt>
                <c:pt idx="20">
                  <c:v>417.50109072269771</c:v>
                </c:pt>
                <c:pt idx="21">
                  <c:v>417.31148500486131</c:v>
                </c:pt>
                <c:pt idx="22">
                  <c:v>417.12187928702491</c:v>
                </c:pt>
                <c:pt idx="23">
                  <c:v>416.9322735691884</c:v>
                </c:pt>
                <c:pt idx="24">
                  <c:v>416.74266785135194</c:v>
                </c:pt>
                <c:pt idx="25">
                  <c:v>416.55306213351548</c:v>
                </c:pt>
                <c:pt idx="26">
                  <c:v>416.36345641567902</c:v>
                </c:pt>
                <c:pt idx="27">
                  <c:v>416.17385069784245</c:v>
                </c:pt>
                <c:pt idx="28">
                  <c:v>415.98424498000605</c:v>
                </c:pt>
                <c:pt idx="29">
                  <c:v>415.7946392621696</c:v>
                </c:pt>
                <c:pt idx="30">
                  <c:v>415.60503354433314</c:v>
                </c:pt>
                <c:pt idx="31">
                  <c:v>415.41542782649674</c:v>
                </c:pt>
                <c:pt idx="32">
                  <c:v>415.22582210866017</c:v>
                </c:pt>
                <c:pt idx="33">
                  <c:v>415.03621639082382</c:v>
                </c:pt>
                <c:pt idx="34">
                  <c:v>414.84143671132938</c:v>
                </c:pt>
                <c:pt idx="35">
                  <c:v>414.6369026039896</c:v>
                </c:pt>
                <c:pt idx="36">
                  <c:v>414.43213973862561</c:v>
                </c:pt>
                <c:pt idx="37">
                  <c:v>414.22737687326168</c:v>
                </c:pt>
                <c:pt idx="38">
                  <c:v>414.02261400789763</c:v>
                </c:pt>
                <c:pt idx="39">
                  <c:v>413.81785114253364</c:v>
                </c:pt>
                <c:pt idx="40">
                  <c:v>413.6130882771696</c:v>
                </c:pt>
                <c:pt idx="41">
                  <c:v>413.40832541180572</c:v>
                </c:pt>
                <c:pt idx="42">
                  <c:v>413.20356254644173</c:v>
                </c:pt>
                <c:pt idx="43">
                  <c:v>412.99535981688456</c:v>
                </c:pt>
                <c:pt idx="44">
                  <c:v>412.78085311658577</c:v>
                </c:pt>
                <c:pt idx="45">
                  <c:v>412.56621112013568</c:v>
                </c:pt>
                <c:pt idx="46">
                  <c:v>412.35156912368558</c:v>
                </c:pt>
                <c:pt idx="47">
                  <c:v>412.13692712723548</c:v>
                </c:pt>
                <c:pt idx="48">
                  <c:v>411.92228513078533</c:v>
                </c:pt>
                <c:pt idx="49">
                  <c:v>411.70764313433529</c:v>
                </c:pt>
                <c:pt idx="50">
                  <c:v>411.49300113788513</c:v>
                </c:pt>
                <c:pt idx="51">
                  <c:v>411.27835914143515</c:v>
                </c:pt>
                <c:pt idx="52">
                  <c:v>411.06371714498499</c:v>
                </c:pt>
                <c:pt idx="53">
                  <c:v>410.84925482509209</c:v>
                </c:pt>
                <c:pt idx="54">
                  <c:v>410.63511002954948</c:v>
                </c:pt>
                <c:pt idx="55">
                  <c:v>410.42055477904717</c:v>
                </c:pt>
                <c:pt idx="56">
                  <c:v>410.20525885405027</c:v>
                </c:pt>
                <c:pt idx="57">
                  <c:v>409.98994852900006</c:v>
                </c:pt>
                <c:pt idx="58">
                  <c:v>409.77463820394985</c:v>
                </c:pt>
                <c:pt idx="59">
                  <c:v>409.55932787889964</c:v>
                </c:pt>
                <c:pt idx="60">
                  <c:v>409.34401755384943</c:v>
                </c:pt>
                <c:pt idx="61">
                  <c:v>409.12870722879916</c:v>
                </c:pt>
                <c:pt idx="62">
                  <c:v>408.91339690374895</c:v>
                </c:pt>
                <c:pt idx="63">
                  <c:v>408.69716175353034</c:v>
                </c:pt>
                <c:pt idx="64">
                  <c:v>408.47923825748921</c:v>
                </c:pt>
                <c:pt idx="65">
                  <c:v>408.26127897144693</c:v>
                </c:pt>
                <c:pt idx="66">
                  <c:v>408.04331968540464</c:v>
                </c:pt>
                <c:pt idx="67">
                  <c:v>407.82509712621425</c:v>
                </c:pt>
                <c:pt idx="68">
                  <c:v>407.60640748321123</c:v>
                </c:pt>
                <c:pt idx="69">
                  <c:v>407.38770883154615</c:v>
                </c:pt>
                <c:pt idx="70">
                  <c:v>407.17284497755543</c:v>
                </c:pt>
                <c:pt idx="71">
                  <c:v>406.96496940894923</c:v>
                </c:pt>
                <c:pt idx="72">
                  <c:v>406.75724113015133</c:v>
                </c:pt>
                <c:pt idx="73">
                  <c:v>406.54951285135348</c:v>
                </c:pt>
                <c:pt idx="74">
                  <c:v>406.33654274579266</c:v>
                </c:pt>
                <c:pt idx="75">
                  <c:v>406.11371964407476</c:v>
                </c:pt>
                <c:pt idx="76">
                  <c:v>405.89066757090654</c:v>
                </c:pt>
                <c:pt idx="77">
                  <c:v>405.66761549773827</c:v>
                </c:pt>
                <c:pt idx="78">
                  <c:v>405.44456342457005</c:v>
                </c:pt>
                <c:pt idx="79">
                  <c:v>405.22151135140183</c:v>
                </c:pt>
                <c:pt idx="80">
                  <c:v>404.99845927823355</c:v>
                </c:pt>
                <c:pt idx="81">
                  <c:v>404.77540720506528</c:v>
                </c:pt>
                <c:pt idx="82">
                  <c:v>404.55235513189706</c:v>
                </c:pt>
                <c:pt idx="83">
                  <c:v>404.3293030587289</c:v>
                </c:pt>
                <c:pt idx="84">
                  <c:v>404.10625098556056</c:v>
                </c:pt>
                <c:pt idx="85">
                  <c:v>403.88319891239234</c:v>
                </c:pt>
                <c:pt idx="86">
                  <c:v>403.66014683922413</c:v>
                </c:pt>
                <c:pt idx="87">
                  <c:v>403.43709476605585</c:v>
                </c:pt>
                <c:pt idx="88">
                  <c:v>403.21404269288757</c:v>
                </c:pt>
                <c:pt idx="89">
                  <c:v>402.99099061971935</c:v>
                </c:pt>
                <c:pt idx="90">
                  <c:v>402.76793854655114</c:v>
                </c:pt>
                <c:pt idx="91">
                  <c:v>402.54248000760714</c:v>
                </c:pt>
                <c:pt idx="92">
                  <c:v>402.31255274481015</c:v>
                </c:pt>
                <c:pt idx="93">
                  <c:v>402.08252547938491</c:v>
                </c:pt>
                <c:pt idx="94">
                  <c:v>401.85249821395945</c:v>
                </c:pt>
                <c:pt idx="95">
                  <c:v>401.6224709485341</c:v>
                </c:pt>
                <c:pt idx="96">
                  <c:v>401.3924436831087</c:v>
                </c:pt>
                <c:pt idx="97">
                  <c:v>401.156644318161</c:v>
                </c:pt>
                <c:pt idx="98">
                  <c:v>400.91067857218002</c:v>
                </c:pt>
                <c:pt idx="99">
                  <c:v>400.66452154792051</c:v>
                </c:pt>
                <c:pt idx="100">
                  <c:v>400.41836452366096</c:v>
                </c:pt>
                <c:pt idx="101">
                  <c:v>400.1722074994014</c:v>
                </c:pt>
                <c:pt idx="102">
                  <c:v>399.92605047514189</c:v>
                </c:pt>
                <c:pt idx="103">
                  <c:v>399.67989345088233</c:v>
                </c:pt>
                <c:pt idx="104">
                  <c:v>399.43231344144328</c:v>
                </c:pt>
                <c:pt idx="105">
                  <c:v>399.18203405832435</c:v>
                </c:pt>
                <c:pt idx="106">
                  <c:v>398.93169016913077</c:v>
                </c:pt>
                <c:pt idx="107">
                  <c:v>398.6666136537504</c:v>
                </c:pt>
                <c:pt idx="108">
                  <c:v>398.37426061773374</c:v>
                </c:pt>
                <c:pt idx="109">
                  <c:v>398.08130286916224</c:v>
                </c:pt>
                <c:pt idx="110">
                  <c:v>397.7883451205908</c:v>
                </c:pt>
                <c:pt idx="111">
                  <c:v>397.49538737201931</c:v>
                </c:pt>
                <c:pt idx="112">
                  <c:v>397.20242962344781</c:v>
                </c:pt>
                <c:pt idx="113">
                  <c:v>396.90947187487632</c:v>
                </c:pt>
                <c:pt idx="114">
                  <c:v>396.61651412630488</c:v>
                </c:pt>
                <c:pt idx="115">
                  <c:v>396.32355637773333</c:v>
                </c:pt>
                <c:pt idx="116">
                  <c:v>396.01662378261733</c:v>
                </c:pt>
                <c:pt idx="117">
                  <c:v>395.68364309624104</c:v>
                </c:pt>
                <c:pt idx="118">
                  <c:v>395.35007264364634</c:v>
                </c:pt>
                <c:pt idx="119">
                  <c:v>395.0165021910517</c:v>
                </c:pt>
                <c:pt idx="120">
                  <c:v>394.6820023287911</c:v>
                </c:pt>
                <c:pt idx="121">
                  <c:v>394.34576951948134</c:v>
                </c:pt>
                <c:pt idx="122">
                  <c:v>393.99676538461415</c:v>
                </c:pt>
                <c:pt idx="123">
                  <c:v>393.62457383824085</c:v>
                </c:pt>
                <c:pt idx="124">
                  <c:v>393.25189457566995</c:v>
                </c:pt>
                <c:pt idx="125">
                  <c:v>392.87921531309905</c:v>
                </c:pt>
                <c:pt idx="126">
                  <c:v>392.50653605052833</c:v>
                </c:pt>
                <c:pt idx="127">
                  <c:v>392.13385678795737</c:v>
                </c:pt>
                <c:pt idx="128">
                  <c:v>391.76117752538659</c:v>
                </c:pt>
                <c:pt idx="129">
                  <c:v>391.38849826281574</c:v>
                </c:pt>
                <c:pt idx="130">
                  <c:v>391.01581900024485</c:v>
                </c:pt>
                <c:pt idx="131">
                  <c:v>390.64313973767401</c:v>
                </c:pt>
                <c:pt idx="132">
                  <c:v>390.27046047510311</c:v>
                </c:pt>
                <c:pt idx="133">
                  <c:v>389.89778121253227</c:v>
                </c:pt>
                <c:pt idx="134">
                  <c:v>389.4916787982483</c:v>
                </c:pt>
                <c:pt idx="135">
                  <c:v>389.02783764529221</c:v>
                </c:pt>
                <c:pt idx="136">
                  <c:v>388.56298127669271</c:v>
                </c:pt>
                <c:pt idx="137">
                  <c:v>388.09812490809344</c:v>
                </c:pt>
                <c:pt idx="138">
                  <c:v>387.63326853949405</c:v>
                </c:pt>
                <c:pt idx="139">
                  <c:v>387.16841217089473</c:v>
                </c:pt>
                <c:pt idx="140">
                  <c:v>386.70355580229534</c:v>
                </c:pt>
                <c:pt idx="141">
                  <c:v>386.23869943369584</c:v>
                </c:pt>
                <c:pt idx="142">
                  <c:v>385.77384306509663</c:v>
                </c:pt>
                <c:pt idx="143">
                  <c:v>385.30898669649719</c:v>
                </c:pt>
                <c:pt idx="144">
                  <c:v>384.8441303278978</c:v>
                </c:pt>
                <c:pt idx="145">
                  <c:v>384.37927395929836</c:v>
                </c:pt>
                <c:pt idx="146">
                  <c:v>383.91441759069903</c:v>
                </c:pt>
                <c:pt idx="147">
                  <c:v>383.44956122209965</c:v>
                </c:pt>
                <c:pt idx="148">
                  <c:v>382.98470485350032</c:v>
                </c:pt>
                <c:pt idx="149">
                  <c:v>382.51984848490093</c:v>
                </c:pt>
                <c:pt idx="150">
                  <c:v>382.05499211630155</c:v>
                </c:pt>
                <c:pt idx="151">
                  <c:v>381.55085432010213</c:v>
                </c:pt>
                <c:pt idx="152">
                  <c:v>380.97795340272143</c:v>
                </c:pt>
                <c:pt idx="153">
                  <c:v>380.40378584182309</c:v>
                </c:pt>
                <c:pt idx="154">
                  <c:v>379.82961828092488</c:v>
                </c:pt>
                <c:pt idx="155">
                  <c:v>379.25545072002666</c:v>
                </c:pt>
                <c:pt idx="156">
                  <c:v>378.61990989650792</c:v>
                </c:pt>
                <c:pt idx="157">
                  <c:v>377.87296905432265</c:v>
                </c:pt>
                <c:pt idx="158">
                  <c:v>377.0610167979741</c:v>
                </c:pt>
                <c:pt idx="159">
                  <c:v>376.1349602550124</c:v>
                </c:pt>
                <c:pt idx="160">
                  <c:v>375.12842262161274</c:v>
                </c:pt>
                <c:pt idx="161">
                  <c:v>373.98368922268435</c:v>
                </c:pt>
                <c:pt idx="162">
                  <c:v>372.83631241807211</c:v>
                </c:pt>
                <c:pt idx="163">
                  <c:v>371.68893561345976</c:v>
                </c:pt>
                <c:pt idx="164">
                  <c:v>370.54155880884747</c:v>
                </c:pt>
                <c:pt idx="165">
                  <c:v>369.39418200423518</c:v>
                </c:pt>
                <c:pt idx="166">
                  <c:v>368.24680519962288</c:v>
                </c:pt>
                <c:pt idx="167">
                  <c:v>367.09942839501059</c:v>
                </c:pt>
                <c:pt idx="168">
                  <c:v>365.9520515903983</c:v>
                </c:pt>
                <c:pt idx="169">
                  <c:v>364.80467478578595</c:v>
                </c:pt>
                <c:pt idx="170">
                  <c:v>363.65729798117366</c:v>
                </c:pt>
                <c:pt idx="171">
                  <c:v>362.50992117656142</c:v>
                </c:pt>
                <c:pt idx="172">
                  <c:v>361.36254437194907</c:v>
                </c:pt>
                <c:pt idx="173">
                  <c:v>360.17920075784883</c:v>
                </c:pt>
                <c:pt idx="174">
                  <c:v>358.92965295924665</c:v>
                </c:pt>
                <c:pt idx="175">
                  <c:v>357.67579906486799</c:v>
                </c:pt>
                <c:pt idx="176">
                  <c:v>356.42188771544522</c:v>
                </c:pt>
                <c:pt idx="177">
                  <c:v>355.16797636602263</c:v>
                </c:pt>
                <c:pt idx="178">
                  <c:v>353.91406501660003</c:v>
                </c:pt>
                <c:pt idx="179">
                  <c:v>352.61986411791406</c:v>
                </c:pt>
                <c:pt idx="180">
                  <c:v>351.25482110326726</c:v>
                </c:pt>
                <c:pt idx="181">
                  <c:v>349.88845292902357</c:v>
                </c:pt>
                <c:pt idx="182">
                  <c:v>348.52208475477977</c:v>
                </c:pt>
                <c:pt idx="183">
                  <c:v>347.15571658053608</c:v>
                </c:pt>
                <c:pt idx="184">
                  <c:v>345.78934840629233</c:v>
                </c:pt>
                <c:pt idx="185">
                  <c:v>344.42298023204853</c:v>
                </c:pt>
                <c:pt idx="186">
                  <c:v>343.05661205780484</c:v>
                </c:pt>
                <c:pt idx="187">
                  <c:v>341.69024388356115</c:v>
                </c:pt>
                <c:pt idx="188">
                  <c:v>340.32387570931735</c:v>
                </c:pt>
                <c:pt idx="189">
                  <c:v>338.9575075350736</c:v>
                </c:pt>
                <c:pt idx="190">
                  <c:v>337.59113936082986</c:v>
                </c:pt>
                <c:pt idx="191">
                  <c:v>336.22477118658617</c:v>
                </c:pt>
                <c:pt idx="192">
                  <c:v>334.85840301234236</c:v>
                </c:pt>
                <c:pt idx="193">
                  <c:v>333.49203483809868</c:v>
                </c:pt>
                <c:pt idx="194">
                  <c:v>332.12566666385493</c:v>
                </c:pt>
                <c:pt idx="195">
                  <c:v>330.75929848961118</c:v>
                </c:pt>
                <c:pt idx="196">
                  <c:v>329.39293031536744</c:v>
                </c:pt>
                <c:pt idx="197">
                  <c:v>328.02656214112375</c:v>
                </c:pt>
                <c:pt idx="198">
                  <c:v>326.66019396688</c:v>
                </c:pt>
                <c:pt idx="199">
                  <c:v>325.29382579263626</c:v>
                </c:pt>
                <c:pt idx="200">
                  <c:v>323.92745761839251</c:v>
                </c:pt>
                <c:pt idx="201">
                  <c:v>322.56108944414876</c:v>
                </c:pt>
                <c:pt idx="202">
                  <c:v>321.19472126990502</c:v>
                </c:pt>
                <c:pt idx="203">
                  <c:v>319.82835309566127</c:v>
                </c:pt>
                <c:pt idx="204">
                  <c:v>318.46198492141752</c:v>
                </c:pt>
                <c:pt idx="205">
                  <c:v>317.09561674717384</c:v>
                </c:pt>
                <c:pt idx="206">
                  <c:v>315.72924857293009</c:v>
                </c:pt>
                <c:pt idx="207">
                  <c:v>314.36288039868634</c:v>
                </c:pt>
                <c:pt idx="208">
                  <c:v>312.9965122244426</c:v>
                </c:pt>
                <c:pt idx="209">
                  <c:v>311.63014405019891</c:v>
                </c:pt>
                <c:pt idx="210">
                  <c:v>310.26342580253544</c:v>
                </c:pt>
                <c:pt idx="211">
                  <c:v>308.89607080256269</c:v>
                </c:pt>
                <c:pt idx="212">
                  <c:v>307.52870246348812</c:v>
                </c:pt>
                <c:pt idx="213">
                  <c:v>306.19992743651392</c:v>
                </c:pt>
                <c:pt idx="214">
                  <c:v>304.98712007276379</c:v>
                </c:pt>
                <c:pt idx="215">
                  <c:v>303.85584994456667</c:v>
                </c:pt>
                <c:pt idx="216">
                  <c:v>302.73901982634118</c:v>
                </c:pt>
                <c:pt idx="217">
                  <c:v>301.64526866783484</c:v>
                </c:pt>
                <c:pt idx="218">
                  <c:v>300.55199442091345</c:v>
                </c:pt>
                <c:pt idx="219">
                  <c:v>299.45872017399211</c:v>
                </c:pt>
                <c:pt idx="220">
                  <c:v>298.36544592707071</c:v>
                </c:pt>
                <c:pt idx="221">
                  <c:v>297.27217168014931</c:v>
                </c:pt>
                <c:pt idx="222">
                  <c:v>296.17889743322792</c:v>
                </c:pt>
                <c:pt idx="223">
                  <c:v>295.08562318630658</c:v>
                </c:pt>
                <c:pt idx="224">
                  <c:v>293.99234893938518</c:v>
                </c:pt>
                <c:pt idx="225">
                  <c:v>292.89907469246384</c:v>
                </c:pt>
                <c:pt idx="226">
                  <c:v>291.80580044554245</c:v>
                </c:pt>
                <c:pt idx="227">
                  <c:v>290.71252619862105</c:v>
                </c:pt>
                <c:pt idx="228">
                  <c:v>289.6184340098788</c:v>
                </c:pt>
                <c:pt idx="229">
                  <c:v>288.52281148562224</c:v>
                </c:pt>
                <c:pt idx="230">
                  <c:v>287.42715390494635</c:v>
                </c:pt>
                <c:pt idx="231">
                  <c:v>286.33149632427052</c:v>
                </c:pt>
                <c:pt idx="232">
                  <c:v>285.23583874359463</c:v>
                </c:pt>
                <c:pt idx="233">
                  <c:v>284.14822349032238</c:v>
                </c:pt>
                <c:pt idx="234">
                  <c:v>283.0749978201909</c:v>
                </c:pt>
                <c:pt idx="235">
                  <c:v>282.0020577035466</c:v>
                </c:pt>
                <c:pt idx="236">
                  <c:v>280.92911758690229</c:v>
                </c:pt>
                <c:pt idx="237">
                  <c:v>279.85617747025805</c:v>
                </c:pt>
                <c:pt idx="238">
                  <c:v>278.78207907854517</c:v>
                </c:pt>
                <c:pt idx="239">
                  <c:v>277.70588439686259</c:v>
                </c:pt>
                <c:pt idx="240">
                  <c:v>276.6296465105554</c:v>
                </c:pt>
                <c:pt idx="241">
                  <c:v>275.55340862424828</c:v>
                </c:pt>
                <c:pt idx="242">
                  <c:v>274.47717073794109</c:v>
                </c:pt>
                <c:pt idx="243">
                  <c:v>273.40093285163402</c:v>
                </c:pt>
                <c:pt idx="244">
                  <c:v>272.32469496532684</c:v>
                </c:pt>
                <c:pt idx="245">
                  <c:v>271.24845707901972</c:v>
                </c:pt>
                <c:pt idx="246">
                  <c:v>270.17221919271259</c:v>
                </c:pt>
                <c:pt idx="247">
                  <c:v>269.09598130640546</c:v>
                </c:pt>
                <c:pt idx="248">
                  <c:v>268.01974342009834</c:v>
                </c:pt>
                <c:pt idx="249">
                  <c:v>266.94350553379115</c:v>
                </c:pt>
                <c:pt idx="250">
                  <c:v>265.86726764748408</c:v>
                </c:pt>
                <c:pt idx="251">
                  <c:v>264.7910297611769</c:v>
                </c:pt>
                <c:pt idx="252">
                  <c:v>263.71479187486977</c:v>
                </c:pt>
                <c:pt idx="253">
                  <c:v>262.63855398856265</c:v>
                </c:pt>
                <c:pt idx="254">
                  <c:v>261.56231610225552</c:v>
                </c:pt>
                <c:pt idx="255">
                  <c:v>260.4860782159484</c:v>
                </c:pt>
                <c:pt idx="256">
                  <c:v>259.40984032964127</c:v>
                </c:pt>
                <c:pt idx="257">
                  <c:v>258.33360244333409</c:v>
                </c:pt>
                <c:pt idx="258">
                  <c:v>257.25736455702696</c:v>
                </c:pt>
                <c:pt idx="259">
                  <c:v>256.18112667071983</c:v>
                </c:pt>
                <c:pt idx="260">
                  <c:v>255.10488878441271</c:v>
                </c:pt>
                <c:pt idx="261">
                  <c:v>254.02865089810552</c:v>
                </c:pt>
                <c:pt idx="262">
                  <c:v>252.9524130117984</c:v>
                </c:pt>
                <c:pt idx="263">
                  <c:v>251.91372760840065</c:v>
                </c:pt>
                <c:pt idx="264">
                  <c:v>250.9430491138433</c:v>
                </c:pt>
                <c:pt idx="265">
                  <c:v>249.97377514781766</c:v>
                </c:pt>
                <c:pt idx="266">
                  <c:v>249.00450118179208</c:v>
                </c:pt>
                <c:pt idx="267">
                  <c:v>248.03522721576644</c:v>
                </c:pt>
                <c:pt idx="268">
                  <c:v>247.0589313783494</c:v>
                </c:pt>
                <c:pt idx="269">
                  <c:v>246.06908481359309</c:v>
                </c:pt>
                <c:pt idx="270">
                  <c:v>245.0788974233723</c:v>
                </c:pt>
                <c:pt idx="271">
                  <c:v>244.1136550899181</c:v>
                </c:pt>
                <c:pt idx="272">
                  <c:v>243.19795183648523</c:v>
                </c:pt>
                <c:pt idx="273">
                  <c:v>242.29202390901662</c:v>
                </c:pt>
                <c:pt idx="274">
                  <c:v>241.40273216776603</c:v>
                </c:pt>
                <c:pt idx="275">
                  <c:v>240.52930589669566</c:v>
                </c:pt>
                <c:pt idx="276">
                  <c:v>239.68572300004925</c:v>
                </c:pt>
                <c:pt idx="277">
                  <c:v>238.84289742417707</c:v>
                </c:pt>
                <c:pt idx="278">
                  <c:v>238.00007184830488</c:v>
                </c:pt>
                <c:pt idx="279">
                  <c:v>237.1572462724327</c:v>
                </c:pt>
                <c:pt idx="280">
                  <c:v>236.31442069656052</c:v>
                </c:pt>
                <c:pt idx="281">
                  <c:v>235.47159512068831</c:v>
                </c:pt>
                <c:pt idx="282">
                  <c:v>234.62876954481609</c:v>
                </c:pt>
                <c:pt idx="283">
                  <c:v>233.77647641407074</c:v>
                </c:pt>
                <c:pt idx="284">
                  <c:v>232.90520467463247</c:v>
                </c:pt>
                <c:pt idx="285">
                  <c:v>232.03340072520444</c:v>
                </c:pt>
                <c:pt idx="286">
                  <c:v>231.16159677577639</c:v>
                </c:pt>
                <c:pt idx="287">
                  <c:v>230.28979282634828</c:v>
                </c:pt>
                <c:pt idx="288">
                  <c:v>229.41798887692022</c:v>
                </c:pt>
                <c:pt idx="289">
                  <c:v>228.59176298959727</c:v>
                </c:pt>
                <c:pt idx="290">
                  <c:v>227.84711968782349</c:v>
                </c:pt>
                <c:pt idx="291">
                  <c:v>227.1040975289863</c:v>
                </c:pt>
                <c:pt idx="292">
                  <c:v>226.36107537014914</c:v>
                </c:pt>
                <c:pt idx="293">
                  <c:v>225.61805321131197</c:v>
                </c:pt>
                <c:pt idx="294">
                  <c:v>224.87503105247478</c:v>
                </c:pt>
                <c:pt idx="295">
                  <c:v>224.13200889363759</c:v>
                </c:pt>
                <c:pt idx="296">
                  <c:v>223.3889867348004</c:v>
                </c:pt>
                <c:pt idx="297">
                  <c:v>222.66460197212848</c:v>
                </c:pt>
                <c:pt idx="298">
                  <c:v>221.97642243215714</c:v>
                </c:pt>
                <c:pt idx="299">
                  <c:v>221.2891713621087</c:v>
                </c:pt>
                <c:pt idx="300">
                  <c:v>220.60192029206021</c:v>
                </c:pt>
                <c:pt idx="301">
                  <c:v>219.91466922201181</c:v>
                </c:pt>
                <c:pt idx="302">
                  <c:v>219.22741815196332</c:v>
                </c:pt>
                <c:pt idx="303">
                  <c:v>218.54016708191486</c:v>
                </c:pt>
                <c:pt idx="304">
                  <c:v>217.8529160118664</c:v>
                </c:pt>
                <c:pt idx="305">
                  <c:v>217.16566494181797</c:v>
                </c:pt>
                <c:pt idx="306">
                  <c:v>216.4784138717695</c:v>
                </c:pt>
                <c:pt idx="307">
                  <c:v>215.79116280172104</c:v>
                </c:pt>
                <c:pt idx="308">
                  <c:v>215.10391173167258</c:v>
                </c:pt>
                <c:pt idx="309">
                  <c:v>214.41666066162412</c:v>
                </c:pt>
                <c:pt idx="310">
                  <c:v>213.72940959157566</c:v>
                </c:pt>
                <c:pt idx="311">
                  <c:v>213.04215852152723</c:v>
                </c:pt>
                <c:pt idx="312">
                  <c:v>212.35490745147877</c:v>
                </c:pt>
                <c:pt idx="313">
                  <c:v>211.66765638143028</c:v>
                </c:pt>
                <c:pt idx="314">
                  <c:v>210.98040531138184</c:v>
                </c:pt>
                <c:pt idx="315">
                  <c:v>210.29315424133338</c:v>
                </c:pt>
                <c:pt idx="316">
                  <c:v>209.60590317128495</c:v>
                </c:pt>
                <c:pt idx="317">
                  <c:v>208.91865210123646</c:v>
                </c:pt>
                <c:pt idx="318">
                  <c:v>208.23140103118797</c:v>
                </c:pt>
                <c:pt idx="319">
                  <c:v>207.55531951725277</c:v>
                </c:pt>
                <c:pt idx="320">
                  <c:v>206.90039978561512</c:v>
                </c:pt>
                <c:pt idx="321">
                  <c:v>206.24598382703385</c:v>
                </c:pt>
                <c:pt idx="322">
                  <c:v>205.59156786845264</c:v>
                </c:pt>
                <c:pt idx="323">
                  <c:v>204.93715190987137</c:v>
                </c:pt>
                <c:pt idx="324">
                  <c:v>204.28273595129014</c:v>
                </c:pt>
                <c:pt idx="325">
                  <c:v>203.6283199927089</c:v>
                </c:pt>
                <c:pt idx="326">
                  <c:v>202.97390403412768</c:v>
                </c:pt>
                <c:pt idx="327">
                  <c:v>202.28714143497132</c:v>
                </c:pt>
                <c:pt idx="328">
                  <c:v>201.53449194515906</c:v>
                </c:pt>
                <c:pt idx="329">
                  <c:v>200.77991186362974</c:v>
                </c:pt>
                <c:pt idx="330">
                  <c:v>200.03326564460508</c:v>
                </c:pt>
                <c:pt idx="331">
                  <c:v>199.30211449924241</c:v>
                </c:pt>
                <c:pt idx="332">
                  <c:v>198.59039029293106</c:v>
                </c:pt>
                <c:pt idx="333">
                  <c:v>197.91474887515096</c:v>
                </c:pt>
                <c:pt idx="334">
                  <c:v>197.23996941794078</c:v>
                </c:pt>
                <c:pt idx="335">
                  <c:v>196.56518996073061</c:v>
                </c:pt>
                <c:pt idx="336">
                  <c:v>195.89041050352043</c:v>
                </c:pt>
                <c:pt idx="337">
                  <c:v>195.21563104631022</c:v>
                </c:pt>
                <c:pt idx="338">
                  <c:v>194.54085158910004</c:v>
                </c:pt>
                <c:pt idx="339">
                  <c:v>193.86607213188984</c:v>
                </c:pt>
                <c:pt idx="340">
                  <c:v>193.19129267467966</c:v>
                </c:pt>
                <c:pt idx="341">
                  <c:v>192.51651321746945</c:v>
                </c:pt>
                <c:pt idx="342">
                  <c:v>191.84173376025927</c:v>
                </c:pt>
                <c:pt idx="343">
                  <c:v>191.12224795388593</c:v>
                </c:pt>
                <c:pt idx="344">
                  <c:v>190.3141655512872</c:v>
                </c:pt>
                <c:pt idx="345">
                  <c:v>189.51669947746998</c:v>
                </c:pt>
                <c:pt idx="346">
                  <c:v>188.74434922841888</c:v>
                </c:pt>
                <c:pt idx="347">
                  <c:v>187.9726296265371</c:v>
                </c:pt>
                <c:pt idx="348">
                  <c:v>187.20091002465534</c:v>
                </c:pt>
                <c:pt idx="349">
                  <c:v>186.42919042277356</c:v>
                </c:pt>
                <c:pt idx="350">
                  <c:v>185.65747082089177</c:v>
                </c:pt>
                <c:pt idx="351">
                  <c:v>184.88575121901002</c:v>
                </c:pt>
                <c:pt idx="352">
                  <c:v>184.11403161712823</c:v>
                </c:pt>
                <c:pt idx="353">
                  <c:v>183.34231201524651</c:v>
                </c:pt>
                <c:pt idx="354">
                  <c:v>182.58489755984397</c:v>
                </c:pt>
                <c:pt idx="355">
                  <c:v>181.85690758313541</c:v>
                </c:pt>
                <c:pt idx="356">
                  <c:v>181.12980282146188</c:v>
                </c:pt>
                <c:pt idx="357">
                  <c:v>180.40269805978843</c:v>
                </c:pt>
                <c:pt idx="358">
                  <c:v>179.67559329811496</c:v>
                </c:pt>
                <c:pt idx="359">
                  <c:v>178.94848853644152</c:v>
                </c:pt>
                <c:pt idx="360">
                  <c:v>178.22138377476801</c:v>
                </c:pt>
                <c:pt idx="361">
                  <c:v>177.49427901309454</c:v>
                </c:pt>
                <c:pt idx="362">
                  <c:v>176.76717425142107</c:v>
                </c:pt>
                <c:pt idx="363">
                  <c:v>176.04006948974757</c:v>
                </c:pt>
                <c:pt idx="364">
                  <c:v>175.31296472807412</c:v>
                </c:pt>
                <c:pt idx="365">
                  <c:v>174.58585996640068</c:v>
                </c:pt>
                <c:pt idx="366">
                  <c:v>173.8587552047272</c:v>
                </c:pt>
                <c:pt idx="367">
                  <c:v>173.13165044305373</c:v>
                </c:pt>
                <c:pt idx="368">
                  <c:v>172.40454568138026</c:v>
                </c:pt>
                <c:pt idx="369">
                  <c:v>171.67744091970678</c:v>
                </c:pt>
                <c:pt idx="370">
                  <c:v>170.95033615803331</c:v>
                </c:pt>
                <c:pt idx="371">
                  <c:v>170.22323139635981</c:v>
                </c:pt>
                <c:pt idx="372">
                  <c:v>169.49612663468633</c:v>
                </c:pt>
                <c:pt idx="373">
                  <c:v>168.76902187301289</c:v>
                </c:pt>
                <c:pt idx="374">
                  <c:v>168.04191711133942</c:v>
                </c:pt>
                <c:pt idx="375">
                  <c:v>167.31481234966591</c:v>
                </c:pt>
                <c:pt idx="376">
                  <c:v>166.58770758799244</c:v>
                </c:pt>
                <c:pt idx="377">
                  <c:v>165.86627962682414</c:v>
                </c:pt>
                <c:pt idx="378">
                  <c:v>165.15575549476713</c:v>
                </c:pt>
                <c:pt idx="379">
                  <c:v>164.44550184269107</c:v>
                </c:pt>
                <c:pt idx="380">
                  <c:v>163.73524819061498</c:v>
                </c:pt>
                <c:pt idx="381">
                  <c:v>163.02303319555449</c:v>
                </c:pt>
                <c:pt idx="382">
                  <c:v>162.30683357506803</c:v>
                </c:pt>
                <c:pt idx="383">
                  <c:v>161.59051802635841</c:v>
                </c:pt>
                <c:pt idx="384">
                  <c:v>160.87420247764879</c:v>
                </c:pt>
                <c:pt idx="385">
                  <c:v>160.16828902734866</c:v>
                </c:pt>
                <c:pt idx="386">
                  <c:v>159.48322486780066</c:v>
                </c:pt>
                <c:pt idx="387">
                  <c:v>158.79874516676074</c:v>
                </c:pt>
                <c:pt idx="388">
                  <c:v>158.11426546572082</c:v>
                </c:pt>
                <c:pt idx="389">
                  <c:v>157.43492725405946</c:v>
                </c:pt>
                <c:pt idx="390">
                  <c:v>156.77461487212244</c:v>
                </c:pt>
                <c:pt idx="391">
                  <c:v>156.13212667536746</c:v>
                </c:pt>
                <c:pt idx="392">
                  <c:v>155.4900783337205</c:v>
                </c:pt>
                <c:pt idx="393">
                  <c:v>154.84802999207352</c:v>
                </c:pt>
                <c:pt idx="394">
                  <c:v>154.20598165042654</c:v>
                </c:pt>
                <c:pt idx="395">
                  <c:v>153.56393330877955</c:v>
                </c:pt>
                <c:pt idx="396">
                  <c:v>152.9218849671326</c:v>
                </c:pt>
                <c:pt idx="397">
                  <c:v>152.28467193421162</c:v>
                </c:pt>
                <c:pt idx="398">
                  <c:v>151.65689985748466</c:v>
                </c:pt>
                <c:pt idx="399">
                  <c:v>151.02937348745183</c:v>
                </c:pt>
                <c:pt idx="400">
                  <c:v>150.40184711741901</c:v>
                </c:pt>
                <c:pt idx="401">
                  <c:v>149.77432074738616</c:v>
                </c:pt>
                <c:pt idx="402">
                  <c:v>149.1467943773533</c:v>
                </c:pt>
                <c:pt idx="403">
                  <c:v>148.54404973921234</c:v>
                </c:pt>
                <c:pt idx="404">
                  <c:v>147.9894051828517</c:v>
                </c:pt>
                <c:pt idx="405">
                  <c:v>147.43599105926637</c:v>
                </c:pt>
                <c:pt idx="406">
                  <c:v>146.89165849814859</c:v>
                </c:pt>
                <c:pt idx="407">
                  <c:v>146.36553983531846</c:v>
                </c:pt>
                <c:pt idx="408">
                  <c:v>145.83993264359205</c:v>
                </c:pt>
                <c:pt idx="409">
                  <c:v>145.31432545186559</c:v>
                </c:pt>
                <c:pt idx="410">
                  <c:v>144.78871826013915</c:v>
                </c:pt>
                <c:pt idx="411">
                  <c:v>144.26311106841271</c:v>
                </c:pt>
                <c:pt idx="412">
                  <c:v>143.7375038766863</c:v>
                </c:pt>
                <c:pt idx="413">
                  <c:v>143.21189668495984</c:v>
                </c:pt>
                <c:pt idx="414">
                  <c:v>142.68628949323343</c:v>
                </c:pt>
                <c:pt idx="415">
                  <c:v>142.16068230150699</c:v>
                </c:pt>
                <c:pt idx="416">
                  <c:v>141.63507510978056</c:v>
                </c:pt>
                <c:pt idx="417">
                  <c:v>141.10946791805412</c:v>
                </c:pt>
                <c:pt idx="418">
                  <c:v>140.58386072632766</c:v>
                </c:pt>
                <c:pt idx="419">
                  <c:v>140.05825353460125</c:v>
                </c:pt>
                <c:pt idx="420">
                  <c:v>139.53264634287478</c:v>
                </c:pt>
                <c:pt idx="421">
                  <c:v>139.00703915114838</c:v>
                </c:pt>
                <c:pt idx="422">
                  <c:v>138.48143195942194</c:v>
                </c:pt>
                <c:pt idx="423">
                  <c:v>137.9558247676955</c:v>
                </c:pt>
                <c:pt idx="424">
                  <c:v>137.43021757596907</c:v>
                </c:pt>
                <c:pt idx="425">
                  <c:v>136.90461038424263</c:v>
                </c:pt>
                <c:pt idx="426">
                  <c:v>136.37900319251619</c:v>
                </c:pt>
                <c:pt idx="427">
                  <c:v>135.85339600078976</c:v>
                </c:pt>
                <c:pt idx="428">
                  <c:v>135.32778880906335</c:v>
                </c:pt>
                <c:pt idx="429">
                  <c:v>134.80218161733691</c:v>
                </c:pt>
                <c:pt idx="430">
                  <c:v>134.27657442561048</c:v>
                </c:pt>
                <c:pt idx="431">
                  <c:v>133.75096723388404</c:v>
                </c:pt>
                <c:pt idx="432">
                  <c:v>133.2253600421576</c:v>
                </c:pt>
                <c:pt idx="433">
                  <c:v>132.69975285043117</c:v>
                </c:pt>
                <c:pt idx="434">
                  <c:v>132.17218219291331</c:v>
                </c:pt>
                <c:pt idx="435">
                  <c:v>131.64080054811052</c:v>
                </c:pt>
                <c:pt idx="436">
                  <c:v>131.11080061101902</c:v>
                </c:pt>
                <c:pt idx="437">
                  <c:v>130.58369173063136</c:v>
                </c:pt>
                <c:pt idx="438">
                  <c:v>130.05665831203788</c:v>
                </c:pt>
                <c:pt idx="439">
                  <c:v>129.52962489344443</c:v>
                </c:pt>
                <c:pt idx="440">
                  <c:v>129.00259147485099</c:v>
                </c:pt>
                <c:pt idx="441">
                  <c:v>128.47555805625751</c:v>
                </c:pt>
                <c:pt idx="442">
                  <c:v>127.94852463766406</c:v>
                </c:pt>
                <c:pt idx="443">
                  <c:v>127.4214912190706</c:v>
                </c:pt>
                <c:pt idx="444">
                  <c:v>126.89343188535113</c:v>
                </c:pt>
                <c:pt idx="445">
                  <c:v>126.3609215602976</c:v>
                </c:pt>
                <c:pt idx="446">
                  <c:v>125.82333269897306</c:v>
                </c:pt>
                <c:pt idx="447">
                  <c:v>125.28561434605828</c:v>
                </c:pt>
                <c:pt idx="448">
                  <c:v>124.74789599314349</c:v>
                </c:pt>
                <c:pt idx="449">
                  <c:v>124.2107122007493</c:v>
                </c:pt>
                <c:pt idx="450">
                  <c:v>123.67456845378337</c:v>
                </c:pt>
                <c:pt idx="451">
                  <c:v>123.13845149837286</c:v>
                </c:pt>
                <c:pt idx="452">
                  <c:v>122.60233454296242</c:v>
                </c:pt>
                <c:pt idx="453">
                  <c:v>122.06621758755192</c:v>
                </c:pt>
                <c:pt idx="454">
                  <c:v>121.53010063214145</c:v>
                </c:pt>
                <c:pt idx="455">
                  <c:v>120.99398367673096</c:v>
                </c:pt>
                <c:pt idx="456">
                  <c:v>120.4578667213205</c:v>
                </c:pt>
                <c:pt idx="457">
                  <c:v>119.92174976591002</c:v>
                </c:pt>
                <c:pt idx="458">
                  <c:v>119.38563281049954</c:v>
                </c:pt>
                <c:pt idx="459">
                  <c:v>118.84951585508907</c:v>
                </c:pt>
                <c:pt idx="460">
                  <c:v>118.31339889967859</c:v>
                </c:pt>
                <c:pt idx="461">
                  <c:v>117.78018479543844</c:v>
                </c:pt>
                <c:pt idx="462">
                  <c:v>117.2525451276769</c:v>
                </c:pt>
                <c:pt idx="463">
                  <c:v>116.72504364548415</c:v>
                </c:pt>
                <c:pt idx="464">
                  <c:v>116.19754216329139</c:v>
                </c:pt>
                <c:pt idx="465">
                  <c:v>115.67004068109864</c:v>
                </c:pt>
                <c:pt idx="466">
                  <c:v>115.15881747018447</c:v>
                </c:pt>
                <c:pt idx="467">
                  <c:v>114.67951025733173</c:v>
                </c:pt>
                <c:pt idx="468">
                  <c:v>114.2010437090329</c:v>
                </c:pt>
                <c:pt idx="469">
                  <c:v>113.72257716073408</c:v>
                </c:pt>
                <c:pt idx="470">
                  <c:v>113.24411061243525</c:v>
                </c:pt>
                <c:pt idx="471">
                  <c:v>112.76564406413641</c:v>
                </c:pt>
                <c:pt idx="472">
                  <c:v>112.28717751583758</c:v>
                </c:pt>
                <c:pt idx="473">
                  <c:v>111.80871096753874</c:v>
                </c:pt>
                <c:pt idx="474">
                  <c:v>111.33024441923993</c:v>
                </c:pt>
                <c:pt idx="475">
                  <c:v>110.85177787094111</c:v>
                </c:pt>
                <c:pt idx="476">
                  <c:v>110.37331132264227</c:v>
                </c:pt>
                <c:pt idx="477">
                  <c:v>109.89484477434345</c:v>
                </c:pt>
                <c:pt idx="478">
                  <c:v>109.41637822604463</c:v>
                </c:pt>
                <c:pt idx="479">
                  <c:v>108.9379116777458</c:v>
                </c:pt>
                <c:pt idx="480">
                  <c:v>108.45944512944695</c:v>
                </c:pt>
                <c:pt idx="481">
                  <c:v>107.98097858114814</c:v>
                </c:pt>
                <c:pt idx="482">
                  <c:v>107.50251203284931</c:v>
                </c:pt>
                <c:pt idx="483">
                  <c:v>107.02404548455048</c:v>
                </c:pt>
                <c:pt idx="484">
                  <c:v>106.54557893625163</c:v>
                </c:pt>
                <c:pt idx="485">
                  <c:v>106.06711238795282</c:v>
                </c:pt>
                <c:pt idx="486">
                  <c:v>105.58864583965399</c:v>
                </c:pt>
                <c:pt idx="487">
                  <c:v>105.11017929135517</c:v>
                </c:pt>
                <c:pt idx="488">
                  <c:v>104.66690200671887</c:v>
                </c:pt>
                <c:pt idx="489">
                  <c:v>104.29048123954207</c:v>
                </c:pt>
                <c:pt idx="490">
                  <c:v>103.91566559883911</c:v>
                </c:pt>
                <c:pt idx="491">
                  <c:v>103.56085393632426</c:v>
                </c:pt>
                <c:pt idx="492">
                  <c:v>103.24491777207876</c:v>
                </c:pt>
                <c:pt idx="493">
                  <c:v>102.92997971799412</c:v>
                </c:pt>
                <c:pt idx="494">
                  <c:v>102.61504166390945</c:v>
                </c:pt>
                <c:pt idx="495">
                  <c:v>102.30010360982477</c:v>
                </c:pt>
                <c:pt idx="496">
                  <c:v>101.9851655557401</c:v>
                </c:pt>
                <c:pt idx="497">
                  <c:v>101.69949038770397</c:v>
                </c:pt>
                <c:pt idx="498">
                  <c:v>101.46977571845908</c:v>
                </c:pt>
                <c:pt idx="499">
                  <c:v>101.24143113691593</c:v>
                </c:pt>
                <c:pt idx="500">
                  <c:v>101.01308655537279</c:v>
                </c:pt>
                <c:pt idx="501">
                  <c:v>100.82658061139472</c:v>
                </c:pt>
                <c:pt idx="502">
                  <c:v>100.74040356737474</c:v>
                </c:pt>
                <c:pt idx="503">
                  <c:v>100.69870692667207</c:v>
                </c:pt>
                <c:pt idx="504">
                  <c:v>100.65808447277722</c:v>
                </c:pt>
                <c:pt idx="505">
                  <c:v>100.61746201888238</c:v>
                </c:pt>
                <c:pt idx="506">
                  <c:v>100.57683956498752</c:v>
                </c:pt>
                <c:pt idx="507">
                  <c:v>100.53621711109267</c:v>
                </c:pt>
                <c:pt idx="508">
                  <c:v>100.49559465719784</c:v>
                </c:pt>
                <c:pt idx="509">
                  <c:v>100.45497220330297</c:v>
                </c:pt>
                <c:pt idx="510">
                  <c:v>100.41434974940815</c:v>
                </c:pt>
                <c:pt idx="511">
                  <c:v>100.37372729551328</c:v>
                </c:pt>
                <c:pt idx="512">
                  <c:v>100.33310484161845</c:v>
                </c:pt>
                <c:pt idx="513">
                  <c:v>100.29248238772358</c:v>
                </c:pt>
                <c:pt idx="514">
                  <c:v>100.26145711993239</c:v>
                </c:pt>
                <c:pt idx="515">
                  <c:v>100.24861226546543</c:v>
                </c:pt>
                <c:pt idx="516">
                  <c:v>100.23620003949759</c:v>
                </c:pt>
                <c:pt idx="517">
                  <c:v>100.22378781352977</c:v>
                </c:pt>
                <c:pt idx="518">
                  <c:v>100.21137558756193</c:v>
                </c:pt>
                <c:pt idx="519">
                  <c:v>100.19896336159411</c:v>
                </c:pt>
                <c:pt idx="520">
                  <c:v>100.1865511356263</c:v>
                </c:pt>
                <c:pt idx="521">
                  <c:v>100.17413890965847</c:v>
                </c:pt>
                <c:pt idx="522">
                  <c:v>100.16172668369066</c:v>
                </c:pt>
                <c:pt idx="523">
                  <c:v>100.14931445772282</c:v>
                </c:pt>
                <c:pt idx="524">
                  <c:v>100.13690223175499</c:v>
                </c:pt>
                <c:pt idx="525">
                  <c:v>100.12071465120447</c:v>
                </c:pt>
                <c:pt idx="526">
                  <c:v>100.09711140111753</c:v>
                </c:pt>
                <c:pt idx="527">
                  <c:v>100.07331179745454</c:v>
                </c:pt>
                <c:pt idx="528">
                  <c:v>100.04951219379154</c:v>
                </c:pt>
                <c:pt idx="529">
                  <c:v>100.02571259012856</c:v>
                </c:pt>
                <c:pt idx="530">
                  <c:v>100.00191298646558</c:v>
                </c:pt>
                <c:pt idx="531">
                  <c:v>99.978113382802619</c:v>
                </c:pt>
                <c:pt idx="532">
                  <c:v>99.954313779139625</c:v>
                </c:pt>
                <c:pt idx="533">
                  <c:v>99.930514175476645</c:v>
                </c:pt>
                <c:pt idx="534">
                  <c:v>99.906714571813652</c:v>
                </c:pt>
                <c:pt idx="535">
                  <c:v>99.882914968150686</c:v>
                </c:pt>
                <c:pt idx="536">
                  <c:v>99.859115364487678</c:v>
                </c:pt>
                <c:pt idx="537">
                  <c:v>99.835315760824727</c:v>
                </c:pt>
                <c:pt idx="538">
                  <c:v>99.811516157161734</c:v>
                </c:pt>
                <c:pt idx="539">
                  <c:v>99.787716553498754</c:v>
                </c:pt>
                <c:pt idx="540">
                  <c:v>99.76391694983576</c:v>
                </c:pt>
                <c:pt idx="541">
                  <c:v>99.740117346172781</c:v>
                </c:pt>
                <c:pt idx="542">
                  <c:v>99.716317742509801</c:v>
                </c:pt>
                <c:pt idx="543">
                  <c:v>99.692518138846822</c:v>
                </c:pt>
                <c:pt idx="544">
                  <c:v>99.668718535183842</c:v>
                </c:pt>
                <c:pt idx="545">
                  <c:v>99.644918931520863</c:v>
                </c:pt>
                <c:pt idx="546">
                  <c:v>99.590807432927775</c:v>
                </c:pt>
                <c:pt idx="547">
                  <c:v>99.477650152629053</c:v>
                </c:pt>
                <c:pt idx="548">
                  <c:v>99.332369945412793</c:v>
                </c:pt>
                <c:pt idx="549">
                  <c:v>99.126689908042579</c:v>
                </c:pt>
                <c:pt idx="550">
                  <c:v>98.919387599847909</c:v>
                </c:pt>
                <c:pt idx="551">
                  <c:v>98.712085291653253</c:v>
                </c:pt>
                <c:pt idx="552">
                  <c:v>98.504782983458583</c:v>
                </c:pt>
                <c:pt idx="553">
                  <c:v>98.288773252802443</c:v>
                </c:pt>
                <c:pt idx="554">
                  <c:v>98.055506383505019</c:v>
                </c:pt>
                <c:pt idx="555">
                  <c:v>97.821770787709298</c:v>
                </c:pt>
                <c:pt idx="556">
                  <c:v>97.588035191913576</c:v>
                </c:pt>
                <c:pt idx="557">
                  <c:v>97.353196758858317</c:v>
                </c:pt>
                <c:pt idx="558">
                  <c:v>97.116279544279493</c:v>
                </c:pt>
                <c:pt idx="559">
                  <c:v>96.894378794528365</c:v>
                </c:pt>
                <c:pt idx="560">
                  <c:v>96.702044258199606</c:v>
                </c:pt>
                <c:pt idx="561">
                  <c:v>96.510490664175705</c:v>
                </c:pt>
                <c:pt idx="562">
                  <c:v>96.318937070151804</c:v>
                </c:pt>
                <c:pt idx="563">
                  <c:v>96.127383476127875</c:v>
                </c:pt>
                <c:pt idx="564">
                  <c:v>95.958468108383215</c:v>
                </c:pt>
                <c:pt idx="565">
                  <c:v>95.835553851038739</c:v>
                </c:pt>
                <c:pt idx="566">
                  <c:v>95.713978717044</c:v>
                </c:pt>
                <c:pt idx="567">
                  <c:v>95.592403583049261</c:v>
                </c:pt>
                <c:pt idx="568">
                  <c:v>95.470828449054522</c:v>
                </c:pt>
                <c:pt idx="569">
                  <c:v>95.349253315059798</c:v>
                </c:pt>
                <c:pt idx="570">
                  <c:v>95.227678181065087</c:v>
                </c:pt>
                <c:pt idx="571">
                  <c:v>95.106103047070349</c:v>
                </c:pt>
                <c:pt idx="572">
                  <c:v>94.98452791307561</c:v>
                </c:pt>
                <c:pt idx="573">
                  <c:v>94.862952779080885</c:v>
                </c:pt>
                <c:pt idx="574">
                  <c:v>94.74137764508616</c:v>
                </c:pt>
                <c:pt idx="575">
                  <c:v>94.619802511091422</c:v>
                </c:pt>
                <c:pt idx="576">
                  <c:v>94.498227377096697</c:v>
                </c:pt>
                <c:pt idx="577">
                  <c:v>94.376652243101958</c:v>
                </c:pt>
                <c:pt idx="578">
                  <c:v>94.255077109107233</c:v>
                </c:pt>
                <c:pt idx="579">
                  <c:v>94.133501975112495</c:v>
                </c:pt>
                <c:pt idx="580">
                  <c:v>94.01192684111777</c:v>
                </c:pt>
                <c:pt idx="581">
                  <c:v>93.890351707123031</c:v>
                </c:pt>
                <c:pt idx="582">
                  <c:v>93.787968366316818</c:v>
                </c:pt>
                <c:pt idx="583">
                  <c:v>93.722978034935551</c:v>
                </c:pt>
                <c:pt idx="584">
                  <c:v>93.679129998629662</c:v>
                </c:pt>
                <c:pt idx="585">
                  <c:v>93.674626658578632</c:v>
                </c:pt>
                <c:pt idx="586">
                  <c:v>93.710005977636428</c:v>
                </c:pt>
                <c:pt idx="587">
                  <c:v>93.820016790895494</c:v>
                </c:pt>
                <c:pt idx="588">
                  <c:v>93.944681221917634</c:v>
                </c:pt>
                <c:pt idx="589">
                  <c:v>94.09435846725583</c:v>
                </c:pt>
                <c:pt idx="590">
                  <c:v>94.244687760378852</c:v>
                </c:pt>
                <c:pt idx="591">
                  <c:v>94.395017053501874</c:v>
                </c:pt>
                <c:pt idx="592">
                  <c:v>94.545346346624896</c:v>
                </c:pt>
                <c:pt idx="593">
                  <c:v>94.695675639747904</c:v>
                </c:pt>
                <c:pt idx="594">
                  <c:v>94.846004932870926</c:v>
                </c:pt>
                <c:pt idx="595">
                  <c:v>94.996334225993934</c:v>
                </c:pt>
                <c:pt idx="596">
                  <c:v>95.14666351911697</c:v>
                </c:pt>
                <c:pt idx="597">
                  <c:v>95.305579396822424</c:v>
                </c:pt>
                <c:pt idx="598">
                  <c:v>95.481385380703017</c:v>
                </c:pt>
                <c:pt idx="599">
                  <c:v>95.657640413480365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8F-4B34-9FBA-D326FED4E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8864"/>
        <c:axId val="420791040"/>
      </c:scatterChart>
      <c:scatterChart>
        <c:scatterStyle val="lineMarker"/>
        <c:varyColors val="0"/>
        <c:ser>
          <c:idx val="7"/>
          <c:order val="1"/>
          <c:tx>
            <c:strRef>
              <c:f>'REGAP Mesmos Parametros'!$F$32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'REGAP Mesmos Parametros'!$A$33:$A$133</c:f>
              <c:numCache>
                <c:formatCode>0.0</c:formatCode>
                <c:ptCount val="10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</c:numCache>
            </c:numRef>
          </c:xVal>
          <c:yVal>
            <c:numRef>
              <c:f>'REGAP Mesmos Parametros'!$F$33:$F$133</c:f>
              <c:numCache>
                <c:formatCode>0.0</c:formatCode>
                <c:ptCount val="10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0.64122400000000002</c:v>
                </c:pt>
                <c:pt idx="29">
                  <c:v>5.1782000000000004</c:v>
                </c:pt>
                <c:pt idx="30">
                  <c:v>5.9053899999999997</c:v>
                </c:pt>
                <c:pt idx="31">
                  <c:v>2.4799700000000001E-2</c:v>
                </c:pt>
                <c:pt idx="32">
                  <c:v>6.2370599999999996</c:v>
                </c:pt>
                <c:pt idx="33">
                  <c:v>6.6314900000000003</c:v>
                </c:pt>
                <c:pt idx="34">
                  <c:v>8.2123399999999993</c:v>
                </c:pt>
                <c:pt idx="35">
                  <c:v>8.5841100000000008</c:v>
                </c:pt>
                <c:pt idx="36">
                  <c:v>9.1579099999999993</c:v>
                </c:pt>
                <c:pt idx="37">
                  <c:v>10.384600000000001</c:v>
                </c:pt>
                <c:pt idx="38">
                  <c:v>10.308999999999999</c:v>
                </c:pt>
                <c:pt idx="39">
                  <c:v>11.5265</c:v>
                </c:pt>
                <c:pt idx="40">
                  <c:v>11.8742</c:v>
                </c:pt>
                <c:pt idx="41">
                  <c:v>13.122199999999999</c:v>
                </c:pt>
                <c:pt idx="42">
                  <c:v>11.5648</c:v>
                </c:pt>
                <c:pt idx="43">
                  <c:v>0.50153499999999995</c:v>
                </c:pt>
                <c:pt idx="44">
                  <c:v>2.44754</c:v>
                </c:pt>
                <c:pt idx="45">
                  <c:v>2.7635999999999998</c:v>
                </c:pt>
                <c:pt idx="46">
                  <c:v>6.4120900000000001</c:v>
                </c:pt>
                <c:pt idx="47">
                  <c:v>3.7424300000000001</c:v>
                </c:pt>
                <c:pt idx="48">
                  <c:v>1.9221299999999999</c:v>
                </c:pt>
                <c:pt idx="49">
                  <c:v>1.56166</c:v>
                </c:pt>
                <c:pt idx="50">
                  <c:v>3.2820499999999999</c:v>
                </c:pt>
                <c:pt idx="51">
                  <c:v>3.5716800000000002</c:v>
                </c:pt>
                <c:pt idx="52">
                  <c:v>4.5523499999999997</c:v>
                </c:pt>
                <c:pt idx="53">
                  <c:v>5.8726500000000001</c:v>
                </c:pt>
                <c:pt idx="54">
                  <c:v>5.1243800000000004</c:v>
                </c:pt>
                <c:pt idx="55">
                  <c:v>5.7151699999999996</c:v>
                </c:pt>
                <c:pt idx="56">
                  <c:v>5.7151500000000004</c:v>
                </c:pt>
                <c:pt idx="57">
                  <c:v>6.3266799999999996</c:v>
                </c:pt>
                <c:pt idx="58">
                  <c:v>6.3266600000000004</c:v>
                </c:pt>
                <c:pt idx="59">
                  <c:v>6.9612699999999998</c:v>
                </c:pt>
                <c:pt idx="60">
                  <c:v>6.3266600000000004</c:v>
                </c:pt>
                <c:pt idx="61">
                  <c:v>11.224</c:v>
                </c:pt>
                <c:pt idx="62">
                  <c:v>5.2081499999999998</c:v>
                </c:pt>
                <c:pt idx="63">
                  <c:v>5.1846699999999997</c:v>
                </c:pt>
                <c:pt idx="64">
                  <c:v>5.1846899999999998</c:v>
                </c:pt>
                <c:pt idx="65">
                  <c:v>5.1847000000000003</c:v>
                </c:pt>
                <c:pt idx="66">
                  <c:v>6.1125999999999996</c:v>
                </c:pt>
                <c:pt idx="67">
                  <c:v>6.1126100000000001</c:v>
                </c:pt>
                <c:pt idx="68">
                  <c:v>6.1126199999999997</c:v>
                </c:pt>
                <c:pt idx="69">
                  <c:v>6.1126300000000002</c:v>
                </c:pt>
                <c:pt idx="70">
                  <c:v>7.06595</c:v>
                </c:pt>
                <c:pt idx="71">
                  <c:v>7.0659599999999996</c:v>
                </c:pt>
                <c:pt idx="72">
                  <c:v>7.0659599999999996</c:v>
                </c:pt>
                <c:pt idx="73">
                  <c:v>7.0659599999999996</c:v>
                </c:pt>
                <c:pt idx="74">
                  <c:v>7.0659700000000001</c:v>
                </c:pt>
                <c:pt idx="75">
                  <c:v>7.0659799999999997</c:v>
                </c:pt>
                <c:pt idx="76">
                  <c:v>7.0659799999999997</c:v>
                </c:pt>
                <c:pt idx="77">
                  <c:v>7.0659900000000002</c:v>
                </c:pt>
                <c:pt idx="78">
                  <c:v>7.0659900000000002</c:v>
                </c:pt>
                <c:pt idx="79">
                  <c:v>7.0659999999999998</c:v>
                </c:pt>
                <c:pt idx="80">
                  <c:v>7.0659999999999998</c:v>
                </c:pt>
                <c:pt idx="81">
                  <c:v>7.0659999999999998</c:v>
                </c:pt>
                <c:pt idx="82">
                  <c:v>7.0659999999999998</c:v>
                </c:pt>
                <c:pt idx="83">
                  <c:v>7.0660100000000003</c:v>
                </c:pt>
                <c:pt idx="84">
                  <c:v>7.0660100000000003</c:v>
                </c:pt>
                <c:pt idx="85">
                  <c:v>1.69215</c:v>
                </c:pt>
                <c:pt idx="86">
                  <c:v>4.8828500000000004</c:v>
                </c:pt>
                <c:pt idx="87">
                  <c:v>7.5728900000000001</c:v>
                </c:pt>
                <c:pt idx="88">
                  <c:v>7.7823399999999996</c:v>
                </c:pt>
                <c:pt idx="89">
                  <c:v>16.1937</c:v>
                </c:pt>
                <c:pt idx="90">
                  <c:v>16.427399999999999</c:v>
                </c:pt>
                <c:pt idx="91">
                  <c:v>0.33718700000000001</c:v>
                </c:pt>
                <c:pt idx="92">
                  <c:v>0.26005499999999998</c:v>
                </c:pt>
                <c:pt idx="93">
                  <c:v>0.20371900000000001</c:v>
                </c:pt>
                <c:pt idx="94">
                  <c:v>0.147782</c:v>
                </c:pt>
                <c:pt idx="95">
                  <c:v>9.2779E-2</c:v>
                </c:pt>
                <c:pt idx="96">
                  <c:v>6.93299E-2</c:v>
                </c:pt>
                <c:pt idx="97">
                  <c:v>0.351609</c:v>
                </c:pt>
                <c:pt idx="98">
                  <c:v>0.35240300000000002</c:v>
                </c:pt>
                <c:pt idx="99">
                  <c:v>1.7324800000000001E-4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8F-4B34-9FBA-D326FED4EC62}"/>
            </c:ext>
          </c:extLst>
        </c:ser>
        <c:ser>
          <c:idx val="6"/>
          <c:order val="2"/>
          <c:tx>
            <c:strRef>
              <c:f>'REGAP Mesmos Parametros'!$G$32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'REGAP Mesmos Parametros'!$A$33:$A$133</c:f>
              <c:numCache>
                <c:formatCode>0.0</c:formatCode>
                <c:ptCount val="10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</c:numCache>
            </c:numRef>
          </c:xVal>
          <c:yVal>
            <c:numRef>
              <c:f>'REGAP Mesmos Parametros'!$G$33:$G$133</c:f>
              <c:numCache>
                <c:formatCode>0.0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0.36108299999999999</c:v>
                </c:pt>
                <c:pt idx="30">
                  <c:v>0.62567899999999999</c:v>
                </c:pt>
                <c:pt idx="31">
                  <c:v>0.85429600000000006</c:v>
                </c:pt>
                <c:pt idx="32">
                  <c:v>1.0851</c:v>
                </c:pt>
                <c:pt idx="33">
                  <c:v>1.26884</c:v>
                </c:pt>
                <c:pt idx="34">
                  <c:v>1.4186700000000001</c:v>
                </c:pt>
                <c:pt idx="35">
                  <c:v>1.54583</c:v>
                </c:pt>
                <c:pt idx="36">
                  <c:v>1.6572</c:v>
                </c:pt>
                <c:pt idx="37">
                  <c:v>1.7576099999999999</c:v>
                </c:pt>
                <c:pt idx="38">
                  <c:v>1.8436600000000001</c:v>
                </c:pt>
                <c:pt idx="39">
                  <c:v>1.91953</c:v>
                </c:pt>
                <c:pt idx="40">
                  <c:v>1.9933399999999999</c:v>
                </c:pt>
                <c:pt idx="41">
                  <c:v>2.0824500000000001</c:v>
                </c:pt>
                <c:pt idx="42">
                  <c:v>2.1738400000000002</c:v>
                </c:pt>
                <c:pt idx="43">
                  <c:v>2.3495599999999999</c:v>
                </c:pt>
                <c:pt idx="44">
                  <c:v>2.5395400000000001</c:v>
                </c:pt>
                <c:pt idx="45">
                  <c:v>2.6972200000000002</c:v>
                </c:pt>
                <c:pt idx="46">
                  <c:v>2.8418100000000002</c:v>
                </c:pt>
                <c:pt idx="47">
                  <c:v>2.9724699999999999</c:v>
                </c:pt>
                <c:pt idx="48">
                  <c:v>3.1328</c:v>
                </c:pt>
                <c:pt idx="49">
                  <c:v>3.2875800000000002</c:v>
                </c:pt>
                <c:pt idx="50">
                  <c:v>3.4338500000000001</c:v>
                </c:pt>
                <c:pt idx="51">
                  <c:v>3.5675500000000002</c:v>
                </c:pt>
                <c:pt idx="52">
                  <c:v>3.69163</c:v>
                </c:pt>
                <c:pt idx="53">
                  <c:v>3.8132899999999998</c:v>
                </c:pt>
                <c:pt idx="54">
                  <c:v>3.92665</c:v>
                </c:pt>
                <c:pt idx="55">
                  <c:v>4.0378600000000002</c:v>
                </c:pt>
                <c:pt idx="56">
                  <c:v>4.1443599999999998</c:v>
                </c:pt>
                <c:pt idx="57">
                  <c:v>4.2476799999999999</c:v>
                </c:pt>
                <c:pt idx="58">
                  <c:v>4.3473600000000001</c:v>
                </c:pt>
                <c:pt idx="59">
                  <c:v>4.4441100000000002</c:v>
                </c:pt>
                <c:pt idx="60">
                  <c:v>4.5375199999999998</c:v>
                </c:pt>
                <c:pt idx="61">
                  <c:v>4.6482900000000003</c:v>
                </c:pt>
                <c:pt idx="62">
                  <c:v>4.8475099999999998</c:v>
                </c:pt>
                <c:pt idx="63">
                  <c:v>5.0628500000000001</c:v>
                </c:pt>
                <c:pt idx="64">
                  <c:v>5.2779299999999996</c:v>
                </c:pt>
                <c:pt idx="65">
                  <c:v>5.4890400000000001</c:v>
                </c:pt>
                <c:pt idx="66">
                  <c:v>5.6997600000000004</c:v>
                </c:pt>
                <c:pt idx="67">
                  <c:v>5.9083100000000002</c:v>
                </c:pt>
                <c:pt idx="68">
                  <c:v>6.1142000000000003</c:v>
                </c:pt>
                <c:pt idx="69">
                  <c:v>6.3183100000000003</c:v>
                </c:pt>
                <c:pt idx="70">
                  <c:v>6.5215399999999999</c:v>
                </c:pt>
                <c:pt idx="71">
                  <c:v>6.7238800000000003</c:v>
                </c:pt>
                <c:pt idx="72">
                  <c:v>6.9257900000000001</c:v>
                </c:pt>
                <c:pt idx="73">
                  <c:v>7.1272700000000002</c:v>
                </c:pt>
                <c:pt idx="74">
                  <c:v>7.3278600000000003</c:v>
                </c:pt>
                <c:pt idx="75">
                  <c:v>7.5275400000000001</c:v>
                </c:pt>
                <c:pt idx="76">
                  <c:v>7.7272299999999996</c:v>
                </c:pt>
                <c:pt idx="77">
                  <c:v>7.9264799999999997</c:v>
                </c:pt>
                <c:pt idx="78">
                  <c:v>8.1262299999999996</c:v>
                </c:pt>
                <c:pt idx="79">
                  <c:v>8.3255300000000005</c:v>
                </c:pt>
                <c:pt idx="80">
                  <c:v>8.5243699999999993</c:v>
                </c:pt>
                <c:pt idx="81">
                  <c:v>8.7232199999999995</c:v>
                </c:pt>
                <c:pt idx="82">
                  <c:v>8.9216099999999994</c:v>
                </c:pt>
                <c:pt idx="83">
                  <c:v>9.1199999999999992</c:v>
                </c:pt>
                <c:pt idx="84">
                  <c:v>9.3179300000000005</c:v>
                </c:pt>
                <c:pt idx="85">
                  <c:v>9.5490200000000005</c:v>
                </c:pt>
                <c:pt idx="86">
                  <c:v>10.0197</c:v>
                </c:pt>
                <c:pt idx="87">
                  <c:v>10.513199999999999</c:v>
                </c:pt>
                <c:pt idx="88">
                  <c:v>10.987399999999999</c:v>
                </c:pt>
                <c:pt idx="89">
                  <c:v>11.4352</c:v>
                </c:pt>
                <c:pt idx="90">
                  <c:v>11.8413</c:v>
                </c:pt>
                <c:pt idx="91">
                  <c:v>12.3985</c:v>
                </c:pt>
                <c:pt idx="92">
                  <c:v>13.6808</c:v>
                </c:pt>
                <c:pt idx="93">
                  <c:v>14.7065</c:v>
                </c:pt>
                <c:pt idx="94">
                  <c:v>15.488</c:v>
                </c:pt>
                <c:pt idx="95">
                  <c:v>16.031300000000002</c:v>
                </c:pt>
                <c:pt idx="96">
                  <c:v>16.384499999999999</c:v>
                </c:pt>
                <c:pt idx="97">
                  <c:v>17.8325</c:v>
                </c:pt>
                <c:pt idx="98">
                  <c:v>19.3658</c:v>
                </c:pt>
                <c:pt idx="99">
                  <c:v>20.902899999999999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8F-4B34-9FBA-D326FED4EC62}"/>
            </c:ext>
          </c:extLst>
        </c:ser>
        <c:ser>
          <c:idx val="0"/>
          <c:order val="6"/>
          <c:tx>
            <c:strRef>
              <c:f>'REGAP Mesmos Parametros'!$AI$30</c:f>
              <c:strCache>
                <c:ptCount val="1"/>
                <c:pt idx="0">
                  <c:v>Água gerada no BLD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'REGAP Mesmos Parametros'!$Z$33:$Z$631</c:f>
              <c:numCache>
                <c:formatCode>General</c:formatCode>
                <c:ptCount val="5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</c:numCache>
            </c:numRef>
          </c:xVal>
          <c:yVal>
            <c:numRef>
              <c:f>'REGAP Mesmos Parametros'!$AI$33:$AI$632</c:f>
              <c:numCache>
                <c:formatCode>General</c:formatCode>
                <c:ptCount val="600"/>
                <c:pt idx="0">
                  <c:v>4.9140899924889636</c:v>
                </c:pt>
                <c:pt idx="1">
                  <c:v>1.9738475535994358</c:v>
                </c:pt>
                <c:pt idx="2">
                  <c:v>0.43290730562661589</c:v>
                </c:pt>
                <c:pt idx="3">
                  <c:v>1.5082468828056126</c:v>
                </c:pt>
                <c:pt idx="4">
                  <c:v>1.4729300727673111</c:v>
                </c:pt>
                <c:pt idx="5">
                  <c:v>0.59828955895378788</c:v>
                </c:pt>
                <c:pt idx="6">
                  <c:v>2.1802780161156883</c:v>
                </c:pt>
                <c:pt idx="7">
                  <c:v>2.0953186191701572</c:v>
                </c:pt>
                <c:pt idx="8">
                  <c:v>1.7270532351284373</c:v>
                </c:pt>
                <c:pt idx="9">
                  <c:v>3.9422648664478213</c:v>
                </c:pt>
                <c:pt idx="10">
                  <c:v>3.0507642085221125</c:v>
                </c:pt>
                <c:pt idx="11">
                  <c:v>3.0746258797002688</c:v>
                </c:pt>
                <c:pt idx="12">
                  <c:v>1.2408182167296651</c:v>
                </c:pt>
                <c:pt idx="13">
                  <c:v>0.64544330644568393</c:v>
                </c:pt>
                <c:pt idx="14">
                  <c:v>2.3701764837806203</c:v>
                </c:pt>
                <c:pt idx="15">
                  <c:v>4.1436191910503961</c:v>
                </c:pt>
                <c:pt idx="16">
                  <c:v>5.9170618983201715</c:v>
                </c:pt>
                <c:pt idx="17">
                  <c:v>7.1728259817980264</c:v>
                </c:pt>
                <c:pt idx="18">
                  <c:v>7.4569637689988921</c:v>
                </c:pt>
                <c:pt idx="19">
                  <c:v>7.7186253060102459</c:v>
                </c:pt>
                <c:pt idx="20">
                  <c:v>7.9802868430215987</c:v>
                </c:pt>
                <c:pt idx="21">
                  <c:v>8.2419483800329516</c:v>
                </c:pt>
                <c:pt idx="22">
                  <c:v>8.5036099170443062</c:v>
                </c:pt>
                <c:pt idx="23">
                  <c:v>8.7652714540556573</c:v>
                </c:pt>
                <c:pt idx="24">
                  <c:v>9.026932991067012</c:v>
                </c:pt>
                <c:pt idx="25">
                  <c:v>9.2885945280783648</c:v>
                </c:pt>
                <c:pt idx="26">
                  <c:v>9.5502560650897177</c:v>
                </c:pt>
                <c:pt idx="27">
                  <c:v>9.344827868103188</c:v>
                </c:pt>
                <c:pt idx="28">
                  <c:v>8.2831059770623181</c:v>
                </c:pt>
                <c:pt idx="29">
                  <c:v>7.2029859899543327</c:v>
                </c:pt>
                <c:pt idx="30">
                  <c:v>6.5081210493766184</c:v>
                </c:pt>
                <c:pt idx="31">
                  <c:v>6.5350138852672588</c:v>
                </c:pt>
                <c:pt idx="32">
                  <c:v>6.5785087811964162</c:v>
                </c:pt>
                <c:pt idx="33">
                  <c:v>6.6220036771255728</c:v>
                </c:pt>
                <c:pt idx="34">
                  <c:v>6.6654985730547303</c:v>
                </c:pt>
                <c:pt idx="35">
                  <c:v>6.7089934689838877</c:v>
                </c:pt>
                <c:pt idx="36">
                  <c:v>6.2239514484718539</c:v>
                </c:pt>
                <c:pt idx="37">
                  <c:v>6.0308897526454528</c:v>
                </c:pt>
                <c:pt idx="38">
                  <c:v>7.351952299095867</c:v>
                </c:pt>
                <c:pt idx="39">
                  <c:v>7.4552918968178012</c:v>
                </c:pt>
                <c:pt idx="40">
                  <c:v>7.5344551677427383</c:v>
                </c:pt>
                <c:pt idx="41">
                  <c:v>7.6136184386676744</c:v>
                </c:pt>
                <c:pt idx="42">
                  <c:v>7.6927817095926097</c:v>
                </c:pt>
                <c:pt idx="43">
                  <c:v>7.7719449805175458</c:v>
                </c:pt>
                <c:pt idx="44">
                  <c:v>6.8012924006046971</c:v>
                </c:pt>
                <c:pt idx="45">
                  <c:v>3.8539201935981819</c:v>
                </c:pt>
                <c:pt idx="46">
                  <c:v>2.2896442848156977</c:v>
                </c:pt>
                <c:pt idx="47">
                  <c:v>3.3735965912248065</c:v>
                </c:pt>
                <c:pt idx="48">
                  <c:v>4.5164001791511694</c:v>
                </c:pt>
                <c:pt idx="49">
                  <c:v>4.5652756736896931</c:v>
                </c:pt>
                <c:pt idx="50">
                  <c:v>2.6111203909291096</c:v>
                </c:pt>
                <c:pt idx="51">
                  <c:v>1.5238362641074319</c:v>
                </c:pt>
                <c:pt idx="52">
                  <c:v>2.0264388368865465</c:v>
                </c:pt>
                <c:pt idx="53">
                  <c:v>2.5581593012502877</c:v>
                </c:pt>
                <c:pt idx="54">
                  <c:v>3.0898797656140289</c:v>
                </c:pt>
                <c:pt idx="55">
                  <c:v>3.6216002299777692</c:v>
                </c:pt>
                <c:pt idx="56">
                  <c:v>3.2309209891177333</c:v>
                </c:pt>
                <c:pt idx="57">
                  <c:v>2.2729593349165973</c:v>
                </c:pt>
                <c:pt idx="58">
                  <c:v>2.4004130224122253</c:v>
                </c:pt>
                <c:pt idx="59">
                  <c:v>2.5085260401688383</c:v>
                </c:pt>
                <c:pt idx="60">
                  <c:v>7.3281552149410452</c:v>
                </c:pt>
                <c:pt idx="61">
                  <c:v>18.28206962831446</c:v>
                </c:pt>
                <c:pt idx="62">
                  <c:v>33.35167399575051</c:v>
                </c:pt>
                <c:pt idx="63">
                  <c:v>40.263954644543354</c:v>
                </c:pt>
                <c:pt idx="64">
                  <c:v>33.65397600871524</c:v>
                </c:pt>
                <c:pt idx="65">
                  <c:v>19.720311370667421</c:v>
                </c:pt>
                <c:pt idx="66">
                  <c:v>14.994643547707682</c:v>
                </c:pt>
                <c:pt idx="67">
                  <c:v>13.328911968717577</c:v>
                </c:pt>
                <c:pt idx="68">
                  <c:v>11.721347579392315</c:v>
                </c:pt>
                <c:pt idx="69">
                  <c:v>10.651634690720039</c:v>
                </c:pt>
                <c:pt idx="70">
                  <c:v>10.527599490529722</c:v>
                </c:pt>
                <c:pt idx="71">
                  <c:v>10.421251387720249</c:v>
                </c:pt>
                <c:pt idx="72">
                  <c:v>10.314903284910773</c:v>
                </c:pt>
                <c:pt idx="73">
                  <c:v>10.34030020923956</c:v>
                </c:pt>
                <c:pt idx="74">
                  <c:v>10.611795443768687</c:v>
                </c:pt>
                <c:pt idx="75">
                  <c:v>10.888900535516447</c:v>
                </c:pt>
                <c:pt idx="76">
                  <c:v>11.166005627264207</c:v>
                </c:pt>
                <c:pt idx="77">
                  <c:v>11.443110719011967</c:v>
                </c:pt>
                <c:pt idx="78">
                  <c:v>11.720215810759727</c:v>
                </c:pt>
                <c:pt idx="79">
                  <c:v>11.728471070988512</c:v>
                </c:pt>
                <c:pt idx="80">
                  <c:v>11.238196424908841</c:v>
                </c:pt>
                <c:pt idx="81">
                  <c:v>10.736815549547273</c:v>
                </c:pt>
                <c:pt idx="82">
                  <c:v>10.487503290671038</c:v>
                </c:pt>
                <c:pt idx="83">
                  <c:v>10.68485544495528</c:v>
                </c:pt>
                <c:pt idx="84">
                  <c:v>10.890787121828316</c:v>
                </c:pt>
                <c:pt idx="85">
                  <c:v>11.096718798701346</c:v>
                </c:pt>
                <c:pt idx="86">
                  <c:v>11.30265047557438</c:v>
                </c:pt>
                <c:pt idx="87">
                  <c:v>11.508582152447412</c:v>
                </c:pt>
                <c:pt idx="88">
                  <c:v>11.714513829320444</c:v>
                </c:pt>
                <c:pt idx="89">
                  <c:v>11.920445506193476</c:v>
                </c:pt>
                <c:pt idx="90">
                  <c:v>12.126377183066509</c:v>
                </c:pt>
                <c:pt idx="91">
                  <c:v>11.99100496967049</c:v>
                </c:pt>
                <c:pt idx="92">
                  <c:v>11.241445377481677</c:v>
                </c:pt>
                <c:pt idx="93">
                  <c:v>10.479462889873545</c:v>
                </c:pt>
                <c:pt idx="94">
                  <c:v>9.717480402265414</c:v>
                </c:pt>
                <c:pt idx="95">
                  <c:v>8.9554979146572808</c:v>
                </c:pt>
                <c:pt idx="96">
                  <c:v>8.1935154270491495</c:v>
                </c:pt>
                <c:pt idx="97">
                  <c:v>6.2097049416846426</c:v>
                </c:pt>
                <c:pt idx="98">
                  <c:v>5.9017947444887513</c:v>
                </c:pt>
                <c:pt idx="99">
                  <c:v>10.069851673184884</c:v>
                </c:pt>
                <c:pt idx="100">
                  <c:v>10.380515353523508</c:v>
                </c:pt>
                <c:pt idx="101">
                  <c:v>10.60902700085307</c:v>
                </c:pt>
                <c:pt idx="102">
                  <c:v>10.837538648182635</c:v>
                </c:pt>
                <c:pt idx="103">
                  <c:v>11.066050295512198</c:v>
                </c:pt>
                <c:pt idx="104">
                  <c:v>10.967893509410166</c:v>
                </c:pt>
                <c:pt idx="105">
                  <c:v>10.255561048257348</c:v>
                </c:pt>
                <c:pt idx="106">
                  <c:v>9.5289458291818043</c:v>
                </c:pt>
                <c:pt idx="107">
                  <c:v>9.480778499832347</c:v>
                </c:pt>
                <c:pt idx="108">
                  <c:v>10.66521102923253</c:v>
                </c:pt>
                <c:pt idx="109">
                  <c:v>11.875367375809128</c:v>
                </c:pt>
                <c:pt idx="110">
                  <c:v>13.085523722385725</c:v>
                </c:pt>
                <c:pt idx="111">
                  <c:v>13.918911912363169</c:v>
                </c:pt>
                <c:pt idx="112">
                  <c:v>14.08386008704556</c:v>
                </c:pt>
                <c:pt idx="113">
                  <c:v>13.334664647219938</c:v>
                </c:pt>
                <c:pt idx="114">
                  <c:v>11.649113000077051</c:v>
                </c:pt>
                <c:pt idx="115">
                  <c:v>11.216659069490442</c:v>
                </c:pt>
                <c:pt idx="116">
                  <c:v>10.81057259839733</c:v>
                </c:pt>
                <c:pt idx="117">
                  <c:v>10.404486127304219</c:v>
                </c:pt>
                <c:pt idx="118">
                  <c:v>9.9983996562111077</c:v>
                </c:pt>
                <c:pt idx="119">
                  <c:v>10.187926284787533</c:v>
                </c:pt>
                <c:pt idx="120">
                  <c:v>11.50402702432693</c:v>
                </c:pt>
                <c:pt idx="121">
                  <c:v>12.225319722837179</c:v>
                </c:pt>
                <c:pt idx="122">
                  <c:v>11.803525312640824</c:v>
                </c:pt>
                <c:pt idx="123">
                  <c:v>11.356912886234928</c:v>
                </c:pt>
                <c:pt idx="124">
                  <c:v>10.910300459829026</c:v>
                </c:pt>
                <c:pt idx="125">
                  <c:v>10.463688033423127</c:v>
                </c:pt>
                <c:pt idx="126">
                  <c:v>10.017075607017228</c:v>
                </c:pt>
                <c:pt idx="127">
                  <c:v>9.5704631806113287</c:v>
                </c:pt>
                <c:pt idx="128">
                  <c:v>9.5033670193964586</c:v>
                </c:pt>
                <c:pt idx="129">
                  <c:v>10.129547566525362</c:v>
                </c:pt>
                <c:pt idx="130">
                  <c:v>10.770454337609104</c:v>
                </c:pt>
                <c:pt idx="131">
                  <c:v>11.41136110869285</c:v>
                </c:pt>
                <c:pt idx="132">
                  <c:v>11.633494976169551</c:v>
                </c:pt>
                <c:pt idx="133">
                  <c:v>11.116895880191436</c:v>
                </c:pt>
                <c:pt idx="134">
                  <c:v>10.586323256300139</c:v>
                </c:pt>
                <c:pt idx="135">
                  <c:v>10.207863291487833</c:v>
                </c:pt>
                <c:pt idx="136">
                  <c:v>10.090043168769153</c:v>
                </c:pt>
                <c:pt idx="137">
                  <c:v>9.9766736663097291</c:v>
                </c:pt>
                <c:pt idx="138">
                  <c:v>6.4049938336493932</c:v>
                </c:pt>
                <c:pt idx="139">
                  <c:v>1.3408106726821121</c:v>
                </c:pt>
                <c:pt idx="140">
                  <c:v>4.6049825644998785</c:v>
                </c:pt>
                <c:pt idx="141">
                  <c:v>6.08141648188787</c:v>
                </c:pt>
                <c:pt idx="142">
                  <c:v>5.131264363883731</c:v>
                </c:pt>
                <c:pt idx="143">
                  <c:v>7.2450326629696455</c:v>
                </c:pt>
                <c:pt idx="144">
                  <c:v>10.319047527925694</c:v>
                </c:pt>
                <c:pt idx="145">
                  <c:v>8.8993007061407603</c:v>
                </c:pt>
                <c:pt idx="146">
                  <c:v>5.733895350236871</c:v>
                </c:pt>
                <c:pt idx="147">
                  <c:v>6.7424736523425013</c:v>
                </c:pt>
                <c:pt idx="148">
                  <c:v>9.2719156530819014</c:v>
                </c:pt>
                <c:pt idx="149">
                  <c:v>12.617149363541152</c:v>
                </c:pt>
                <c:pt idx="150">
                  <c:v>12.877571146702712</c:v>
                </c:pt>
                <c:pt idx="151">
                  <c:v>13.079093882384663</c:v>
                </c:pt>
                <c:pt idx="152">
                  <c:v>13.280616618066611</c:v>
                </c:pt>
                <c:pt idx="153">
                  <c:v>12.717869004847133</c:v>
                </c:pt>
                <c:pt idx="154">
                  <c:v>11.67385630743316</c:v>
                </c:pt>
                <c:pt idx="155">
                  <c:v>12.208899062629156</c:v>
                </c:pt>
                <c:pt idx="156">
                  <c:v>12.775951461487351</c:v>
                </c:pt>
                <c:pt idx="157">
                  <c:v>13.343003860345545</c:v>
                </c:pt>
                <c:pt idx="158">
                  <c:v>13.91005625920374</c:v>
                </c:pt>
                <c:pt idx="159">
                  <c:v>14.477108658061937</c:v>
                </c:pt>
                <c:pt idx="160">
                  <c:v>14.707542923804256</c:v>
                </c:pt>
                <c:pt idx="161">
                  <c:v>14.339907490260218</c:v>
                </c:pt>
                <c:pt idx="162">
                  <c:v>13.960680640441312</c:v>
                </c:pt>
                <c:pt idx="163">
                  <c:v>13.581453790622406</c:v>
                </c:pt>
                <c:pt idx="164">
                  <c:v>13.202226940803499</c:v>
                </c:pt>
                <c:pt idx="165">
                  <c:v>13.039944839765814</c:v>
                </c:pt>
                <c:pt idx="166">
                  <c:v>13.251397144314003</c:v>
                </c:pt>
                <c:pt idx="167">
                  <c:v>13.469356004829804</c:v>
                </c:pt>
                <c:pt idx="168">
                  <c:v>13.687314865345606</c:v>
                </c:pt>
                <c:pt idx="169">
                  <c:v>13.905273725861408</c:v>
                </c:pt>
                <c:pt idx="170">
                  <c:v>14.123232586377208</c:v>
                </c:pt>
                <c:pt idx="171">
                  <c:v>14.341191446893012</c:v>
                </c:pt>
                <c:pt idx="172">
                  <c:v>13.5487322953931</c:v>
                </c:pt>
                <c:pt idx="173">
                  <c:v>11.905065743880238</c:v>
                </c:pt>
                <c:pt idx="174">
                  <c:v>11.989091378392837</c:v>
                </c:pt>
                <c:pt idx="175">
                  <c:v>12.106779395700455</c:v>
                </c:pt>
                <c:pt idx="176">
                  <c:v>12.224467413008073</c:v>
                </c:pt>
                <c:pt idx="177">
                  <c:v>12.342155430315692</c:v>
                </c:pt>
                <c:pt idx="178">
                  <c:v>12.459843447623312</c:v>
                </c:pt>
                <c:pt idx="179">
                  <c:v>12.57753146493093</c:v>
                </c:pt>
                <c:pt idx="180">
                  <c:v>12.695219482238549</c:v>
                </c:pt>
                <c:pt idx="181">
                  <c:v>12.812907499546169</c:v>
                </c:pt>
                <c:pt idx="182">
                  <c:v>12.912032398189417</c:v>
                </c:pt>
                <c:pt idx="183">
                  <c:v>12.977947408468646</c:v>
                </c:pt>
                <c:pt idx="184">
                  <c:v>13.043203639748478</c:v>
                </c:pt>
                <c:pt idx="185">
                  <c:v>13.108459871028311</c:v>
                </c:pt>
                <c:pt idx="186">
                  <c:v>13.173716102308141</c:v>
                </c:pt>
                <c:pt idx="187">
                  <c:v>13.238972333587975</c:v>
                </c:pt>
                <c:pt idx="188">
                  <c:v>13.304228564867811</c:v>
                </c:pt>
                <c:pt idx="189">
                  <c:v>13.369484796147644</c:v>
                </c:pt>
                <c:pt idx="190">
                  <c:v>13.434741027427476</c:v>
                </c:pt>
                <c:pt idx="191">
                  <c:v>13.478251832255291</c:v>
                </c:pt>
                <c:pt idx="192">
                  <c:v>13.482497391955386</c:v>
                </c:pt>
                <c:pt idx="193">
                  <c:v>13.485939776525599</c:v>
                </c:pt>
                <c:pt idx="194">
                  <c:v>13.489382161095817</c:v>
                </c:pt>
                <c:pt idx="195">
                  <c:v>13.492824545666032</c:v>
                </c:pt>
                <c:pt idx="196">
                  <c:v>13.496266930236246</c:v>
                </c:pt>
                <c:pt idx="197">
                  <c:v>13.499709314806461</c:v>
                </c:pt>
                <c:pt idx="198">
                  <c:v>13.503151699376678</c:v>
                </c:pt>
                <c:pt idx="199">
                  <c:v>13.506594083946894</c:v>
                </c:pt>
                <c:pt idx="200">
                  <c:v>13.510036468517107</c:v>
                </c:pt>
                <c:pt idx="201">
                  <c:v>13.513478853087323</c:v>
                </c:pt>
                <c:pt idx="202">
                  <c:v>13.516921237657536</c:v>
                </c:pt>
                <c:pt idx="203">
                  <c:v>13.520363622227753</c:v>
                </c:pt>
                <c:pt idx="204">
                  <c:v>13.523806006797969</c:v>
                </c:pt>
                <c:pt idx="205">
                  <c:v>13.527248391368184</c:v>
                </c:pt>
                <c:pt idx="206">
                  <c:v>13.530690775938398</c:v>
                </c:pt>
                <c:pt idx="207">
                  <c:v>13.534133160508615</c:v>
                </c:pt>
                <c:pt idx="208">
                  <c:v>13.537575545078829</c:v>
                </c:pt>
                <c:pt idx="209">
                  <c:v>13.55215422751297</c:v>
                </c:pt>
                <c:pt idx="210">
                  <c:v>13.586646857143771</c:v>
                </c:pt>
                <c:pt idx="211">
                  <c:v>13.621533909218257</c:v>
                </c:pt>
                <c:pt idx="212">
                  <c:v>13.656420961292746</c:v>
                </c:pt>
                <c:pt idx="213">
                  <c:v>13.691308013367228</c:v>
                </c:pt>
                <c:pt idx="214">
                  <c:v>13.726195065441713</c:v>
                </c:pt>
                <c:pt idx="215">
                  <c:v>13.761082117516198</c:v>
                </c:pt>
                <c:pt idx="216">
                  <c:v>13.795969169590682</c:v>
                </c:pt>
                <c:pt idx="217">
                  <c:v>13.830856221665167</c:v>
                </c:pt>
                <c:pt idx="218">
                  <c:v>13.865743273739653</c:v>
                </c:pt>
                <c:pt idx="219">
                  <c:v>13.90063032581414</c:v>
                </c:pt>
                <c:pt idx="220">
                  <c:v>13.935517377888623</c:v>
                </c:pt>
                <c:pt idx="221">
                  <c:v>13.970404429963109</c:v>
                </c:pt>
                <c:pt idx="222">
                  <c:v>14.005291482037594</c:v>
                </c:pt>
                <c:pt idx="223">
                  <c:v>14.040178534112078</c:v>
                </c:pt>
                <c:pt idx="224">
                  <c:v>13.972720438832164</c:v>
                </c:pt>
                <c:pt idx="225">
                  <c:v>13.720661762692837</c:v>
                </c:pt>
                <c:pt idx="226">
                  <c:v>13.464840607317138</c:v>
                </c:pt>
                <c:pt idx="227">
                  <c:v>13.209019451941444</c:v>
                </c:pt>
                <c:pt idx="228">
                  <c:v>12.953198296565743</c:v>
                </c:pt>
                <c:pt idx="229">
                  <c:v>12.697377141190048</c:v>
                </c:pt>
                <c:pt idx="230">
                  <c:v>12.441555985814352</c:v>
                </c:pt>
                <c:pt idx="231">
                  <c:v>12.185734830438653</c:v>
                </c:pt>
                <c:pt idx="232">
                  <c:v>11.929913675062958</c:v>
                </c:pt>
                <c:pt idx="233">
                  <c:v>11.586130074106284</c:v>
                </c:pt>
                <c:pt idx="234">
                  <c:v>11.082534332486157</c:v>
                </c:pt>
                <c:pt idx="235">
                  <c:v>10.575603210566014</c:v>
                </c:pt>
                <c:pt idx="236">
                  <c:v>10.429475400639051</c:v>
                </c:pt>
                <c:pt idx="237">
                  <c:v>10.9211330487667</c:v>
                </c:pt>
                <c:pt idx="238">
                  <c:v>11.424940046636154</c:v>
                </c:pt>
                <c:pt idx="239">
                  <c:v>11.928747044505606</c:v>
                </c:pt>
                <c:pt idx="240">
                  <c:v>12.234714450963255</c:v>
                </c:pt>
                <c:pt idx="241">
                  <c:v>12.182294915373708</c:v>
                </c:pt>
                <c:pt idx="242">
                  <c:v>12.122466766362756</c:v>
                </c:pt>
                <c:pt idx="243">
                  <c:v>12.062638617351809</c:v>
                </c:pt>
                <c:pt idx="244">
                  <c:v>12.002810468340861</c:v>
                </c:pt>
                <c:pt idx="245">
                  <c:v>11.942982319329907</c:v>
                </c:pt>
                <c:pt idx="246">
                  <c:v>11.883154170318958</c:v>
                </c:pt>
                <c:pt idx="247">
                  <c:v>11.823326021308008</c:v>
                </c:pt>
                <c:pt idx="248">
                  <c:v>11.763497872297057</c:v>
                </c:pt>
                <c:pt idx="249">
                  <c:v>11.703669723286106</c:v>
                </c:pt>
                <c:pt idx="250">
                  <c:v>11.643841574275157</c:v>
                </c:pt>
                <c:pt idx="251">
                  <c:v>11.584013425264208</c:v>
                </c:pt>
                <c:pt idx="252">
                  <c:v>11.524185276253256</c:v>
                </c:pt>
                <c:pt idx="253">
                  <c:v>11.464357127242307</c:v>
                </c:pt>
                <c:pt idx="254">
                  <c:v>11.404528978231355</c:v>
                </c:pt>
                <c:pt idx="255">
                  <c:v>11.344700829220406</c:v>
                </c:pt>
                <c:pt idx="256">
                  <c:v>11.284872680209455</c:v>
                </c:pt>
                <c:pt idx="257">
                  <c:v>11.225044531198506</c:v>
                </c:pt>
                <c:pt idx="258">
                  <c:v>11.165216382187557</c:v>
                </c:pt>
                <c:pt idx="259">
                  <c:v>11.105388233176605</c:v>
                </c:pt>
                <c:pt idx="260">
                  <c:v>10.389512096012178</c:v>
                </c:pt>
                <c:pt idx="261">
                  <c:v>9.3033933015418757</c:v>
                </c:pt>
                <c:pt idx="262">
                  <c:v>9.6569228062423154</c:v>
                </c:pt>
                <c:pt idx="263">
                  <c:v>10.041376666917571</c:v>
                </c:pt>
                <c:pt idx="264">
                  <c:v>10.425830527592828</c:v>
                </c:pt>
                <c:pt idx="265">
                  <c:v>10.810284388268082</c:v>
                </c:pt>
                <c:pt idx="266">
                  <c:v>11.07662021031981</c:v>
                </c:pt>
                <c:pt idx="267">
                  <c:v>11.126735413258791</c:v>
                </c:pt>
                <c:pt idx="268">
                  <c:v>11.172226905077752</c:v>
                </c:pt>
                <c:pt idx="269">
                  <c:v>11.217718396896712</c:v>
                </c:pt>
                <c:pt idx="270">
                  <c:v>11.263209888715673</c:v>
                </c:pt>
                <c:pt idx="271">
                  <c:v>11.308701380534634</c:v>
                </c:pt>
                <c:pt idx="272">
                  <c:v>11.354192872353593</c:v>
                </c:pt>
                <c:pt idx="273">
                  <c:v>11.399684364172556</c:v>
                </c:pt>
                <c:pt idx="274">
                  <c:v>11.445175855991515</c:v>
                </c:pt>
                <c:pt idx="275">
                  <c:v>11.490667347810477</c:v>
                </c:pt>
                <c:pt idx="276">
                  <c:v>11.536158839629437</c:v>
                </c:pt>
                <c:pt idx="277">
                  <c:v>11.581650331448396</c:v>
                </c:pt>
                <c:pt idx="278">
                  <c:v>11.627141823267358</c:v>
                </c:pt>
                <c:pt idx="279">
                  <c:v>11.672633315086317</c:v>
                </c:pt>
                <c:pt idx="280">
                  <c:v>11.71812480690528</c:v>
                </c:pt>
                <c:pt idx="281">
                  <c:v>11.763616298724239</c:v>
                </c:pt>
                <c:pt idx="282">
                  <c:v>11.809107790543196</c:v>
                </c:pt>
                <c:pt idx="283">
                  <c:v>11.854599282362161</c:v>
                </c:pt>
                <c:pt idx="284">
                  <c:v>11.900090774181123</c:v>
                </c:pt>
                <c:pt idx="285">
                  <c:v>11.945582266000082</c:v>
                </c:pt>
                <c:pt idx="286">
                  <c:v>11.953367417953217</c:v>
                </c:pt>
                <c:pt idx="287">
                  <c:v>11.890912063422286</c:v>
                </c:pt>
                <c:pt idx="288">
                  <c:v>11.826869276326951</c:v>
                </c:pt>
                <c:pt idx="289">
                  <c:v>11.762826489231619</c:v>
                </c:pt>
                <c:pt idx="290">
                  <c:v>11.698783702136282</c:v>
                </c:pt>
                <c:pt idx="291">
                  <c:v>11.634740915040945</c:v>
                </c:pt>
                <c:pt idx="292">
                  <c:v>11.570698127945613</c:v>
                </c:pt>
                <c:pt idx="293">
                  <c:v>11.506655340850278</c:v>
                </c:pt>
                <c:pt idx="294">
                  <c:v>11.442612553754946</c:v>
                </c:pt>
                <c:pt idx="295">
                  <c:v>11.378569766659611</c:v>
                </c:pt>
                <c:pt idx="296">
                  <c:v>11.314526979564278</c:v>
                </c:pt>
                <c:pt idx="297">
                  <c:v>11.25048419246894</c:v>
                </c:pt>
                <c:pt idx="298">
                  <c:v>11.186441405373605</c:v>
                </c:pt>
                <c:pt idx="299">
                  <c:v>10.897886510717123</c:v>
                </c:pt>
                <c:pt idx="300">
                  <c:v>10.177454375924398</c:v>
                </c:pt>
                <c:pt idx="301">
                  <c:v>9.446261846261466</c:v>
                </c:pt>
                <c:pt idx="302">
                  <c:v>9.1292883378241587</c:v>
                </c:pt>
                <c:pt idx="303">
                  <c:v>9.5947602790029336</c:v>
                </c:pt>
                <c:pt idx="304">
                  <c:v>10.078691240839168</c:v>
                </c:pt>
                <c:pt idx="305">
                  <c:v>10.400144659899906</c:v>
                </c:pt>
                <c:pt idx="306">
                  <c:v>10.408032735188803</c:v>
                </c:pt>
                <c:pt idx="307">
                  <c:v>10.408032735188803</c:v>
                </c:pt>
                <c:pt idx="308">
                  <c:v>10.408032735188803</c:v>
                </c:pt>
                <c:pt idx="309">
                  <c:v>10.408032735188803</c:v>
                </c:pt>
                <c:pt idx="310">
                  <c:v>10.408032735188803</c:v>
                </c:pt>
                <c:pt idx="311">
                  <c:v>10.408032735188803</c:v>
                </c:pt>
                <c:pt idx="312">
                  <c:v>10.408032735188803</c:v>
                </c:pt>
                <c:pt idx="313">
                  <c:v>10.408032735188803</c:v>
                </c:pt>
                <c:pt idx="314">
                  <c:v>10.408032735188803</c:v>
                </c:pt>
                <c:pt idx="315">
                  <c:v>10.592964642894186</c:v>
                </c:pt>
                <c:pt idx="316">
                  <c:v>11.142031866334174</c:v>
                </c:pt>
                <c:pt idx="317">
                  <c:v>11.534949036836544</c:v>
                </c:pt>
                <c:pt idx="318">
                  <c:v>11.610252209430305</c:v>
                </c:pt>
                <c:pt idx="319">
                  <c:v>11.677747298180011</c:v>
                </c:pt>
                <c:pt idx="320">
                  <c:v>11.745242386929718</c:v>
                </c:pt>
                <c:pt idx="321">
                  <c:v>11.812737475679421</c:v>
                </c:pt>
                <c:pt idx="322">
                  <c:v>11.880232564429129</c:v>
                </c:pt>
                <c:pt idx="323">
                  <c:v>11.947727653178836</c:v>
                </c:pt>
                <c:pt idx="324">
                  <c:v>12.015222741928538</c:v>
                </c:pt>
                <c:pt idx="325">
                  <c:v>12.082717830678249</c:v>
                </c:pt>
                <c:pt idx="326">
                  <c:v>12.150212919427952</c:v>
                </c:pt>
                <c:pt idx="327">
                  <c:v>12.217708008177659</c:v>
                </c:pt>
                <c:pt idx="328">
                  <c:v>12.285203096927367</c:v>
                </c:pt>
                <c:pt idx="329">
                  <c:v>12.352698185677072</c:v>
                </c:pt>
                <c:pt idx="330">
                  <c:v>12.536044588618301</c:v>
                </c:pt>
                <c:pt idx="331">
                  <c:v>12.947882302810669</c:v>
                </c:pt>
                <c:pt idx="332">
                  <c:v>13.365841153662222</c:v>
                </c:pt>
                <c:pt idx="333">
                  <c:v>13.783800004513777</c:v>
                </c:pt>
                <c:pt idx="334">
                  <c:v>14.201758855365332</c:v>
                </c:pt>
                <c:pt idx="335">
                  <c:v>14.619717706216884</c:v>
                </c:pt>
                <c:pt idx="336">
                  <c:v>14.640607760711346</c:v>
                </c:pt>
                <c:pt idx="337">
                  <c:v>13.876713257454398</c:v>
                </c:pt>
                <c:pt idx="338">
                  <c:v>13.091668418795024</c:v>
                </c:pt>
                <c:pt idx="339">
                  <c:v>12.306623580135655</c:v>
                </c:pt>
                <c:pt idx="340">
                  <c:v>11.791254509315406</c:v>
                </c:pt>
                <c:pt idx="341">
                  <c:v>11.824376556524006</c:v>
                </c:pt>
                <c:pt idx="342">
                  <c:v>11.873505816250272</c:v>
                </c:pt>
                <c:pt idx="343">
                  <c:v>11.922635075976537</c:v>
                </c:pt>
                <c:pt idx="344">
                  <c:v>11.971764335702801</c:v>
                </c:pt>
                <c:pt idx="345">
                  <c:v>12.020893595429067</c:v>
                </c:pt>
                <c:pt idx="346">
                  <c:v>12.070022855155335</c:v>
                </c:pt>
                <c:pt idx="347">
                  <c:v>12.119152114881599</c:v>
                </c:pt>
                <c:pt idx="348">
                  <c:v>12.168281374607863</c:v>
                </c:pt>
                <c:pt idx="349">
                  <c:v>12.217410634334129</c:v>
                </c:pt>
                <c:pt idx="350">
                  <c:v>12.266539894060395</c:v>
                </c:pt>
                <c:pt idx="351">
                  <c:v>12.31566915378666</c:v>
                </c:pt>
                <c:pt idx="352">
                  <c:v>12.364798413512924</c:v>
                </c:pt>
                <c:pt idx="353">
                  <c:v>12.158273498854962</c:v>
                </c:pt>
                <c:pt idx="354">
                  <c:v>11.429137677270319</c:v>
                </c:pt>
                <c:pt idx="355">
                  <c:v>10.925547844524973</c:v>
                </c:pt>
                <c:pt idx="356">
                  <c:v>10.914182575360632</c:v>
                </c:pt>
                <c:pt idx="357">
                  <c:v>10.917345127358667</c:v>
                </c:pt>
                <c:pt idx="358">
                  <c:v>10.920507679356708</c:v>
                </c:pt>
                <c:pt idx="359">
                  <c:v>10.923670231354748</c:v>
                </c:pt>
                <c:pt idx="360">
                  <c:v>10.926832783352785</c:v>
                </c:pt>
                <c:pt idx="361">
                  <c:v>10.929995335350824</c:v>
                </c:pt>
                <c:pt idx="362">
                  <c:v>10.933157887348862</c:v>
                </c:pt>
                <c:pt idx="363">
                  <c:v>10.9363204393469</c:v>
                </c:pt>
                <c:pt idx="364">
                  <c:v>10.93948299134494</c:v>
                </c:pt>
                <c:pt idx="365">
                  <c:v>10.942645543342978</c:v>
                </c:pt>
                <c:pt idx="366">
                  <c:v>10.945808095341016</c:v>
                </c:pt>
                <c:pt idx="367">
                  <c:v>10.948970647339058</c:v>
                </c:pt>
                <c:pt idx="368">
                  <c:v>10.952133199337093</c:v>
                </c:pt>
                <c:pt idx="369">
                  <c:v>10.955295751335134</c:v>
                </c:pt>
                <c:pt idx="370">
                  <c:v>10.958458303333174</c:v>
                </c:pt>
                <c:pt idx="371">
                  <c:v>10.96162085533121</c:v>
                </c:pt>
                <c:pt idx="372">
                  <c:v>10.96478340732925</c:v>
                </c:pt>
                <c:pt idx="373">
                  <c:v>10.967945959327288</c:v>
                </c:pt>
                <c:pt idx="374">
                  <c:v>10.971108511325326</c:v>
                </c:pt>
                <c:pt idx="375">
                  <c:v>10.974271063323366</c:v>
                </c:pt>
                <c:pt idx="376">
                  <c:v>10.977433615321404</c:v>
                </c:pt>
                <c:pt idx="377">
                  <c:v>10.980596167319442</c:v>
                </c:pt>
                <c:pt idx="378">
                  <c:v>10.983758719317484</c:v>
                </c:pt>
                <c:pt idx="379">
                  <c:v>10.986921271315518</c:v>
                </c:pt>
                <c:pt idx="380">
                  <c:v>10.962977210770172</c:v>
                </c:pt>
                <c:pt idx="381">
                  <c:v>10.884896968837793</c:v>
                </c:pt>
                <c:pt idx="382">
                  <c:v>10.805314251086026</c:v>
                </c:pt>
                <c:pt idx="383">
                  <c:v>10.72573153333426</c:v>
                </c:pt>
                <c:pt idx="384">
                  <c:v>10.646148815582492</c:v>
                </c:pt>
                <c:pt idx="385">
                  <c:v>10.566566097830728</c:v>
                </c:pt>
                <c:pt idx="386">
                  <c:v>10.486983380078961</c:v>
                </c:pt>
                <c:pt idx="387">
                  <c:v>10.407400662327195</c:v>
                </c:pt>
                <c:pt idx="388">
                  <c:v>10.327817944575429</c:v>
                </c:pt>
                <c:pt idx="389">
                  <c:v>10.248235226823661</c:v>
                </c:pt>
                <c:pt idx="390">
                  <c:v>10.168652509071896</c:v>
                </c:pt>
                <c:pt idx="391">
                  <c:v>10.08906979132013</c:v>
                </c:pt>
                <c:pt idx="392">
                  <c:v>10.009487073568364</c:v>
                </c:pt>
                <c:pt idx="393">
                  <c:v>9.929904355816598</c:v>
                </c:pt>
                <c:pt idx="394">
                  <c:v>9.8503216380648322</c:v>
                </c:pt>
                <c:pt idx="395">
                  <c:v>9.7707389203130646</c:v>
                </c:pt>
                <c:pt idx="396">
                  <c:v>9.6911562025612987</c:v>
                </c:pt>
                <c:pt idx="397">
                  <c:v>9.6418585715333975</c:v>
                </c:pt>
                <c:pt idx="398">
                  <c:v>9.6514267239106868</c:v>
                </c:pt>
                <c:pt idx="399">
                  <c:v>9.6625069830675248</c:v>
                </c:pt>
                <c:pt idx="400">
                  <c:v>9.6735872422243663</c:v>
                </c:pt>
                <c:pt idx="401">
                  <c:v>9.6846675013812042</c:v>
                </c:pt>
                <c:pt idx="402">
                  <c:v>9.6957477605380458</c:v>
                </c:pt>
                <c:pt idx="403">
                  <c:v>9.7068280196948837</c:v>
                </c:pt>
                <c:pt idx="404">
                  <c:v>9.7179082788517235</c:v>
                </c:pt>
                <c:pt idx="405">
                  <c:v>9.7289885380085632</c:v>
                </c:pt>
                <c:pt idx="406">
                  <c:v>9.7400687971654047</c:v>
                </c:pt>
                <c:pt idx="407">
                  <c:v>9.7511490563222427</c:v>
                </c:pt>
                <c:pt idx="408">
                  <c:v>9.7622293154790825</c:v>
                </c:pt>
                <c:pt idx="409">
                  <c:v>9.7733095746359222</c:v>
                </c:pt>
                <c:pt idx="410">
                  <c:v>9.7843898337927619</c:v>
                </c:pt>
                <c:pt idx="411">
                  <c:v>9.7954700929496017</c:v>
                </c:pt>
                <c:pt idx="412">
                  <c:v>9.8065503521064414</c:v>
                </c:pt>
                <c:pt idx="413">
                  <c:v>9.4270339234938287</c:v>
                </c:pt>
                <c:pt idx="414">
                  <c:v>5.7419983146763931</c:v>
                </c:pt>
                <c:pt idx="415">
                  <c:v>4.6982306534253988</c:v>
                </c:pt>
                <c:pt idx="416">
                  <c:v>16.635756878194584</c:v>
                </c:pt>
                <c:pt idx="417">
                  <c:v>23.599080212996387</c:v>
                </c:pt>
                <c:pt idx="418">
                  <c:v>22.881283781761187</c:v>
                </c:pt>
                <c:pt idx="419">
                  <c:v>19.098560088704513</c:v>
                </c:pt>
                <c:pt idx="420">
                  <c:v>15.247862004227249</c:v>
                </c:pt>
                <c:pt idx="421">
                  <c:v>11.397163919749985</c:v>
                </c:pt>
                <c:pt idx="422">
                  <c:v>8.6130807067006572</c:v>
                </c:pt>
                <c:pt idx="423">
                  <c:v>7.9241632819001433</c:v>
                </c:pt>
                <c:pt idx="424">
                  <c:v>7.2907287142508723</c:v>
                </c:pt>
                <c:pt idx="425">
                  <c:v>5.644194403303441</c:v>
                </c:pt>
                <c:pt idx="426">
                  <c:v>3.5954803246079443</c:v>
                </c:pt>
                <c:pt idx="427">
                  <c:v>4.3460669636255016</c:v>
                </c:pt>
                <c:pt idx="428">
                  <c:v>5.1634000917145917</c:v>
                </c:pt>
                <c:pt idx="429">
                  <c:v>5.9807332198036827</c:v>
                </c:pt>
                <c:pt idx="430">
                  <c:v>6.7980663478927736</c:v>
                </c:pt>
                <c:pt idx="431">
                  <c:v>7.1280705823479558</c:v>
                </c:pt>
                <c:pt idx="432">
                  <c:v>7.2247619894756596</c:v>
                </c:pt>
                <c:pt idx="433">
                  <c:v>8.594869830550957</c:v>
                </c:pt>
                <c:pt idx="434">
                  <c:v>9.5060320838747927</c:v>
                </c:pt>
                <c:pt idx="435">
                  <c:v>9.4748168703068938</c:v>
                </c:pt>
                <c:pt idx="436">
                  <c:v>9.4200583555948594</c:v>
                </c:pt>
                <c:pt idx="437">
                  <c:v>9.3652998408828232</c:v>
                </c:pt>
                <c:pt idx="438">
                  <c:v>9.3105413261707888</c:v>
                </c:pt>
                <c:pt idx="439">
                  <c:v>8.5762690277086282</c:v>
                </c:pt>
                <c:pt idx="440">
                  <c:v>7.3392429489127444</c:v>
                </c:pt>
                <c:pt idx="441">
                  <c:v>7.5369688975970242</c:v>
                </c:pt>
                <c:pt idx="442">
                  <c:v>7.7689728026809846</c:v>
                </c:pt>
                <c:pt idx="443">
                  <c:v>8.0009767077649432</c:v>
                </c:pt>
                <c:pt idx="444">
                  <c:v>8.2329806128489</c:v>
                </c:pt>
                <c:pt idx="445">
                  <c:v>8.4649845179328604</c:v>
                </c:pt>
                <c:pt idx="446">
                  <c:v>8.6969884230168173</c:v>
                </c:pt>
                <c:pt idx="447">
                  <c:v>8.5775350018472718</c:v>
                </c:pt>
                <c:pt idx="448">
                  <c:v>7.7791454696618203</c:v>
                </c:pt>
                <c:pt idx="449">
                  <c:v>5.5644701545037085</c:v>
                </c:pt>
                <c:pt idx="450">
                  <c:v>4.1404931116430079</c:v>
                </c:pt>
                <c:pt idx="451">
                  <c:v>9.3158528780443621</c:v>
                </c:pt>
                <c:pt idx="452">
                  <c:v>13.177354947287268</c:v>
                </c:pt>
                <c:pt idx="453">
                  <c:v>14.169582538006892</c:v>
                </c:pt>
                <c:pt idx="454">
                  <c:v>13.996051276363232</c:v>
                </c:pt>
                <c:pt idx="455">
                  <c:v>11.758584992078495</c:v>
                </c:pt>
                <c:pt idx="456">
                  <c:v>9.472503905143002</c:v>
                </c:pt>
                <c:pt idx="457">
                  <c:v>6.6187490253277543</c:v>
                </c:pt>
                <c:pt idx="458">
                  <c:v>2.6944118321093136</c:v>
                </c:pt>
                <c:pt idx="459">
                  <c:v>0.55441471878844617</c:v>
                </c:pt>
                <c:pt idx="460">
                  <c:v>1.926511303775462</c:v>
                </c:pt>
                <c:pt idx="461">
                  <c:v>3.3884496319886233</c:v>
                </c:pt>
                <c:pt idx="462">
                  <c:v>2.8955233643872451</c:v>
                </c:pt>
                <c:pt idx="463">
                  <c:v>0.38675134808804662</c:v>
                </c:pt>
                <c:pt idx="464">
                  <c:v>1.2369363901841892</c:v>
                </c:pt>
                <c:pt idx="465">
                  <c:v>2.1758384305959502</c:v>
                </c:pt>
                <c:pt idx="466">
                  <c:v>3.1147404710077109</c:v>
                </c:pt>
                <c:pt idx="467">
                  <c:v>2.4852304078908243</c:v>
                </c:pt>
                <c:pt idx="468">
                  <c:v>0.31271954333671087</c:v>
                </c:pt>
                <c:pt idx="469">
                  <c:v>0.98632451335172977</c:v>
                </c:pt>
                <c:pt idx="470">
                  <c:v>1.7349983551743315</c:v>
                </c:pt>
                <c:pt idx="471">
                  <c:v>2.4836721969969333</c:v>
                </c:pt>
                <c:pt idx="472">
                  <c:v>1.9590393246351867</c:v>
                </c:pt>
                <c:pt idx="473">
                  <c:v>0.34337486373075193</c:v>
                </c:pt>
                <c:pt idx="474">
                  <c:v>1.1587876862559177</c:v>
                </c:pt>
                <c:pt idx="475">
                  <c:v>2.0330365204033236</c:v>
                </c:pt>
                <c:pt idx="476">
                  <c:v>2.9072853545507296</c:v>
                </c:pt>
                <c:pt idx="477">
                  <c:v>3.7815341886981351</c:v>
                </c:pt>
                <c:pt idx="478">
                  <c:v>6.4513719091803923</c:v>
                </c:pt>
                <c:pt idx="479">
                  <c:v>11.344501977657751</c:v>
                </c:pt>
                <c:pt idx="480">
                  <c:v>13.594848022875636</c:v>
                </c:pt>
                <c:pt idx="481">
                  <c:v>14.622752676591146</c:v>
                </c:pt>
                <c:pt idx="482">
                  <c:v>13.418611929214265</c:v>
                </c:pt>
                <c:pt idx="483">
                  <c:v>12.156773228178025</c:v>
                </c:pt>
                <c:pt idx="484">
                  <c:v>10.056597336249448</c:v>
                </c:pt>
                <c:pt idx="485">
                  <c:v>6.3233900919991797</c:v>
                </c:pt>
                <c:pt idx="486">
                  <c:v>2.5479692945459052</c:v>
                </c:pt>
                <c:pt idx="487">
                  <c:v>0.2422784210867733</c:v>
                </c:pt>
                <c:pt idx="488">
                  <c:v>0.71837957866386593</c:v>
                </c:pt>
                <c:pt idx="489">
                  <c:v>1.2605051894970198</c:v>
                </c:pt>
                <c:pt idx="490">
                  <c:v>1.8026308003301736</c:v>
                </c:pt>
                <c:pt idx="491">
                  <c:v>2.3447564111633277</c:v>
                </c:pt>
                <c:pt idx="492">
                  <c:v>2.8868820219964824</c:v>
                </c:pt>
                <c:pt idx="493">
                  <c:v>2.1874079467236105</c:v>
                </c:pt>
                <c:pt idx="494">
                  <c:v>6.0080949553649114E-2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0.20749870197355633</c:v>
                </c:pt>
                <c:pt idx="535">
                  <c:v>0.82324111405319744</c:v>
                </c:pt>
                <c:pt idx="536">
                  <c:v>1.4498438888219309</c:v>
                </c:pt>
                <c:pt idx="537">
                  <c:v>2.0764466635906644</c:v>
                </c:pt>
                <c:pt idx="538">
                  <c:v>2.7030494383593981</c:v>
                </c:pt>
                <c:pt idx="539">
                  <c:v>3.3296522131281314</c:v>
                </c:pt>
                <c:pt idx="540">
                  <c:v>3.9562549878968656</c:v>
                </c:pt>
                <c:pt idx="541">
                  <c:v>4.0840412030765361</c:v>
                </c:pt>
                <c:pt idx="542">
                  <c:v>3.2325945838177987</c:v>
                </c:pt>
                <c:pt idx="543">
                  <c:v>2.3552619731787079</c:v>
                </c:pt>
                <c:pt idx="544">
                  <c:v>1.4779293625396168</c:v>
                </c:pt>
                <c:pt idx="545">
                  <c:v>0.60059675190052619</c:v>
                </c:pt>
                <c:pt idx="546">
                  <c:v>0.4504456239871007</c:v>
                </c:pt>
                <c:pt idx="547">
                  <c:v>1.7231189725438989</c:v>
                </c:pt>
                <c:pt idx="548">
                  <c:v>1.7294498757071926</c:v>
                </c:pt>
                <c:pt idx="549">
                  <c:v>0.53928679382247779</c:v>
                </c:pt>
                <c:pt idx="550">
                  <c:v>1.9585658322930559</c:v>
                </c:pt>
                <c:pt idx="551">
                  <c:v>1.9841211738782496</c:v>
                </c:pt>
                <c:pt idx="552">
                  <c:v>0.33398436522219305</c:v>
                </c:pt>
                <c:pt idx="553">
                  <c:v>1.1177971945826728</c:v>
                </c:pt>
                <c:pt idx="554">
                  <c:v>1.9719252350944316</c:v>
                </c:pt>
                <c:pt idx="555">
                  <c:v>2.8260532756061907</c:v>
                </c:pt>
                <c:pt idx="556">
                  <c:v>3.6801813161179502</c:v>
                </c:pt>
                <c:pt idx="557">
                  <c:v>4.5343093566297092</c:v>
                </c:pt>
                <c:pt idx="558">
                  <c:v>4.2359461146636077</c:v>
                </c:pt>
                <c:pt idx="559">
                  <c:v>1.7438478419860031</c:v>
                </c:pt>
                <c:pt idx="560">
                  <c:v>0.91378415723198003</c:v>
                </c:pt>
                <c:pt idx="561">
                  <c:v>1.7062168210101722</c:v>
                </c:pt>
                <c:pt idx="562">
                  <c:v>4.4983747296708038E-2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0.65665691899933842</c:v>
                </c:pt>
                <c:pt idx="573">
                  <c:v>2.6076136413620712</c:v>
                </c:pt>
                <c:pt idx="574">
                  <c:v>4.0649489079014325</c:v>
                </c:pt>
                <c:pt idx="575">
                  <c:v>4.4729961982367614</c:v>
                </c:pt>
                <c:pt idx="576">
                  <c:v>4.852359511574786</c:v>
                </c:pt>
                <c:pt idx="577">
                  <c:v>4.6814316274812127</c:v>
                </c:pt>
                <c:pt idx="578">
                  <c:v>3.4328663667697903</c:v>
                </c:pt>
                <c:pt idx="579">
                  <c:v>2.156013833614955</c:v>
                </c:pt>
                <c:pt idx="580">
                  <c:v>0.87916130046011887</c:v>
                </c:pt>
                <c:pt idx="581">
                  <c:v>5.5853743415166385E-2</c:v>
                </c:pt>
                <c:pt idx="582">
                  <c:v>0.13208775864969549</c:v>
                </c:pt>
                <c:pt idx="583">
                  <c:v>0.23280569309259916</c:v>
                </c:pt>
                <c:pt idx="584">
                  <c:v>0.33352362753550285</c:v>
                </c:pt>
                <c:pt idx="585">
                  <c:v>0.43424156197840652</c:v>
                </c:pt>
                <c:pt idx="586">
                  <c:v>0.53495949642131013</c:v>
                </c:pt>
                <c:pt idx="587">
                  <c:v>0.6356774308642138</c:v>
                </c:pt>
                <c:pt idx="588">
                  <c:v>0.73639536530711747</c:v>
                </c:pt>
                <c:pt idx="589">
                  <c:v>0.83711329975002113</c:v>
                </c:pt>
                <c:pt idx="590">
                  <c:v>0.93783123419292502</c:v>
                </c:pt>
                <c:pt idx="591">
                  <c:v>1.0385491686358284</c:v>
                </c:pt>
                <c:pt idx="592">
                  <c:v>1.1392671030787322</c:v>
                </c:pt>
                <c:pt idx="593">
                  <c:v>1.2399850375216359</c:v>
                </c:pt>
                <c:pt idx="594">
                  <c:v>1.9328982850237353</c:v>
                </c:pt>
                <c:pt idx="595">
                  <c:v>3.8089907907968588</c:v>
                </c:pt>
                <c:pt idx="596">
                  <c:v>4.977499147696772</c:v>
                </c:pt>
                <c:pt idx="597">
                  <c:v>4.7066811146427137</c:v>
                </c:pt>
                <c:pt idx="598">
                  <c:v>4.398884485899405</c:v>
                </c:pt>
                <c:pt idx="599">
                  <c:v>2.7992029170888508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18F-4B34-9FBA-D326FED4E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95136"/>
        <c:axId val="420792960"/>
      </c:scatterChart>
      <c:valAx>
        <c:axId val="420788864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791040"/>
        <c:crosses val="autoZero"/>
        <c:crossBetween val="midCat"/>
      </c:valAx>
      <c:valAx>
        <c:axId val="420791040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788864"/>
        <c:crosses val="autoZero"/>
        <c:crossBetween val="midCat"/>
      </c:valAx>
      <c:valAx>
        <c:axId val="420792960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795136"/>
        <c:crosses val="max"/>
        <c:crossBetween val="midCat"/>
      </c:valAx>
      <c:valAx>
        <c:axId val="42079513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420792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modelo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'REGAP Mesmos Parametros'!$R$33:$R$545</c:f>
              <c:numCache>
                <c:formatCode>0.00</c:formatCode>
                <c:ptCount val="5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</c:numCache>
            </c:numRef>
          </c:xVal>
          <c:yVal>
            <c:numRef>
              <c:f>'REGAP Mesmos Parametros'!$S$33:$S$545</c:f>
              <c:numCache>
                <c:formatCode>0.00</c:formatCode>
                <c:ptCount val="513"/>
                <c:pt idx="0">
                  <c:v>9.2769599999999994E-2</c:v>
                </c:pt>
                <c:pt idx="1">
                  <c:v>9.9977900000000008E-2</c:v>
                </c:pt>
                <c:pt idx="2">
                  <c:v>0.16867989999999999</c:v>
                </c:pt>
                <c:pt idx="3">
                  <c:v>9.7342100000000001E-2</c:v>
                </c:pt>
                <c:pt idx="4">
                  <c:v>0.15919889999999998</c:v>
                </c:pt>
                <c:pt idx="5">
                  <c:v>9.5750999999999989E-2</c:v>
                </c:pt>
                <c:pt idx="6">
                  <c:v>0.15148200000000001</c:v>
                </c:pt>
                <c:pt idx="7">
                  <c:v>9.4584100000000004E-2</c:v>
                </c:pt>
                <c:pt idx="8">
                  <c:v>0.1447726</c:v>
                </c:pt>
                <c:pt idx="9">
                  <c:v>9.4183300000000011E-2</c:v>
                </c:pt>
                <c:pt idx="10">
                  <c:v>0.14002799999999999</c:v>
                </c:pt>
                <c:pt idx="11">
                  <c:v>9.3783900000000003E-2</c:v>
                </c:pt>
                <c:pt idx="12">
                  <c:v>0.13655820000000002</c:v>
                </c:pt>
                <c:pt idx="13">
                  <c:v>9.3733300000000006E-2</c:v>
                </c:pt>
                <c:pt idx="14">
                  <c:v>0.13392219999999999</c:v>
                </c:pt>
                <c:pt idx="15">
                  <c:v>9.37254E-2</c:v>
                </c:pt>
                <c:pt idx="16">
                  <c:v>0.1319572</c:v>
                </c:pt>
                <c:pt idx="17">
                  <c:v>9.3767799999999998E-2</c:v>
                </c:pt>
                <c:pt idx="18">
                  <c:v>0.12953600000000001</c:v>
                </c:pt>
                <c:pt idx="19">
                  <c:v>9.37698E-2</c:v>
                </c:pt>
                <c:pt idx="20">
                  <c:v>0.11525920000000001</c:v>
                </c:pt>
                <c:pt idx="21">
                  <c:v>9.5734399999999997E-2</c:v>
                </c:pt>
                <c:pt idx="22">
                  <c:v>0.1144251</c:v>
                </c:pt>
                <c:pt idx="23">
                  <c:v>9.59145E-2</c:v>
                </c:pt>
                <c:pt idx="24">
                  <c:v>0.1134848</c:v>
                </c:pt>
                <c:pt idx="25">
                  <c:v>9.6292699999999995E-2</c:v>
                </c:pt>
                <c:pt idx="26">
                  <c:v>0.1125601</c:v>
                </c:pt>
                <c:pt idx="27">
                  <c:v>9.6646599999999999E-2</c:v>
                </c:pt>
                <c:pt idx="28">
                  <c:v>0.1115469</c:v>
                </c:pt>
                <c:pt idx="29">
                  <c:v>9.7011500000000001E-2</c:v>
                </c:pt>
                <c:pt idx="30">
                  <c:v>0.1106389</c:v>
                </c:pt>
                <c:pt idx="31">
                  <c:v>9.7363100000000008E-2</c:v>
                </c:pt>
                <c:pt idx="32">
                  <c:v>0.1098259</c:v>
                </c:pt>
                <c:pt idx="33">
                  <c:v>9.7699499999999995E-2</c:v>
                </c:pt>
                <c:pt idx="34">
                  <c:v>0.10895969999999999</c:v>
                </c:pt>
                <c:pt idx="35">
                  <c:v>9.8124299999999998E-2</c:v>
                </c:pt>
                <c:pt idx="36">
                  <c:v>0.10829040000000001</c:v>
                </c:pt>
                <c:pt idx="37">
                  <c:v>9.8460699999999998E-2</c:v>
                </c:pt>
                <c:pt idx="38">
                  <c:v>0.1077379</c:v>
                </c:pt>
                <c:pt idx="39">
                  <c:v>9.877240000000001E-2</c:v>
                </c:pt>
                <c:pt idx="40">
                  <c:v>0.1072544</c:v>
                </c:pt>
                <c:pt idx="41">
                  <c:v>9.9010999999999988E-2</c:v>
                </c:pt>
                <c:pt idx="42">
                  <c:v>0.10695979999999999</c:v>
                </c:pt>
                <c:pt idx="43">
                  <c:v>9.9089299999999991E-2</c:v>
                </c:pt>
                <c:pt idx="44">
                  <c:v>0.1067881</c:v>
                </c:pt>
                <c:pt idx="45">
                  <c:v>9.9144200000000016E-2</c:v>
                </c:pt>
                <c:pt idx="46">
                  <c:v>0.1066457</c:v>
                </c:pt>
                <c:pt idx="47">
                  <c:v>9.9171300000000018E-2</c:v>
                </c:pt>
                <c:pt idx="48">
                  <c:v>0.1065478</c:v>
                </c:pt>
                <c:pt idx="49">
                  <c:v>9.9243200000000004E-2</c:v>
                </c:pt>
                <c:pt idx="50">
                  <c:v>0</c:v>
                </c:pt>
                <c:pt idx="51">
                  <c:v>0.35526220620000004</c:v>
                </c:pt>
                <c:pt idx="52">
                  <c:v>0.48720409989000002</c:v>
                </c:pt>
                <c:pt idx="53">
                  <c:v>0.32988175999999997</c:v>
                </c:pt>
                <c:pt idx="54">
                  <c:v>0.323990102</c:v>
                </c:pt>
                <c:pt idx="55">
                  <c:v>0.34266032299999999</c:v>
                </c:pt>
                <c:pt idx="56">
                  <c:v>0.34276863300000004</c:v>
                </c:pt>
                <c:pt idx="57">
                  <c:v>0.32157734899999996</c:v>
                </c:pt>
                <c:pt idx="58">
                  <c:v>0.34147776899999999</c:v>
                </c:pt>
                <c:pt idx="59">
                  <c:v>0.34112804200000002</c:v>
                </c:pt>
                <c:pt idx="60">
                  <c:v>0.34069348700000002</c:v>
                </c:pt>
                <c:pt idx="61">
                  <c:v>0.34053532200000003</c:v>
                </c:pt>
                <c:pt idx="62">
                  <c:v>0.31954202100000001</c:v>
                </c:pt>
                <c:pt idx="63">
                  <c:v>0.29425633700000003</c:v>
                </c:pt>
                <c:pt idx="64">
                  <c:v>0.29653976400000004</c:v>
                </c:pt>
                <c:pt idx="65">
                  <c:v>0.29635081700000004</c:v>
                </c:pt>
                <c:pt idx="66">
                  <c:v>0.28789375700000003</c:v>
                </c:pt>
                <c:pt idx="67">
                  <c:v>0.28447537000000001</c:v>
                </c:pt>
                <c:pt idx="68">
                  <c:v>0.27396991600000004</c:v>
                </c:pt>
                <c:pt idx="69">
                  <c:v>0.27244158999999996</c:v>
                </c:pt>
                <c:pt idx="70">
                  <c:v>0.27236393399999997</c:v>
                </c:pt>
                <c:pt idx="71">
                  <c:v>0.27225455500000001</c:v>
                </c:pt>
                <c:pt idx="72">
                  <c:v>0.272142202</c:v>
                </c:pt>
                <c:pt idx="73">
                  <c:v>0.27202984200000002</c:v>
                </c:pt>
                <c:pt idx="74">
                  <c:v>0.27191650000000001</c:v>
                </c:pt>
                <c:pt idx="75">
                  <c:v>0.27180911000000002</c:v>
                </c:pt>
                <c:pt idx="76">
                  <c:v>0.27151594099999998</c:v>
                </c:pt>
                <c:pt idx="77">
                  <c:v>0.26603876100000001</c:v>
                </c:pt>
                <c:pt idx="78">
                  <c:v>0.27140023400000002</c:v>
                </c:pt>
                <c:pt idx="79">
                  <c:v>0.26347108199999997</c:v>
                </c:pt>
                <c:pt idx="80">
                  <c:v>0.26297660499999997</c:v>
                </c:pt>
                <c:pt idx="81">
                  <c:v>0.258506281</c:v>
                </c:pt>
                <c:pt idx="82">
                  <c:v>0.262111818</c:v>
                </c:pt>
                <c:pt idx="83">
                  <c:v>0.25616009200000001</c:v>
                </c:pt>
                <c:pt idx="84">
                  <c:v>0.25060465900000001</c:v>
                </c:pt>
                <c:pt idx="85">
                  <c:v>0.25545110799999998</c:v>
                </c:pt>
                <c:pt idx="86">
                  <c:v>0.24963301199999999</c:v>
                </c:pt>
                <c:pt idx="87">
                  <c:v>0.25501374399999999</c:v>
                </c:pt>
                <c:pt idx="88">
                  <c:v>0.25505660699999999</c:v>
                </c:pt>
                <c:pt idx="89">
                  <c:v>0.254963098</c:v>
                </c:pt>
                <c:pt idx="90">
                  <c:v>0.25486565100000003</c:v>
                </c:pt>
                <c:pt idx="91">
                  <c:v>0.250970148</c:v>
                </c:pt>
                <c:pt idx="92">
                  <c:v>0.25386344599999999</c:v>
                </c:pt>
                <c:pt idx="93">
                  <c:v>0.25442898899999999</c:v>
                </c:pt>
                <c:pt idx="94">
                  <c:v>0.25065011100000001</c:v>
                </c:pt>
                <c:pt idx="95">
                  <c:v>0.25344390300000003</c:v>
                </c:pt>
                <c:pt idx="96">
                  <c:v>0.24912572899999999</c:v>
                </c:pt>
                <c:pt idx="97">
                  <c:v>0.24916935300000001</c:v>
                </c:pt>
                <c:pt idx="98">
                  <c:v>0.24817952400000001</c:v>
                </c:pt>
                <c:pt idx="99">
                  <c:v>0.248168641</c:v>
                </c:pt>
                <c:pt idx="100">
                  <c:v>0.39255397300000006</c:v>
                </c:pt>
                <c:pt idx="101">
                  <c:v>0.15318522999999998</c:v>
                </c:pt>
                <c:pt idx="102">
                  <c:v>0.29992764</c:v>
                </c:pt>
                <c:pt idx="103">
                  <c:v>0.16228974999999998</c:v>
                </c:pt>
                <c:pt idx="104">
                  <c:v>0.32886567999999999</c:v>
                </c:pt>
                <c:pt idx="105">
                  <c:v>0.18225374999999999</c:v>
                </c:pt>
                <c:pt idx="106">
                  <c:v>0.40241723000000001</c:v>
                </c:pt>
                <c:pt idx="107">
                  <c:v>0.32676892400000002</c:v>
                </c:pt>
                <c:pt idx="108">
                  <c:v>0.262489627</c:v>
                </c:pt>
                <c:pt idx="109">
                  <c:v>0.25545384699999996</c:v>
                </c:pt>
                <c:pt idx="110">
                  <c:v>0.26299889399999998</c:v>
                </c:pt>
                <c:pt idx="111">
                  <c:v>0.26271211999999999</c:v>
                </c:pt>
                <c:pt idx="112">
                  <c:v>0.26262159200000001</c:v>
                </c:pt>
                <c:pt idx="113">
                  <c:v>0.26252214499999998</c:v>
                </c:pt>
                <c:pt idx="114">
                  <c:v>0.262429633</c:v>
                </c:pt>
                <c:pt idx="115">
                  <c:v>0.262337127</c:v>
                </c:pt>
                <c:pt idx="116">
                  <c:v>0.26224361900000004</c:v>
                </c:pt>
                <c:pt idx="117">
                  <c:v>0.26214813800000003</c:v>
                </c:pt>
                <c:pt idx="118">
                  <c:v>0.26205068300000001</c:v>
                </c:pt>
                <c:pt idx="119">
                  <c:v>0.25677617400000002</c:v>
                </c:pt>
                <c:pt idx="120">
                  <c:v>0.26154105899999996</c:v>
                </c:pt>
                <c:pt idx="121">
                  <c:v>0.25587168399999999</c:v>
                </c:pt>
                <c:pt idx="122">
                  <c:v>0.25562019400000002</c:v>
                </c:pt>
                <c:pt idx="123">
                  <c:v>0.25373611700000004</c:v>
                </c:pt>
                <c:pt idx="124">
                  <c:v>0.247058784</c:v>
                </c:pt>
                <c:pt idx="125">
                  <c:v>0.25239790499999998</c:v>
                </c:pt>
                <c:pt idx="126">
                  <c:v>0.242487539</c:v>
                </c:pt>
                <c:pt idx="127">
                  <c:v>0.25179955700000001</c:v>
                </c:pt>
                <c:pt idx="128">
                  <c:v>0.24729204699999999</c:v>
                </c:pt>
                <c:pt idx="129">
                  <c:v>0.25154232799999998</c:v>
                </c:pt>
                <c:pt idx="130">
                  <c:v>0.25186798500000002</c:v>
                </c:pt>
                <c:pt idx="131">
                  <c:v>0.25182691099999999</c:v>
                </c:pt>
                <c:pt idx="132">
                  <c:v>0.251737394</c:v>
                </c:pt>
                <c:pt idx="133">
                  <c:v>0.251648855</c:v>
                </c:pt>
                <c:pt idx="134">
                  <c:v>0.25156030300000004</c:v>
                </c:pt>
                <c:pt idx="135">
                  <c:v>0.258980565</c:v>
                </c:pt>
                <c:pt idx="136">
                  <c:v>0.25399772600000003</c:v>
                </c:pt>
                <c:pt idx="137">
                  <c:v>0.258765884</c:v>
                </c:pt>
                <c:pt idx="138">
                  <c:v>0.25930183000000001</c:v>
                </c:pt>
                <c:pt idx="139">
                  <c:v>0.25993569099999997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34.37162</c:v>
                </c:pt>
                <c:pt idx="154">
                  <c:v>3.0174300000000001</c:v>
                </c:pt>
                <c:pt idx="155">
                  <c:v>6.2824600000000004</c:v>
                </c:pt>
                <c:pt idx="156">
                  <c:v>3.36443</c:v>
                </c:pt>
                <c:pt idx="157">
                  <c:v>7.1911399999999999</c:v>
                </c:pt>
                <c:pt idx="158">
                  <c:v>3.8338399999999999</c:v>
                </c:pt>
                <c:pt idx="159">
                  <c:v>8.1777200000000008</c:v>
                </c:pt>
                <c:pt idx="160">
                  <c:v>4.3524500000000002</c:v>
                </c:pt>
                <c:pt idx="161">
                  <c:v>9.2749199999999998</c:v>
                </c:pt>
                <c:pt idx="162">
                  <c:v>4.9340099999999998</c:v>
                </c:pt>
                <c:pt idx="163">
                  <c:v>10.513640000000001</c:v>
                </c:pt>
                <c:pt idx="164">
                  <c:v>5.5953099999999996</c:v>
                </c:pt>
                <c:pt idx="165">
                  <c:v>11.93469</c:v>
                </c:pt>
                <c:pt idx="166">
                  <c:v>6.3604700000000003</c:v>
                </c:pt>
                <c:pt idx="167">
                  <c:v>13.59122</c:v>
                </c:pt>
                <c:pt idx="168">
                  <c:v>7.2581699999999998</c:v>
                </c:pt>
                <c:pt idx="169">
                  <c:v>7.5970199999999997</c:v>
                </c:pt>
                <c:pt idx="170">
                  <c:v>2.1279020000000002</c:v>
                </c:pt>
                <c:pt idx="171">
                  <c:v>3.1960550000000003</c:v>
                </c:pt>
                <c:pt idx="172">
                  <c:v>3.3405200000000002</c:v>
                </c:pt>
                <c:pt idx="173">
                  <c:v>3.3058000000000001</c:v>
                </c:pt>
                <c:pt idx="174">
                  <c:v>3.3207800000000001</c:v>
                </c:pt>
                <c:pt idx="175">
                  <c:v>3.3055099999999999</c:v>
                </c:pt>
                <c:pt idx="176">
                  <c:v>3.3010700000000002</c:v>
                </c:pt>
                <c:pt idx="177">
                  <c:v>3.2984400000000003</c:v>
                </c:pt>
                <c:pt idx="178">
                  <c:v>3.2776300000000003</c:v>
                </c:pt>
                <c:pt idx="179">
                  <c:v>3.2619899999999999</c:v>
                </c:pt>
                <c:pt idx="180">
                  <c:v>3.27216</c:v>
                </c:pt>
                <c:pt idx="181">
                  <c:v>3.2498699999999996</c:v>
                </c:pt>
                <c:pt idx="182">
                  <c:v>3.2356699999999998</c:v>
                </c:pt>
                <c:pt idx="183">
                  <c:v>3.2268600000000003</c:v>
                </c:pt>
                <c:pt idx="184">
                  <c:v>3.2248700000000001</c:v>
                </c:pt>
                <c:pt idx="185">
                  <c:v>3.1953</c:v>
                </c:pt>
                <c:pt idx="186">
                  <c:v>3.2104399999999997</c:v>
                </c:pt>
                <c:pt idx="187">
                  <c:v>3.2172400000000003</c:v>
                </c:pt>
                <c:pt idx="188">
                  <c:v>3.2080900000000003</c:v>
                </c:pt>
                <c:pt idx="189">
                  <c:v>3.1983199999999998</c:v>
                </c:pt>
                <c:pt idx="190">
                  <c:v>3.1854700000000005</c:v>
                </c:pt>
                <c:pt idx="191">
                  <c:v>3.1846399999999999</c:v>
                </c:pt>
                <c:pt idx="192">
                  <c:v>3.1619800000000002</c:v>
                </c:pt>
                <c:pt idx="193">
                  <c:v>3.17306</c:v>
                </c:pt>
                <c:pt idx="194">
                  <c:v>3.1488200000000002</c:v>
                </c:pt>
                <c:pt idx="195">
                  <c:v>3.1381999999999999</c:v>
                </c:pt>
                <c:pt idx="196">
                  <c:v>3.1259699999999997</c:v>
                </c:pt>
                <c:pt idx="197">
                  <c:v>3.1369799999999994</c:v>
                </c:pt>
                <c:pt idx="198">
                  <c:v>3.1150000000000002</c:v>
                </c:pt>
                <c:pt idx="199">
                  <c:v>3.10703</c:v>
                </c:pt>
                <c:pt idx="200">
                  <c:v>0.62202595307059949</c:v>
                </c:pt>
                <c:pt idx="201">
                  <c:v>3.622795</c:v>
                </c:pt>
                <c:pt idx="202">
                  <c:v>3.8765000000000001</c:v>
                </c:pt>
                <c:pt idx="203">
                  <c:v>3.6603000000000003</c:v>
                </c:pt>
                <c:pt idx="204">
                  <c:v>3.6083400000000001</c:v>
                </c:pt>
                <c:pt idx="205">
                  <c:v>3.6159599999999998</c:v>
                </c:pt>
                <c:pt idx="206">
                  <c:v>3.6034699999999997</c:v>
                </c:pt>
                <c:pt idx="207">
                  <c:v>3.5896600000000003</c:v>
                </c:pt>
                <c:pt idx="208">
                  <c:v>3.5794800000000002</c:v>
                </c:pt>
                <c:pt idx="209">
                  <c:v>3.5466600000000001</c:v>
                </c:pt>
                <c:pt idx="210">
                  <c:v>3.5398899999999998</c:v>
                </c:pt>
                <c:pt idx="211">
                  <c:v>3.5297499999999999</c:v>
                </c:pt>
                <c:pt idx="212">
                  <c:v>3.5177899999999998</c:v>
                </c:pt>
                <c:pt idx="213">
                  <c:v>3.4244700000000003</c:v>
                </c:pt>
                <c:pt idx="214">
                  <c:v>3.3631200000000003</c:v>
                </c:pt>
                <c:pt idx="215">
                  <c:v>3.36212</c:v>
                </c:pt>
                <c:pt idx="216">
                  <c:v>3.35107</c:v>
                </c:pt>
                <c:pt idx="217">
                  <c:v>3.33589</c:v>
                </c:pt>
                <c:pt idx="218">
                  <c:v>3.3195600000000001</c:v>
                </c:pt>
                <c:pt idx="219">
                  <c:v>3.3115100000000002</c:v>
                </c:pt>
                <c:pt idx="220">
                  <c:v>3.3027699999999998</c:v>
                </c:pt>
                <c:pt idx="221">
                  <c:v>3.2787800000000002</c:v>
                </c:pt>
                <c:pt idx="222">
                  <c:v>3.2729999999999997</c:v>
                </c:pt>
                <c:pt idx="223">
                  <c:v>3.2522599999999997</c:v>
                </c:pt>
                <c:pt idx="224">
                  <c:v>3.2356199999999999</c:v>
                </c:pt>
                <c:pt idx="225">
                  <c:v>3.2253600000000002</c:v>
                </c:pt>
                <c:pt idx="226">
                  <c:v>3.1878799999999998</c:v>
                </c:pt>
                <c:pt idx="227">
                  <c:v>3.2011899999999995</c:v>
                </c:pt>
                <c:pt idx="228">
                  <c:v>3.1337710000000003</c:v>
                </c:pt>
                <c:pt idx="229">
                  <c:v>3.0868700000000002</c:v>
                </c:pt>
                <c:pt idx="230">
                  <c:v>3.06006</c:v>
                </c:pt>
                <c:pt idx="231">
                  <c:v>3.0449799999999998</c:v>
                </c:pt>
                <c:pt idx="232">
                  <c:v>3.0470600000000001</c:v>
                </c:pt>
                <c:pt idx="233">
                  <c:v>3.0128760000000003</c:v>
                </c:pt>
                <c:pt idx="234">
                  <c:v>3.0196269999999998</c:v>
                </c:pt>
                <c:pt idx="235">
                  <c:v>3.0119629999999997</c:v>
                </c:pt>
                <c:pt idx="236">
                  <c:v>3.0014519999999996</c:v>
                </c:pt>
                <c:pt idx="237">
                  <c:v>2.9866470000000001</c:v>
                </c:pt>
                <c:pt idx="238">
                  <c:v>2.9472719999999999</c:v>
                </c:pt>
                <c:pt idx="239">
                  <c:v>2.960407</c:v>
                </c:pt>
                <c:pt idx="240">
                  <c:v>2.970485</c:v>
                </c:pt>
                <c:pt idx="241">
                  <c:v>2.9400249999999999</c:v>
                </c:pt>
                <c:pt idx="242">
                  <c:v>2.937252</c:v>
                </c:pt>
                <c:pt idx="243">
                  <c:v>2.9306789999999996</c:v>
                </c:pt>
                <c:pt idx="244">
                  <c:v>2.9202529999999998</c:v>
                </c:pt>
                <c:pt idx="245">
                  <c:v>2.9067769999999999</c:v>
                </c:pt>
                <c:pt idx="246">
                  <c:v>2.8996390000000001</c:v>
                </c:pt>
                <c:pt idx="247">
                  <c:v>2.882495</c:v>
                </c:pt>
                <c:pt idx="248">
                  <c:v>2.8796730000000004</c:v>
                </c:pt>
                <c:pt idx="249">
                  <c:v>2.873923</c:v>
                </c:pt>
                <c:pt idx="250">
                  <c:v>2.8335870000000001</c:v>
                </c:pt>
                <c:pt idx="251">
                  <c:v>2.8483330000000002</c:v>
                </c:pt>
                <c:pt idx="252">
                  <c:v>2.845898</c:v>
                </c:pt>
                <c:pt idx="253">
                  <c:v>2.8300970000000003</c:v>
                </c:pt>
                <c:pt idx="254">
                  <c:v>2.8122639999999999</c:v>
                </c:pt>
                <c:pt idx="255">
                  <c:v>2.8065630000000001</c:v>
                </c:pt>
                <c:pt idx="256">
                  <c:v>2.7944800000000001</c:v>
                </c:pt>
                <c:pt idx="257">
                  <c:v>2.7838020000000001</c:v>
                </c:pt>
                <c:pt idx="258">
                  <c:v>2.774346</c:v>
                </c:pt>
                <c:pt idx="259">
                  <c:v>2.7644739999999999</c:v>
                </c:pt>
                <c:pt idx="260">
                  <c:v>2.753657</c:v>
                </c:pt>
                <c:pt idx="261">
                  <c:v>2.7438719999999996</c:v>
                </c:pt>
                <c:pt idx="262">
                  <c:v>2.7331750000000001</c:v>
                </c:pt>
                <c:pt idx="263">
                  <c:v>2.7237110000000002</c:v>
                </c:pt>
                <c:pt idx="264">
                  <c:v>2.7127759999999999</c:v>
                </c:pt>
                <c:pt idx="265">
                  <c:v>2.7027640000000002</c:v>
                </c:pt>
                <c:pt idx="266">
                  <c:v>2.6907839999999998</c:v>
                </c:pt>
                <c:pt idx="267">
                  <c:v>2.683135</c:v>
                </c:pt>
                <c:pt idx="268">
                  <c:v>2.6723330000000001</c:v>
                </c:pt>
                <c:pt idx="269">
                  <c:v>2.6619489999999999</c:v>
                </c:pt>
                <c:pt idx="270">
                  <c:v>2.6524140000000003</c:v>
                </c:pt>
                <c:pt idx="271">
                  <c:v>2.6410150000000003</c:v>
                </c:pt>
                <c:pt idx="272">
                  <c:v>2.6328960000000001</c:v>
                </c:pt>
                <c:pt idx="273">
                  <c:v>2.6208339999999999</c:v>
                </c:pt>
                <c:pt idx="274">
                  <c:v>2.612444</c:v>
                </c:pt>
                <c:pt idx="275">
                  <c:v>2.5989300000000002</c:v>
                </c:pt>
                <c:pt idx="276">
                  <c:v>2.5933729999999997</c:v>
                </c:pt>
                <c:pt idx="277">
                  <c:v>2.5805559999999996</c:v>
                </c:pt>
                <c:pt idx="278">
                  <c:v>2.572651</c:v>
                </c:pt>
                <c:pt idx="279">
                  <c:v>2.5607819999999997</c:v>
                </c:pt>
                <c:pt idx="280">
                  <c:v>2.5527489999999999</c:v>
                </c:pt>
                <c:pt idx="281">
                  <c:v>2.5405139999999999</c:v>
                </c:pt>
                <c:pt idx="282">
                  <c:v>2.5331070000000002</c:v>
                </c:pt>
                <c:pt idx="283">
                  <c:v>2.5203510000000002</c:v>
                </c:pt>
                <c:pt idx="284">
                  <c:v>2.5136259999999999</c:v>
                </c:pt>
                <c:pt idx="285">
                  <c:v>2.4987509999999999</c:v>
                </c:pt>
                <c:pt idx="286">
                  <c:v>2.49471</c:v>
                </c:pt>
                <c:pt idx="287">
                  <c:v>2.4765239999999999</c:v>
                </c:pt>
                <c:pt idx="288">
                  <c:v>2.4655719999999999</c:v>
                </c:pt>
                <c:pt idx="289">
                  <c:v>2.4655070000000001</c:v>
                </c:pt>
                <c:pt idx="290">
                  <c:v>2.451505</c:v>
                </c:pt>
                <c:pt idx="291">
                  <c:v>2.4424219999999996</c:v>
                </c:pt>
                <c:pt idx="292">
                  <c:v>2.4380160000000002</c:v>
                </c:pt>
                <c:pt idx="293">
                  <c:v>2.4225119999999998</c:v>
                </c:pt>
                <c:pt idx="294">
                  <c:v>2.394539</c:v>
                </c:pt>
                <c:pt idx="295">
                  <c:v>2.400636</c:v>
                </c:pt>
                <c:pt idx="296">
                  <c:v>2.3922460000000001</c:v>
                </c:pt>
                <c:pt idx="297">
                  <c:v>2.3892710000000004</c:v>
                </c:pt>
                <c:pt idx="298">
                  <c:v>2.3779909999999997</c:v>
                </c:pt>
                <c:pt idx="299">
                  <c:v>2.3426460000000002</c:v>
                </c:pt>
                <c:pt idx="300">
                  <c:v>2.3584489999999998</c:v>
                </c:pt>
                <c:pt idx="301">
                  <c:v>2.3487840000000002</c:v>
                </c:pt>
                <c:pt idx="302">
                  <c:v>2.317901</c:v>
                </c:pt>
                <c:pt idx="303">
                  <c:v>2.3226139999999997</c:v>
                </c:pt>
                <c:pt idx="304">
                  <c:v>2.4916500000000001E-2</c:v>
                </c:pt>
                <c:pt idx="305">
                  <c:v>3.0039790000000002</c:v>
                </c:pt>
                <c:pt idx="306">
                  <c:v>2.8733979999999999</c:v>
                </c:pt>
                <c:pt idx="307">
                  <c:v>2.7730049999999999</c:v>
                </c:pt>
                <c:pt idx="308">
                  <c:v>2.7976489999999998</c:v>
                </c:pt>
                <c:pt idx="309">
                  <c:v>2.7931150000000002</c:v>
                </c:pt>
                <c:pt idx="310">
                  <c:v>2.7647680000000001</c:v>
                </c:pt>
                <c:pt idx="311">
                  <c:v>2.7602440000000001</c:v>
                </c:pt>
                <c:pt idx="312">
                  <c:v>2.7362349999999998</c:v>
                </c:pt>
                <c:pt idx="313">
                  <c:v>2.7156120000000001</c:v>
                </c:pt>
                <c:pt idx="314">
                  <c:v>2.7040440000000001</c:v>
                </c:pt>
                <c:pt idx="315">
                  <c:v>2.6899670000000002</c:v>
                </c:pt>
                <c:pt idx="316">
                  <c:v>2.6804230000000002</c:v>
                </c:pt>
                <c:pt idx="317">
                  <c:v>2.6691940000000001</c:v>
                </c:pt>
                <c:pt idx="318">
                  <c:v>2.6603690000000002</c:v>
                </c:pt>
                <c:pt idx="319">
                  <c:v>2.6281060000000003</c:v>
                </c:pt>
                <c:pt idx="320">
                  <c:v>2.6274690000000001</c:v>
                </c:pt>
                <c:pt idx="321">
                  <c:v>2.5994070000000002</c:v>
                </c:pt>
                <c:pt idx="322">
                  <c:v>2.5883339999999997</c:v>
                </c:pt>
                <c:pt idx="323">
                  <c:v>2.5864919999999998</c:v>
                </c:pt>
                <c:pt idx="324">
                  <c:v>2.558681</c:v>
                </c:pt>
                <c:pt idx="325">
                  <c:v>2.5422690000000001</c:v>
                </c:pt>
                <c:pt idx="326">
                  <c:v>2.5406870000000001</c:v>
                </c:pt>
                <c:pt idx="327">
                  <c:v>2.5172400000000001</c:v>
                </c:pt>
                <c:pt idx="328">
                  <c:v>2.5063849999999999</c:v>
                </c:pt>
                <c:pt idx="329">
                  <c:v>2.4900890000000002</c:v>
                </c:pt>
                <c:pt idx="330">
                  <c:v>2.48177</c:v>
                </c:pt>
                <c:pt idx="331">
                  <c:v>2.4686899999999996</c:v>
                </c:pt>
                <c:pt idx="332">
                  <c:v>2.4534449999999999</c:v>
                </c:pt>
                <c:pt idx="333">
                  <c:v>2.4390879999999999</c:v>
                </c:pt>
                <c:pt idx="334">
                  <c:v>2.4225159999999999</c:v>
                </c:pt>
                <c:pt idx="335">
                  <c:v>2.4126700000000003</c:v>
                </c:pt>
                <c:pt idx="336">
                  <c:v>2.3970760000000002</c:v>
                </c:pt>
                <c:pt idx="337">
                  <c:v>2.381275</c:v>
                </c:pt>
                <c:pt idx="338">
                  <c:v>2.3725370000000003</c:v>
                </c:pt>
                <c:pt idx="339">
                  <c:v>2.3474520000000001</c:v>
                </c:pt>
                <c:pt idx="340">
                  <c:v>2.3454600000000001</c:v>
                </c:pt>
                <c:pt idx="341">
                  <c:v>2.3305990000000003</c:v>
                </c:pt>
                <c:pt idx="342">
                  <c:v>2.318873</c:v>
                </c:pt>
                <c:pt idx="343">
                  <c:v>2.3025799999999998</c:v>
                </c:pt>
                <c:pt idx="344">
                  <c:v>2.293914</c:v>
                </c:pt>
                <c:pt idx="345">
                  <c:v>2.2737160000000003</c:v>
                </c:pt>
                <c:pt idx="346">
                  <c:v>2.2688190000000001</c:v>
                </c:pt>
                <c:pt idx="347">
                  <c:v>2.247201</c:v>
                </c:pt>
                <c:pt idx="348">
                  <c:v>2.2414209999999999</c:v>
                </c:pt>
                <c:pt idx="349">
                  <c:v>2.2281459999999997</c:v>
                </c:pt>
                <c:pt idx="350">
                  <c:v>2.215217</c:v>
                </c:pt>
                <c:pt idx="351">
                  <c:v>2.2032290000000003</c:v>
                </c:pt>
                <c:pt idx="352">
                  <c:v>2.1881079999999997</c:v>
                </c:pt>
                <c:pt idx="353">
                  <c:v>2.1797810000000002</c:v>
                </c:pt>
                <c:pt idx="354">
                  <c:v>2.1646649999999998</c:v>
                </c:pt>
                <c:pt idx="355">
                  <c:v>2.1548380000000003</c:v>
                </c:pt>
                <c:pt idx="356">
                  <c:v>2.1403440000000002</c:v>
                </c:pt>
                <c:pt idx="357">
                  <c:v>2.1307100000000001</c:v>
                </c:pt>
                <c:pt idx="358">
                  <c:v>2.1162770000000002</c:v>
                </c:pt>
                <c:pt idx="359">
                  <c:v>2.1068069999999999</c:v>
                </c:pt>
                <c:pt idx="360">
                  <c:v>2.090541</c:v>
                </c:pt>
                <c:pt idx="361">
                  <c:v>2.0840939999999999</c:v>
                </c:pt>
                <c:pt idx="362">
                  <c:v>2.068314</c:v>
                </c:pt>
                <c:pt idx="363">
                  <c:v>2.0600379999999996</c:v>
                </c:pt>
                <c:pt idx="364">
                  <c:v>2.0457550000000002</c:v>
                </c:pt>
                <c:pt idx="365">
                  <c:v>2.036708</c:v>
                </c:pt>
                <c:pt idx="366">
                  <c:v>2.0228889999999997</c:v>
                </c:pt>
                <c:pt idx="367">
                  <c:v>2.011679</c:v>
                </c:pt>
                <c:pt idx="368">
                  <c:v>2.0015960000000002</c:v>
                </c:pt>
                <c:pt idx="369">
                  <c:v>1.9906170000000001</c:v>
                </c:pt>
                <c:pt idx="370">
                  <c:v>1.978205</c:v>
                </c:pt>
                <c:pt idx="371">
                  <c:v>1.9686349999999999</c:v>
                </c:pt>
                <c:pt idx="372">
                  <c:v>1.9560849999999999</c:v>
                </c:pt>
                <c:pt idx="373">
                  <c:v>1.946536</c:v>
                </c:pt>
                <c:pt idx="374">
                  <c:v>1.9342600000000001</c:v>
                </c:pt>
                <c:pt idx="375">
                  <c:v>1.9240599999999999</c:v>
                </c:pt>
                <c:pt idx="376">
                  <c:v>1.911972</c:v>
                </c:pt>
                <c:pt idx="377">
                  <c:v>1.903354</c:v>
                </c:pt>
                <c:pt idx="378">
                  <c:v>1.891187</c:v>
                </c:pt>
                <c:pt idx="379">
                  <c:v>1.8819510000000004</c:v>
                </c:pt>
                <c:pt idx="380">
                  <c:v>1.8702130000000001</c:v>
                </c:pt>
                <c:pt idx="381">
                  <c:v>1.8606389999999999</c:v>
                </c:pt>
                <c:pt idx="382">
                  <c:v>1.8476379999999999</c:v>
                </c:pt>
                <c:pt idx="383">
                  <c:v>1.8411560000000002</c:v>
                </c:pt>
                <c:pt idx="384">
                  <c:v>1.8283510000000001</c:v>
                </c:pt>
                <c:pt idx="385">
                  <c:v>1.81948</c:v>
                </c:pt>
                <c:pt idx="386">
                  <c:v>1.8085589999999998</c:v>
                </c:pt>
                <c:pt idx="387">
                  <c:v>1.7990089999999999</c:v>
                </c:pt>
                <c:pt idx="388">
                  <c:v>1.7884540000000002</c:v>
                </c:pt>
                <c:pt idx="389">
                  <c:v>1.7788240000000002</c:v>
                </c:pt>
                <c:pt idx="390">
                  <c:v>1.76817</c:v>
                </c:pt>
                <c:pt idx="391">
                  <c:v>1.7580940000000003</c:v>
                </c:pt>
                <c:pt idx="392">
                  <c:v>1.7495400000000001</c:v>
                </c:pt>
                <c:pt idx="393">
                  <c:v>1.739074</c:v>
                </c:pt>
                <c:pt idx="394">
                  <c:v>1.7298459999999998</c:v>
                </c:pt>
                <c:pt idx="395">
                  <c:v>1.7198899999999999</c:v>
                </c:pt>
                <c:pt idx="396">
                  <c:v>1.7103200000000003</c:v>
                </c:pt>
                <c:pt idx="397">
                  <c:v>1.7009440000000002</c:v>
                </c:pt>
                <c:pt idx="398">
                  <c:v>1.6897880000000001</c:v>
                </c:pt>
                <c:pt idx="399">
                  <c:v>1.682823</c:v>
                </c:pt>
                <c:pt idx="400">
                  <c:v>1.6721649999999997</c:v>
                </c:pt>
                <c:pt idx="401">
                  <c:v>1.6636609999999998</c:v>
                </c:pt>
                <c:pt idx="402">
                  <c:v>1.6538149999999998</c:v>
                </c:pt>
                <c:pt idx="403">
                  <c:v>1.6450400000000001</c:v>
                </c:pt>
                <c:pt idx="404">
                  <c:v>1.6354760000000002</c:v>
                </c:pt>
                <c:pt idx="405">
                  <c:v>1.6265000000000001</c:v>
                </c:pt>
                <c:pt idx="406">
                  <c:v>1.6163220000000003</c:v>
                </c:pt>
                <c:pt idx="407">
                  <c:v>1.6095780000000002</c:v>
                </c:pt>
                <c:pt idx="408">
                  <c:v>1.598929</c:v>
                </c:pt>
                <c:pt idx="409">
                  <c:v>1.591418</c:v>
                </c:pt>
                <c:pt idx="410">
                  <c:v>1.5814509999999999</c:v>
                </c:pt>
                <c:pt idx="411">
                  <c:v>1.5737579999999998</c:v>
                </c:pt>
                <c:pt idx="412">
                  <c:v>1.5637940000000001</c:v>
                </c:pt>
                <c:pt idx="413">
                  <c:v>1.555023</c:v>
                </c:pt>
                <c:pt idx="414">
                  <c:v>1.547409</c:v>
                </c:pt>
                <c:pt idx="415">
                  <c:v>1.5387529999999998</c:v>
                </c:pt>
                <c:pt idx="416">
                  <c:v>1.5299830000000001</c:v>
                </c:pt>
                <c:pt idx="417">
                  <c:v>1.5218690000000001</c:v>
                </c:pt>
                <c:pt idx="418">
                  <c:v>1.512775</c:v>
                </c:pt>
                <c:pt idx="419">
                  <c:v>1.5055719999999999</c:v>
                </c:pt>
                <c:pt idx="420">
                  <c:v>1.4941629999999999</c:v>
                </c:pt>
                <c:pt idx="421">
                  <c:v>1.4901979999999999</c:v>
                </c:pt>
                <c:pt idx="422">
                  <c:v>1.478898</c:v>
                </c:pt>
                <c:pt idx="423">
                  <c:v>1.4726589999999999</c:v>
                </c:pt>
                <c:pt idx="424">
                  <c:v>1.463327</c:v>
                </c:pt>
                <c:pt idx="425">
                  <c:v>1.456053</c:v>
                </c:pt>
                <c:pt idx="426">
                  <c:v>0.47627799999999998</c:v>
                </c:pt>
                <c:pt idx="427">
                  <c:v>1.641707</c:v>
                </c:pt>
                <c:pt idx="428">
                  <c:v>1.703986</c:v>
                </c:pt>
                <c:pt idx="429">
                  <c:v>1.5475190000000001</c:v>
                </c:pt>
                <c:pt idx="430">
                  <c:v>1.7663009999999999</c:v>
                </c:pt>
                <c:pt idx="431">
                  <c:v>1.517617</c:v>
                </c:pt>
                <c:pt idx="432">
                  <c:v>1.7445539999999999</c:v>
                </c:pt>
                <c:pt idx="433">
                  <c:v>1.503941</c:v>
                </c:pt>
                <c:pt idx="434">
                  <c:v>1.6674360000000001</c:v>
                </c:pt>
                <c:pt idx="435">
                  <c:v>1.5010870000000001</c:v>
                </c:pt>
                <c:pt idx="436">
                  <c:v>1.5945339999999999</c:v>
                </c:pt>
                <c:pt idx="437">
                  <c:v>1.507063</c:v>
                </c:pt>
                <c:pt idx="438">
                  <c:v>1.5275619999999999</c:v>
                </c:pt>
                <c:pt idx="439">
                  <c:v>1.532011</c:v>
                </c:pt>
                <c:pt idx="440">
                  <c:v>1.4820259999999998</c:v>
                </c:pt>
                <c:pt idx="441">
                  <c:v>1.5322789999999999</c:v>
                </c:pt>
                <c:pt idx="442">
                  <c:v>1.4580489999999999</c:v>
                </c:pt>
                <c:pt idx="443">
                  <c:v>1.513366</c:v>
                </c:pt>
                <c:pt idx="444">
                  <c:v>1.4417180000000001</c:v>
                </c:pt>
                <c:pt idx="445">
                  <c:v>1.4856009999999999</c:v>
                </c:pt>
                <c:pt idx="446">
                  <c:v>1.4303509999999999</c:v>
                </c:pt>
                <c:pt idx="447">
                  <c:v>1.4590939999999999</c:v>
                </c:pt>
                <c:pt idx="448">
                  <c:v>1.424525</c:v>
                </c:pt>
                <c:pt idx="449">
                  <c:v>1.4189699999999998</c:v>
                </c:pt>
                <c:pt idx="450">
                  <c:v>1.403311</c:v>
                </c:pt>
                <c:pt idx="451">
                  <c:v>1.4139390000000001</c:v>
                </c:pt>
                <c:pt idx="452">
                  <c:v>1.3939810000000001</c:v>
                </c:pt>
                <c:pt idx="453">
                  <c:v>1.388879</c:v>
                </c:pt>
                <c:pt idx="454">
                  <c:v>0.108877</c:v>
                </c:pt>
                <c:pt idx="455">
                  <c:v>1.4786409999999999</c:v>
                </c:pt>
                <c:pt idx="456">
                  <c:v>1.737757</c:v>
                </c:pt>
                <c:pt idx="457">
                  <c:v>1.342643</c:v>
                </c:pt>
                <c:pt idx="458">
                  <c:v>1.558427</c:v>
                </c:pt>
                <c:pt idx="459">
                  <c:v>1.3853710000000001</c:v>
                </c:pt>
                <c:pt idx="460">
                  <c:v>1.409389</c:v>
                </c:pt>
                <c:pt idx="461">
                  <c:v>1.470515</c:v>
                </c:pt>
                <c:pt idx="462">
                  <c:v>1.401831</c:v>
                </c:pt>
                <c:pt idx="463">
                  <c:v>1.4815070000000001</c:v>
                </c:pt>
                <c:pt idx="464">
                  <c:v>1.3569150000000001</c:v>
                </c:pt>
                <c:pt idx="465">
                  <c:v>1.481636</c:v>
                </c:pt>
                <c:pt idx="466">
                  <c:v>1.335958</c:v>
                </c:pt>
                <c:pt idx="467">
                  <c:v>1.467068</c:v>
                </c:pt>
                <c:pt idx="468">
                  <c:v>1.314584</c:v>
                </c:pt>
                <c:pt idx="469">
                  <c:v>1.4450879999999999</c:v>
                </c:pt>
                <c:pt idx="470">
                  <c:v>1.2983609999999999</c:v>
                </c:pt>
                <c:pt idx="471">
                  <c:v>1.425732</c:v>
                </c:pt>
                <c:pt idx="472">
                  <c:v>1.2834859999999999</c:v>
                </c:pt>
                <c:pt idx="473">
                  <c:v>1.4086159999999999</c:v>
                </c:pt>
                <c:pt idx="474">
                  <c:v>1.2494350000000001</c:v>
                </c:pt>
                <c:pt idx="475">
                  <c:v>1.379632</c:v>
                </c:pt>
                <c:pt idx="476">
                  <c:v>1.2435290000000001</c:v>
                </c:pt>
                <c:pt idx="477">
                  <c:v>1.3506969999999998</c:v>
                </c:pt>
                <c:pt idx="478">
                  <c:v>1.236208</c:v>
                </c:pt>
                <c:pt idx="479">
                  <c:v>1.3243960000000001</c:v>
                </c:pt>
                <c:pt idx="480">
                  <c:v>1.231176</c:v>
                </c:pt>
                <c:pt idx="481">
                  <c:v>1.2968010000000001</c:v>
                </c:pt>
                <c:pt idx="482">
                  <c:v>1.221306</c:v>
                </c:pt>
                <c:pt idx="483">
                  <c:v>1.2753369999999999</c:v>
                </c:pt>
                <c:pt idx="484">
                  <c:v>1.2106599999999998</c:v>
                </c:pt>
                <c:pt idx="485">
                  <c:v>1.2550160000000001</c:v>
                </c:pt>
                <c:pt idx="486">
                  <c:v>1.19953</c:v>
                </c:pt>
                <c:pt idx="487">
                  <c:v>1.238184</c:v>
                </c:pt>
                <c:pt idx="488">
                  <c:v>1.1713010000000001</c:v>
                </c:pt>
                <c:pt idx="489">
                  <c:v>1.250583</c:v>
                </c:pt>
                <c:pt idx="490">
                  <c:v>1.1633309999999999</c:v>
                </c:pt>
                <c:pt idx="491">
                  <c:v>1.227106</c:v>
                </c:pt>
                <c:pt idx="492">
                  <c:v>1.155305</c:v>
                </c:pt>
                <c:pt idx="493">
                  <c:v>1.205093</c:v>
                </c:pt>
                <c:pt idx="494">
                  <c:v>1.1496690000000001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0.17354299998311751</c:v>
                </c:pt>
                <c:pt idx="500">
                  <c:v>0.516629</c:v>
                </c:pt>
                <c:pt idx="501">
                  <c:v>0.51246100000000006</c:v>
                </c:pt>
                <c:pt idx="502">
                  <c:v>0.50759399999999999</c:v>
                </c:pt>
                <c:pt idx="503">
                  <c:v>0.50337100000000001</c:v>
                </c:pt>
                <c:pt idx="504">
                  <c:v>0.49873299999999998</c:v>
                </c:pt>
                <c:pt idx="505">
                  <c:v>0.49442299999999995</c:v>
                </c:pt>
                <c:pt idx="506">
                  <c:v>0.48971100000000001</c:v>
                </c:pt>
                <c:pt idx="507">
                  <c:v>0.48599800000000004</c:v>
                </c:pt>
                <c:pt idx="508">
                  <c:v>0.481265</c:v>
                </c:pt>
                <c:pt idx="509">
                  <c:v>0.47741100000000003</c:v>
                </c:pt>
                <c:pt idx="510">
                  <c:v>0.47290899999999997</c:v>
                </c:pt>
                <c:pt idx="511">
                  <c:v>0.46901900000000002</c:v>
                </c:pt>
                <c:pt idx="512">
                  <c:v>0.46470100000000003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6-44B4-A188-E2F34F15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769744"/>
        <c:axId val="685770072"/>
      </c:scatterChart>
      <c:scatterChart>
        <c:scatterStyle val="lineMarker"/>
        <c:varyColors val="0"/>
        <c:ser>
          <c:idx val="1"/>
          <c:order val="1"/>
          <c:tx>
            <c:strRef>
              <c:f>'REGAP Mesmos Parametros'!$AA$29</c:f>
              <c:strCache>
                <c:ptCount val="1"/>
                <c:pt idx="0">
                  <c:v>06/10/2017 01:06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'REGAP Mesmos Parametros'!$AM$32:$AM$630</c:f>
              <c:numCache>
                <c:formatCode>0.00</c:formatCode>
                <c:ptCount val="5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</c:numCache>
            </c:numRef>
          </c:xVal>
          <c:yVal>
            <c:numRef>
              <c:f>'REGAP Mesmos Parametros'!$AN$32:$AN$630</c:f>
              <c:numCache>
                <c:formatCode>0.00</c:formatCode>
                <c:ptCount val="599"/>
                <c:pt idx="0">
                  <c:v>9.637681716969837E-2</c:v>
                </c:pt>
                <c:pt idx="1">
                  <c:v>0.10089354086215963</c:v>
                </c:pt>
                <c:pt idx="2">
                  <c:v>0.10943720321961337</c:v>
                </c:pt>
                <c:pt idx="3">
                  <c:v>0.10963960494615321</c:v>
                </c:pt>
                <c:pt idx="4">
                  <c:v>0.1096396049462669</c:v>
                </c:pt>
                <c:pt idx="5">
                  <c:v>0.1096396049462669</c:v>
                </c:pt>
                <c:pt idx="6">
                  <c:v>0.10963960494621006</c:v>
                </c:pt>
                <c:pt idx="7">
                  <c:v>0.1096396049462669</c:v>
                </c:pt>
                <c:pt idx="8">
                  <c:v>0.10963960494621006</c:v>
                </c:pt>
                <c:pt idx="9">
                  <c:v>0.10963960494621006</c:v>
                </c:pt>
                <c:pt idx="10">
                  <c:v>0.12854614129105357</c:v>
                </c:pt>
                <c:pt idx="11">
                  <c:v>0.16436699954027745</c:v>
                </c:pt>
                <c:pt idx="12">
                  <c:v>0.16860237969154923</c:v>
                </c:pt>
                <c:pt idx="13">
                  <c:v>0.16867067279054027</c:v>
                </c:pt>
                <c:pt idx="14">
                  <c:v>0.16867067279048342</c:v>
                </c:pt>
                <c:pt idx="15">
                  <c:v>0.16867067279054027</c:v>
                </c:pt>
                <c:pt idx="16">
                  <c:v>0.16867067279042658</c:v>
                </c:pt>
                <c:pt idx="17">
                  <c:v>0.16867067279054027</c:v>
                </c:pt>
                <c:pt idx="18">
                  <c:v>0.17581088997059169</c:v>
                </c:pt>
                <c:pt idx="19">
                  <c:v>0.18928848236572549</c:v>
                </c:pt>
                <c:pt idx="20">
                  <c:v>0.18960571783640034</c:v>
                </c:pt>
                <c:pt idx="21">
                  <c:v>0.18960571783640034</c:v>
                </c:pt>
                <c:pt idx="22">
                  <c:v>0.18960571783651403</c:v>
                </c:pt>
                <c:pt idx="23">
                  <c:v>0.18960571783645719</c:v>
                </c:pt>
                <c:pt idx="24">
                  <c:v>0.18960571783645719</c:v>
                </c:pt>
                <c:pt idx="25">
                  <c:v>0.18960571783645719</c:v>
                </c:pt>
                <c:pt idx="26">
                  <c:v>0.18960571783657088</c:v>
                </c:pt>
                <c:pt idx="27">
                  <c:v>0.18960571783640034</c:v>
                </c:pt>
                <c:pt idx="28">
                  <c:v>0.18960571783645719</c:v>
                </c:pt>
                <c:pt idx="29">
                  <c:v>0.18960571783645719</c:v>
                </c:pt>
                <c:pt idx="30">
                  <c:v>0.18960571783640034</c:v>
                </c:pt>
                <c:pt idx="31">
                  <c:v>0.18960571783657088</c:v>
                </c:pt>
                <c:pt idx="32">
                  <c:v>0.1896057178363435</c:v>
                </c:pt>
                <c:pt idx="33">
                  <c:v>0.19477967949444519</c:v>
                </c:pt>
                <c:pt idx="34">
                  <c:v>0.20453410733978217</c:v>
                </c:pt>
                <c:pt idx="35">
                  <c:v>0.20476286536398902</c:v>
                </c:pt>
                <c:pt idx="36">
                  <c:v>0.20476286536393218</c:v>
                </c:pt>
                <c:pt idx="37">
                  <c:v>0.20476286536404587</c:v>
                </c:pt>
                <c:pt idx="38">
                  <c:v>0.20476286536398902</c:v>
                </c:pt>
                <c:pt idx="39">
                  <c:v>0.20476286536404587</c:v>
                </c:pt>
                <c:pt idx="40">
                  <c:v>0.20476286536387533</c:v>
                </c:pt>
                <c:pt idx="41">
                  <c:v>0.20476286536398902</c:v>
                </c:pt>
                <c:pt idx="42">
                  <c:v>0.20820272955717201</c:v>
                </c:pt>
                <c:pt idx="43">
                  <c:v>0.21450670029878438</c:v>
                </c:pt>
                <c:pt idx="44">
                  <c:v>0.21464199645009785</c:v>
                </c:pt>
                <c:pt idx="45">
                  <c:v>0.21464199645009785</c:v>
                </c:pt>
                <c:pt idx="46">
                  <c:v>0.21464199645009785</c:v>
                </c:pt>
                <c:pt idx="47">
                  <c:v>0.21464199645015469</c:v>
                </c:pt>
                <c:pt idx="48">
                  <c:v>0.21464199645004101</c:v>
                </c:pt>
                <c:pt idx="49">
                  <c:v>0.21464199645015469</c:v>
                </c:pt>
                <c:pt idx="50">
                  <c:v>0.21464199644998416</c:v>
                </c:pt>
                <c:pt idx="51">
                  <c:v>0.21464199645015469</c:v>
                </c:pt>
                <c:pt idx="52">
                  <c:v>0.21446231989290254</c:v>
                </c:pt>
                <c:pt idx="53">
                  <c:v>0.21414479554260879</c:v>
                </c:pt>
                <c:pt idx="54">
                  <c:v>0.21455525050231472</c:v>
                </c:pt>
                <c:pt idx="55">
                  <c:v>0.21529592499689443</c:v>
                </c:pt>
                <c:pt idx="56">
                  <c:v>0.2153103250502113</c:v>
                </c:pt>
                <c:pt idx="57">
                  <c:v>0.2153103250502113</c:v>
                </c:pt>
                <c:pt idx="58">
                  <c:v>0.2153103250502113</c:v>
                </c:pt>
                <c:pt idx="59">
                  <c:v>0.2153103250502113</c:v>
                </c:pt>
                <c:pt idx="60">
                  <c:v>0.21531032505026815</c:v>
                </c:pt>
                <c:pt idx="61">
                  <c:v>0.2153103250502113</c:v>
                </c:pt>
                <c:pt idx="62">
                  <c:v>0.2162351502186084</c:v>
                </c:pt>
                <c:pt idx="63">
                  <c:v>0.2179234960411236</c:v>
                </c:pt>
                <c:pt idx="64">
                  <c:v>0.2179592860422872</c:v>
                </c:pt>
                <c:pt idx="65">
                  <c:v>0.2179592860422872</c:v>
                </c:pt>
                <c:pt idx="66">
                  <c:v>0.21822255919039435</c:v>
                </c:pt>
                <c:pt idx="67">
                  <c:v>0.21868964300301741</c:v>
                </c:pt>
                <c:pt idx="68">
                  <c:v>0.21869865166507907</c:v>
                </c:pt>
                <c:pt idx="69">
                  <c:v>0.21486385399072105</c:v>
                </c:pt>
                <c:pt idx="70">
                  <c:v>0.20787556860619816</c:v>
                </c:pt>
                <c:pt idx="71">
                  <c:v>0.20772827879790157</c:v>
                </c:pt>
                <c:pt idx="72">
                  <c:v>0.20772827879784472</c:v>
                </c:pt>
                <c:pt idx="73">
                  <c:v>0.21297010556082796</c:v>
                </c:pt>
                <c:pt idx="74">
                  <c:v>0.22282310171789277</c:v>
                </c:pt>
                <c:pt idx="75">
                  <c:v>0.22305207316821907</c:v>
                </c:pt>
                <c:pt idx="76">
                  <c:v>0.22305207316827591</c:v>
                </c:pt>
                <c:pt idx="77">
                  <c:v>0.22305207316821907</c:v>
                </c:pt>
                <c:pt idx="78">
                  <c:v>0.22305207316821907</c:v>
                </c:pt>
                <c:pt idx="79">
                  <c:v>0.22305207316827591</c:v>
                </c:pt>
                <c:pt idx="80">
                  <c:v>0.22305207316827591</c:v>
                </c:pt>
                <c:pt idx="81">
                  <c:v>0.22305207316821907</c:v>
                </c:pt>
                <c:pt idx="82">
                  <c:v>0.22305207316816222</c:v>
                </c:pt>
                <c:pt idx="83">
                  <c:v>0.22305207316833275</c:v>
                </c:pt>
                <c:pt idx="84">
                  <c:v>0.22305207316821907</c:v>
                </c:pt>
                <c:pt idx="85">
                  <c:v>0.22305207316821907</c:v>
                </c:pt>
                <c:pt idx="86">
                  <c:v>0.22305207316827591</c:v>
                </c:pt>
                <c:pt idx="87">
                  <c:v>0.22305207316827591</c:v>
                </c:pt>
                <c:pt idx="88">
                  <c:v>0.22305207316821907</c:v>
                </c:pt>
                <c:pt idx="89">
                  <c:v>0.22305207316821907</c:v>
                </c:pt>
                <c:pt idx="90">
                  <c:v>0.2254585389439967</c:v>
                </c:pt>
                <c:pt idx="91">
                  <c:v>0.22992726279699127</c:v>
                </c:pt>
                <c:pt idx="92">
                  <c:v>0.23002726542523533</c:v>
                </c:pt>
                <c:pt idx="93">
                  <c:v>0.2300272654254627</c:v>
                </c:pt>
                <c:pt idx="94">
                  <c:v>0.23002726542534901</c:v>
                </c:pt>
                <c:pt idx="95">
                  <c:v>0.23002726542540586</c:v>
                </c:pt>
                <c:pt idx="96">
                  <c:v>0.23579936494769527</c:v>
                </c:pt>
                <c:pt idx="97">
                  <c:v>0.24596574598098186</c:v>
                </c:pt>
                <c:pt idx="98">
                  <c:v>0.24615702425950303</c:v>
                </c:pt>
                <c:pt idx="99">
                  <c:v>0.24615702425955988</c:v>
                </c:pt>
                <c:pt idx="100">
                  <c:v>0.24615702425955988</c:v>
                </c:pt>
                <c:pt idx="101">
                  <c:v>0.24615702425950303</c:v>
                </c:pt>
                <c:pt idx="102">
                  <c:v>0.24615702425955988</c:v>
                </c:pt>
                <c:pt idx="103">
                  <c:v>0.2475800094390479</c:v>
                </c:pt>
                <c:pt idx="104">
                  <c:v>0.25027938311893649</c:v>
                </c:pt>
                <c:pt idx="105">
                  <c:v>0.25034388919357298</c:v>
                </c:pt>
                <c:pt idx="106">
                  <c:v>0.2650765153803718</c:v>
                </c:pt>
                <c:pt idx="107">
                  <c:v>0.29235303601666374</c:v>
                </c:pt>
                <c:pt idx="108">
                  <c:v>0.29295774857149581</c:v>
                </c:pt>
                <c:pt idx="109">
                  <c:v>0.29295774857143897</c:v>
                </c:pt>
                <c:pt idx="110">
                  <c:v>0.29295774857149581</c:v>
                </c:pt>
                <c:pt idx="111">
                  <c:v>0.29295774857149581</c:v>
                </c:pt>
                <c:pt idx="112">
                  <c:v>0.29295774857149581</c:v>
                </c:pt>
                <c:pt idx="113">
                  <c:v>0.29295774857143897</c:v>
                </c:pt>
                <c:pt idx="114">
                  <c:v>0.29295774857155266</c:v>
                </c:pt>
                <c:pt idx="115">
                  <c:v>0.30693259511599535</c:v>
                </c:pt>
                <c:pt idx="116">
                  <c:v>0.3329806863762883</c:v>
                </c:pt>
                <c:pt idx="117">
                  <c:v>0.33357045259469942</c:v>
                </c:pt>
                <c:pt idx="118">
                  <c:v>0.33357045259464257</c:v>
                </c:pt>
                <c:pt idx="119">
                  <c:v>0.33449986226059991</c:v>
                </c:pt>
                <c:pt idx="120">
                  <c:v>0.33623280930976307</c:v>
                </c:pt>
                <c:pt idx="121">
                  <c:v>0.34900413486718662</c:v>
                </c:pt>
                <c:pt idx="122">
                  <c:v>0.37219154637330121</c:v>
                </c:pt>
                <c:pt idx="123">
                  <c:v>0.37267926257089812</c:v>
                </c:pt>
                <c:pt idx="124">
                  <c:v>0.37267926257089812</c:v>
                </c:pt>
                <c:pt idx="125">
                  <c:v>0.37267926257072759</c:v>
                </c:pt>
                <c:pt idx="126">
                  <c:v>0.37267926257095496</c:v>
                </c:pt>
                <c:pt idx="127">
                  <c:v>0.37267926257078443</c:v>
                </c:pt>
                <c:pt idx="128">
                  <c:v>0.37267926257084127</c:v>
                </c:pt>
                <c:pt idx="129">
                  <c:v>0.37267926257089812</c:v>
                </c:pt>
                <c:pt idx="130">
                  <c:v>0.37267926257084127</c:v>
                </c:pt>
                <c:pt idx="131">
                  <c:v>0.37267926257089812</c:v>
                </c:pt>
                <c:pt idx="132">
                  <c:v>0.37267926257084127</c:v>
                </c:pt>
                <c:pt idx="133">
                  <c:v>0.40610241428396421</c:v>
                </c:pt>
                <c:pt idx="134">
                  <c:v>0.46384115295609263</c:v>
                </c:pt>
                <c:pt idx="135">
                  <c:v>0.46485636859949864</c:v>
                </c:pt>
                <c:pt idx="136">
                  <c:v>0.46485636859927126</c:v>
                </c:pt>
                <c:pt idx="137">
                  <c:v>0.46485636859938495</c:v>
                </c:pt>
                <c:pt idx="138">
                  <c:v>0.46485636859932811</c:v>
                </c:pt>
                <c:pt idx="139">
                  <c:v>0.46485636859938495</c:v>
                </c:pt>
                <c:pt idx="140">
                  <c:v>0.46485636859949864</c:v>
                </c:pt>
                <c:pt idx="141">
                  <c:v>0.46485636859921442</c:v>
                </c:pt>
                <c:pt idx="142">
                  <c:v>0.46485636859944179</c:v>
                </c:pt>
                <c:pt idx="143">
                  <c:v>0.46485636859938495</c:v>
                </c:pt>
                <c:pt idx="144">
                  <c:v>0.46485636859944179</c:v>
                </c:pt>
                <c:pt idx="145">
                  <c:v>0.46485636859932811</c:v>
                </c:pt>
                <c:pt idx="146">
                  <c:v>0.46485636859938495</c:v>
                </c:pt>
                <c:pt idx="147">
                  <c:v>0.46485636859932811</c:v>
                </c:pt>
                <c:pt idx="148">
                  <c:v>0.46485636859938495</c:v>
                </c:pt>
                <c:pt idx="149">
                  <c:v>0.46485636859938495</c:v>
                </c:pt>
                <c:pt idx="150">
                  <c:v>0.50413779619941579</c:v>
                </c:pt>
                <c:pt idx="151">
                  <c:v>0.57290091738070714</c:v>
                </c:pt>
                <c:pt idx="152">
                  <c:v>0.57416756089833143</c:v>
                </c:pt>
                <c:pt idx="153">
                  <c:v>0.57416756089821774</c:v>
                </c:pt>
                <c:pt idx="154">
                  <c:v>0.57416756089821774</c:v>
                </c:pt>
                <c:pt idx="155">
                  <c:v>0.63554082351873831</c:v>
                </c:pt>
                <c:pt idx="156">
                  <c:v>0.74694084218526768</c:v>
                </c:pt>
                <c:pt idx="157">
                  <c:v>0.81195225634854751</c:v>
                </c:pt>
                <c:pt idx="158">
                  <c:v>0.92605654296170314</c:v>
                </c:pt>
                <c:pt idx="159">
                  <c:v>1.0065376333996596</c:v>
                </c:pt>
                <c:pt idx="160">
                  <c:v>1.1447333989283948</c:v>
                </c:pt>
                <c:pt idx="161">
                  <c:v>1.1473768046122359</c:v>
                </c:pt>
                <c:pt idx="162">
                  <c:v>1.1473768046123496</c:v>
                </c:pt>
                <c:pt idx="163">
                  <c:v>1.1473768046122927</c:v>
                </c:pt>
                <c:pt idx="164">
                  <c:v>1.1473768046122927</c:v>
                </c:pt>
                <c:pt idx="165">
                  <c:v>1.1473768046122927</c:v>
                </c:pt>
                <c:pt idx="166">
                  <c:v>1.1473768046122927</c:v>
                </c:pt>
                <c:pt idx="167">
                  <c:v>1.1473768046122927</c:v>
                </c:pt>
                <c:pt idx="168">
                  <c:v>1.1473768046123496</c:v>
                </c:pt>
                <c:pt idx="169">
                  <c:v>1.1473768046122927</c:v>
                </c:pt>
                <c:pt idx="170">
                  <c:v>1.1473768046122359</c:v>
                </c:pt>
                <c:pt idx="171">
                  <c:v>1.1473768046123496</c:v>
                </c:pt>
                <c:pt idx="172">
                  <c:v>1.183343614100238</c:v>
                </c:pt>
                <c:pt idx="173">
                  <c:v>1.2495477986021797</c:v>
                </c:pt>
                <c:pt idx="174">
                  <c:v>1.2538538943786648</c:v>
                </c:pt>
                <c:pt idx="175">
                  <c:v>1.2539113494227649</c:v>
                </c:pt>
                <c:pt idx="176">
                  <c:v>1.2539113494225944</c:v>
                </c:pt>
                <c:pt idx="177">
                  <c:v>1.2539113494225944</c:v>
                </c:pt>
                <c:pt idx="178">
                  <c:v>1.2942008986859719</c:v>
                </c:pt>
                <c:pt idx="179">
                  <c:v>1.3650430146468011</c:v>
                </c:pt>
                <c:pt idx="180">
                  <c:v>1.3663681742436893</c:v>
                </c:pt>
                <c:pt idx="181">
                  <c:v>1.366368174243803</c:v>
                </c:pt>
                <c:pt idx="182">
                  <c:v>1.3663681742436893</c:v>
                </c:pt>
                <c:pt idx="183">
                  <c:v>1.3663681742437461</c:v>
                </c:pt>
                <c:pt idx="184">
                  <c:v>1.366368174243803</c:v>
                </c:pt>
                <c:pt idx="185">
                  <c:v>1.3663681742436893</c:v>
                </c:pt>
                <c:pt idx="186">
                  <c:v>1.3663681742436893</c:v>
                </c:pt>
                <c:pt idx="187">
                  <c:v>1.366368174243803</c:v>
                </c:pt>
                <c:pt idx="188">
                  <c:v>1.3663681742437461</c:v>
                </c:pt>
                <c:pt idx="189">
                  <c:v>1.3663681742437461</c:v>
                </c:pt>
                <c:pt idx="190">
                  <c:v>1.3663681742436893</c:v>
                </c:pt>
                <c:pt idx="191">
                  <c:v>1.366368174243803</c:v>
                </c:pt>
                <c:pt idx="192">
                  <c:v>1.3663681742436893</c:v>
                </c:pt>
                <c:pt idx="193">
                  <c:v>1.3663681742437461</c:v>
                </c:pt>
                <c:pt idx="194">
                  <c:v>1.3663681742437461</c:v>
                </c:pt>
                <c:pt idx="195">
                  <c:v>1.3663681742437461</c:v>
                </c:pt>
                <c:pt idx="196">
                  <c:v>1.3663681742436893</c:v>
                </c:pt>
                <c:pt idx="197">
                  <c:v>1.3663681742437461</c:v>
                </c:pt>
                <c:pt idx="198">
                  <c:v>1.3663681742437461</c:v>
                </c:pt>
                <c:pt idx="199">
                  <c:v>1.3663681742437461</c:v>
                </c:pt>
                <c:pt idx="200">
                  <c:v>1.3663681742437461</c:v>
                </c:pt>
                <c:pt idx="201">
                  <c:v>1.3663681742437461</c:v>
                </c:pt>
                <c:pt idx="202">
                  <c:v>1.3663681742437461</c:v>
                </c:pt>
                <c:pt idx="203">
                  <c:v>1.3663681742437461</c:v>
                </c:pt>
                <c:pt idx="204">
                  <c:v>1.3663681742436893</c:v>
                </c:pt>
                <c:pt idx="205">
                  <c:v>1.3663681742437461</c:v>
                </c:pt>
                <c:pt idx="206">
                  <c:v>1.3663681742437461</c:v>
                </c:pt>
                <c:pt idx="207">
                  <c:v>1.3663681742437461</c:v>
                </c:pt>
                <c:pt idx="208">
                  <c:v>1.3663681742436893</c:v>
                </c:pt>
                <c:pt idx="209">
                  <c:v>1.3667182476634707</c:v>
                </c:pt>
                <c:pt idx="210">
                  <c:v>1.367354999972747</c:v>
                </c:pt>
                <c:pt idx="211">
                  <c:v>1.3673683390745737</c:v>
                </c:pt>
                <c:pt idx="212">
                  <c:v>1.3287750269741991</c:v>
                </c:pt>
                <c:pt idx="213">
                  <c:v>1.2128073637501302</c:v>
                </c:pt>
                <c:pt idx="214">
                  <c:v>1.1312701281971158</c:v>
                </c:pt>
                <c:pt idx="215">
                  <c:v>1.1168301182254936</c:v>
                </c:pt>
                <c:pt idx="216">
                  <c:v>1.0937511585063362</c:v>
                </c:pt>
                <c:pt idx="217">
                  <c:v>1.0932742469213963</c:v>
                </c:pt>
                <c:pt idx="218">
                  <c:v>1.0932742469213395</c:v>
                </c:pt>
                <c:pt idx="219">
                  <c:v>1.0932742469213963</c:v>
                </c:pt>
                <c:pt idx="220">
                  <c:v>1.0932742469213963</c:v>
                </c:pt>
                <c:pt idx="221">
                  <c:v>1.0932742469213963</c:v>
                </c:pt>
                <c:pt idx="222">
                  <c:v>1.0932742469213395</c:v>
                </c:pt>
                <c:pt idx="223">
                  <c:v>1.0932742469213963</c:v>
                </c:pt>
                <c:pt idx="224">
                  <c:v>1.0932742469213395</c:v>
                </c:pt>
                <c:pt idx="225">
                  <c:v>1.0932742469213963</c:v>
                </c:pt>
                <c:pt idx="226">
                  <c:v>1.0932742469213963</c:v>
                </c:pt>
                <c:pt idx="227">
                  <c:v>1.0940921887422519</c:v>
                </c:pt>
                <c:pt idx="228">
                  <c:v>1.0956225242565552</c:v>
                </c:pt>
                <c:pt idx="229">
                  <c:v>1.0956575806758906</c:v>
                </c:pt>
                <c:pt idx="230">
                  <c:v>1.0956575806758337</c:v>
                </c:pt>
                <c:pt idx="231">
                  <c:v>1.0956575806758906</c:v>
                </c:pt>
                <c:pt idx="232">
                  <c:v>1.0876152532722472</c:v>
                </c:pt>
                <c:pt idx="233">
                  <c:v>1.0732256701314782</c:v>
                </c:pt>
                <c:pt idx="234">
                  <c:v>1.072940116644304</c:v>
                </c:pt>
                <c:pt idx="235">
                  <c:v>1.072940116644304</c:v>
                </c:pt>
                <c:pt idx="236">
                  <c:v>1.0729401166442472</c:v>
                </c:pt>
                <c:pt idx="237">
                  <c:v>1.0740983917128801</c:v>
                </c:pt>
                <c:pt idx="238">
                  <c:v>1.0761946816825798</c:v>
                </c:pt>
                <c:pt idx="239">
                  <c:v>1.0762378863071831</c:v>
                </c:pt>
                <c:pt idx="240">
                  <c:v>1.0762378863071262</c:v>
                </c:pt>
                <c:pt idx="241">
                  <c:v>1.0762378863071831</c:v>
                </c:pt>
                <c:pt idx="242">
                  <c:v>1.0762378863070694</c:v>
                </c:pt>
                <c:pt idx="243">
                  <c:v>1.0762378863071831</c:v>
                </c:pt>
                <c:pt idx="244">
                  <c:v>1.0762378863071262</c:v>
                </c:pt>
                <c:pt idx="245">
                  <c:v>1.0762378863071262</c:v>
                </c:pt>
                <c:pt idx="246">
                  <c:v>1.0762378863071262</c:v>
                </c:pt>
                <c:pt idx="247">
                  <c:v>1.0762378863071262</c:v>
                </c:pt>
                <c:pt idx="248">
                  <c:v>1.0762378863071831</c:v>
                </c:pt>
                <c:pt idx="249">
                  <c:v>1.0762378863070694</c:v>
                </c:pt>
                <c:pt idx="250">
                  <c:v>1.0762378863071831</c:v>
                </c:pt>
                <c:pt idx="251">
                  <c:v>1.0762378863071262</c:v>
                </c:pt>
                <c:pt idx="252">
                  <c:v>1.0762378863071262</c:v>
                </c:pt>
                <c:pt idx="253">
                  <c:v>1.0762378863071262</c:v>
                </c:pt>
                <c:pt idx="254">
                  <c:v>1.0762378863071262</c:v>
                </c:pt>
                <c:pt idx="255">
                  <c:v>1.0762378863071262</c:v>
                </c:pt>
                <c:pt idx="256">
                  <c:v>1.0762378863071831</c:v>
                </c:pt>
                <c:pt idx="257">
                  <c:v>1.0762378863071262</c:v>
                </c:pt>
                <c:pt idx="258">
                  <c:v>1.0762378863071262</c:v>
                </c:pt>
                <c:pt idx="259">
                  <c:v>1.0762378863071262</c:v>
                </c:pt>
                <c:pt idx="260">
                  <c:v>1.0762378863071831</c:v>
                </c:pt>
                <c:pt idx="261">
                  <c:v>1.0762378863071262</c:v>
                </c:pt>
                <c:pt idx="262">
                  <c:v>1.03868540339775</c:v>
                </c:pt>
                <c:pt idx="263">
                  <c:v>0.97067849455734745</c:v>
                </c:pt>
                <c:pt idx="264">
                  <c:v>0.96927396602563931</c:v>
                </c:pt>
                <c:pt idx="265">
                  <c:v>0.96927396602558247</c:v>
                </c:pt>
                <c:pt idx="266">
                  <c:v>0.96927396602563931</c:v>
                </c:pt>
                <c:pt idx="267">
                  <c:v>0.97629583741704096</c:v>
                </c:pt>
                <c:pt idx="268">
                  <c:v>0.98984656475630572</c:v>
                </c:pt>
                <c:pt idx="269">
                  <c:v>0.99018739022079671</c:v>
                </c:pt>
                <c:pt idx="270">
                  <c:v>0.9652423334541993</c:v>
                </c:pt>
                <c:pt idx="271">
                  <c:v>0.9157032534328664</c:v>
                </c:pt>
                <c:pt idx="272">
                  <c:v>0.90592792746861051</c:v>
                </c:pt>
                <c:pt idx="273">
                  <c:v>0.88929174125058807</c:v>
                </c:pt>
                <c:pt idx="274">
                  <c:v>0.87342627107037174</c:v>
                </c:pt>
                <c:pt idx="275">
                  <c:v>0.84358289664641006</c:v>
                </c:pt>
                <c:pt idx="276">
                  <c:v>0.84282557587218321</c:v>
                </c:pt>
                <c:pt idx="277">
                  <c:v>0.84282557587218321</c:v>
                </c:pt>
                <c:pt idx="278">
                  <c:v>0.84282557587218321</c:v>
                </c:pt>
                <c:pt idx="279">
                  <c:v>0.84282557587218321</c:v>
                </c:pt>
                <c:pt idx="280">
                  <c:v>0.84282557587221163</c:v>
                </c:pt>
                <c:pt idx="281">
                  <c:v>0.84282557587221163</c:v>
                </c:pt>
                <c:pt idx="282">
                  <c:v>0.85229313074535185</c:v>
                </c:pt>
                <c:pt idx="283">
                  <c:v>0.87127173943827074</c:v>
                </c:pt>
                <c:pt idx="284">
                  <c:v>0.87180394942802764</c:v>
                </c:pt>
                <c:pt idx="285">
                  <c:v>0.87180394942805606</c:v>
                </c:pt>
                <c:pt idx="286">
                  <c:v>0.8718039494281129</c:v>
                </c:pt>
                <c:pt idx="287">
                  <c:v>0.87180394942805606</c:v>
                </c:pt>
                <c:pt idx="288">
                  <c:v>0.82622588732294844</c:v>
                </c:pt>
                <c:pt idx="289">
                  <c:v>0.74464330177377747</c:v>
                </c:pt>
                <c:pt idx="290">
                  <c:v>0.74302215883719214</c:v>
                </c:pt>
                <c:pt idx="291">
                  <c:v>0.74302215883716372</c:v>
                </c:pt>
                <c:pt idx="292">
                  <c:v>0.74302215883716372</c:v>
                </c:pt>
                <c:pt idx="293">
                  <c:v>0.74302215883719214</c:v>
                </c:pt>
                <c:pt idx="294">
                  <c:v>0.74302215883719214</c:v>
                </c:pt>
                <c:pt idx="295">
                  <c:v>0.74302215883719214</c:v>
                </c:pt>
                <c:pt idx="296">
                  <c:v>0.72438476267191731</c:v>
                </c:pt>
                <c:pt idx="297">
                  <c:v>0.68817953997134396</c:v>
                </c:pt>
                <c:pt idx="298">
                  <c:v>0.68725107004843267</c:v>
                </c:pt>
                <c:pt idx="299">
                  <c:v>0.68725107004848951</c:v>
                </c:pt>
                <c:pt idx="300">
                  <c:v>0.68725107004840424</c:v>
                </c:pt>
                <c:pt idx="301">
                  <c:v>0.68725107004848951</c:v>
                </c:pt>
                <c:pt idx="302">
                  <c:v>0.68725107004846109</c:v>
                </c:pt>
                <c:pt idx="303">
                  <c:v>0.68725107004846109</c:v>
                </c:pt>
                <c:pt idx="304">
                  <c:v>0.68725107004843267</c:v>
                </c:pt>
                <c:pt idx="305">
                  <c:v>0.68725107004846109</c:v>
                </c:pt>
                <c:pt idx="306">
                  <c:v>0.68725107004846109</c:v>
                </c:pt>
                <c:pt idx="307">
                  <c:v>0.68725107004846109</c:v>
                </c:pt>
                <c:pt idx="308">
                  <c:v>0.68725107004846109</c:v>
                </c:pt>
                <c:pt idx="309">
                  <c:v>0.68725107004846109</c:v>
                </c:pt>
                <c:pt idx="310">
                  <c:v>0.68725107004843267</c:v>
                </c:pt>
                <c:pt idx="311">
                  <c:v>0.68725107004846109</c:v>
                </c:pt>
                <c:pt idx="312">
                  <c:v>0.68725107004848951</c:v>
                </c:pt>
                <c:pt idx="313">
                  <c:v>0.68725107004843267</c:v>
                </c:pt>
                <c:pt idx="314">
                  <c:v>0.68725107004846109</c:v>
                </c:pt>
                <c:pt idx="315">
                  <c:v>0.68725107004843267</c:v>
                </c:pt>
                <c:pt idx="316">
                  <c:v>0.68725107004848951</c:v>
                </c:pt>
                <c:pt idx="317">
                  <c:v>0.68725107004848951</c:v>
                </c:pt>
                <c:pt idx="318">
                  <c:v>0.67608151393520188</c:v>
                </c:pt>
                <c:pt idx="319">
                  <c:v>0.65491973163764783</c:v>
                </c:pt>
                <c:pt idx="320">
                  <c:v>0.65441595858126789</c:v>
                </c:pt>
                <c:pt idx="321">
                  <c:v>0.65441595858121104</c:v>
                </c:pt>
                <c:pt idx="322">
                  <c:v>0.65441595858126789</c:v>
                </c:pt>
                <c:pt idx="323">
                  <c:v>0.65441595858123947</c:v>
                </c:pt>
                <c:pt idx="324">
                  <c:v>0.65441595858123947</c:v>
                </c:pt>
                <c:pt idx="325">
                  <c:v>0.65441595858121104</c:v>
                </c:pt>
                <c:pt idx="326">
                  <c:v>0.68676259915636706</c:v>
                </c:pt>
                <c:pt idx="327">
                  <c:v>0.75264948981225643</c:v>
                </c:pt>
                <c:pt idx="328">
                  <c:v>0.75458008152932621</c:v>
                </c:pt>
                <c:pt idx="329">
                  <c:v>0.74664621902465456</c:v>
                </c:pt>
                <c:pt idx="330">
                  <c:v>0.73115114536267356</c:v>
                </c:pt>
                <c:pt idx="331">
                  <c:v>0.71172420631134514</c:v>
                </c:pt>
                <c:pt idx="332">
                  <c:v>0.67564141778009912</c:v>
                </c:pt>
                <c:pt idx="333">
                  <c:v>0.67477945721017818</c:v>
                </c:pt>
                <c:pt idx="334">
                  <c:v>0.67477945721017818</c:v>
                </c:pt>
                <c:pt idx="335">
                  <c:v>0.67477945721017818</c:v>
                </c:pt>
                <c:pt idx="336">
                  <c:v>0.6747794572102066</c:v>
                </c:pt>
                <c:pt idx="337">
                  <c:v>0.67477945721017818</c:v>
                </c:pt>
                <c:pt idx="338">
                  <c:v>0.6747794572102066</c:v>
                </c:pt>
                <c:pt idx="339">
                  <c:v>0.67477945721017818</c:v>
                </c:pt>
                <c:pt idx="340">
                  <c:v>0.6747794572102066</c:v>
                </c:pt>
                <c:pt idx="341">
                  <c:v>0.67477945721017818</c:v>
                </c:pt>
                <c:pt idx="342">
                  <c:v>0.71948580637334203</c:v>
                </c:pt>
                <c:pt idx="343">
                  <c:v>0.80808240259872832</c:v>
                </c:pt>
                <c:pt idx="344">
                  <c:v>0.79746607381721901</c:v>
                </c:pt>
                <c:pt idx="345">
                  <c:v>0.77235024905110095</c:v>
                </c:pt>
                <c:pt idx="346">
                  <c:v>0.77171960188178446</c:v>
                </c:pt>
                <c:pt idx="347">
                  <c:v>0.77171960188175603</c:v>
                </c:pt>
                <c:pt idx="348">
                  <c:v>0.77171960188178446</c:v>
                </c:pt>
                <c:pt idx="349">
                  <c:v>0.77171960188178446</c:v>
                </c:pt>
                <c:pt idx="350">
                  <c:v>0.77171960188175603</c:v>
                </c:pt>
                <c:pt idx="351">
                  <c:v>0.77171960188178446</c:v>
                </c:pt>
                <c:pt idx="352">
                  <c:v>0.77171960188172761</c:v>
                </c:pt>
                <c:pt idx="353">
                  <c:v>0.75741445540253949</c:v>
                </c:pt>
                <c:pt idx="354">
                  <c:v>0.7279899767085567</c:v>
                </c:pt>
                <c:pt idx="355">
                  <c:v>0.72710476167353022</c:v>
                </c:pt>
                <c:pt idx="356">
                  <c:v>0.72710476167344495</c:v>
                </c:pt>
                <c:pt idx="357">
                  <c:v>0.72710476167347338</c:v>
                </c:pt>
                <c:pt idx="358">
                  <c:v>0.72710476167344495</c:v>
                </c:pt>
                <c:pt idx="359">
                  <c:v>0.7271047616735018</c:v>
                </c:pt>
                <c:pt idx="360">
                  <c:v>0.72710476167347338</c:v>
                </c:pt>
                <c:pt idx="361">
                  <c:v>0.72710476167347338</c:v>
                </c:pt>
                <c:pt idx="362">
                  <c:v>0.7271047616735018</c:v>
                </c:pt>
                <c:pt idx="363">
                  <c:v>0.72710476167344495</c:v>
                </c:pt>
                <c:pt idx="364">
                  <c:v>0.72710476167344495</c:v>
                </c:pt>
                <c:pt idx="365">
                  <c:v>0.72710476167347338</c:v>
                </c:pt>
                <c:pt idx="366">
                  <c:v>0.72710476167347338</c:v>
                </c:pt>
                <c:pt idx="367">
                  <c:v>0.72710476167347338</c:v>
                </c:pt>
                <c:pt idx="368">
                  <c:v>0.72710476167347338</c:v>
                </c:pt>
                <c:pt idx="369">
                  <c:v>0.72710476167347338</c:v>
                </c:pt>
                <c:pt idx="370">
                  <c:v>0.7271047616735018</c:v>
                </c:pt>
                <c:pt idx="371">
                  <c:v>0.72710476167347338</c:v>
                </c:pt>
                <c:pt idx="372">
                  <c:v>0.72710476167344495</c:v>
                </c:pt>
                <c:pt idx="373">
                  <c:v>0.72710476167347338</c:v>
                </c:pt>
                <c:pt idx="374">
                  <c:v>0.7271047616735018</c:v>
                </c:pt>
                <c:pt idx="375">
                  <c:v>0.72710476167347338</c:v>
                </c:pt>
                <c:pt idx="376">
                  <c:v>0.72142796116830255</c:v>
                </c:pt>
                <c:pt idx="377">
                  <c:v>0.71052413205700304</c:v>
                </c:pt>
                <c:pt idx="378">
                  <c:v>0.71025365207606228</c:v>
                </c:pt>
                <c:pt idx="379">
                  <c:v>0.7102536520760907</c:v>
                </c:pt>
                <c:pt idx="380">
                  <c:v>0.71221499506049213</c:v>
                </c:pt>
                <c:pt idx="381">
                  <c:v>0.71619962048646357</c:v>
                </c:pt>
                <c:pt idx="382">
                  <c:v>0.71631554870961622</c:v>
                </c:pt>
                <c:pt idx="383">
                  <c:v>0.71631554870961622</c:v>
                </c:pt>
                <c:pt idx="384">
                  <c:v>0.70591345030013031</c:v>
                </c:pt>
                <c:pt idx="385">
                  <c:v>0.68506415954800559</c:v>
                </c:pt>
                <c:pt idx="386">
                  <c:v>0.68447970103991906</c:v>
                </c:pt>
                <c:pt idx="387">
                  <c:v>0.68447970103991906</c:v>
                </c:pt>
                <c:pt idx="388">
                  <c:v>0.67933821166135999</c:v>
                </c:pt>
                <c:pt idx="389">
                  <c:v>0.66031238193701824</c:v>
                </c:pt>
                <c:pt idx="390">
                  <c:v>0.64248819675498225</c:v>
                </c:pt>
                <c:pt idx="391">
                  <c:v>0.64204834164695512</c:v>
                </c:pt>
                <c:pt idx="392">
                  <c:v>0.64204834164698354</c:v>
                </c:pt>
                <c:pt idx="393">
                  <c:v>0.64204834164698354</c:v>
                </c:pt>
                <c:pt idx="394">
                  <c:v>0.64204834164698354</c:v>
                </c:pt>
                <c:pt idx="395">
                  <c:v>0.64204834164695512</c:v>
                </c:pt>
                <c:pt idx="396">
                  <c:v>0.63721303292098241</c:v>
                </c:pt>
                <c:pt idx="397">
                  <c:v>0.62777207672695567</c:v>
                </c:pt>
                <c:pt idx="398">
                  <c:v>0.6275263700328253</c:v>
                </c:pt>
                <c:pt idx="399">
                  <c:v>0.6275263700328253</c:v>
                </c:pt>
                <c:pt idx="400">
                  <c:v>0.62752637003285372</c:v>
                </c:pt>
                <c:pt idx="401">
                  <c:v>0.62752637003285372</c:v>
                </c:pt>
                <c:pt idx="402">
                  <c:v>0.6027446381409618</c:v>
                </c:pt>
                <c:pt idx="403">
                  <c:v>0.55464455636064258</c:v>
                </c:pt>
                <c:pt idx="404">
                  <c:v>0.55341412358532693</c:v>
                </c:pt>
                <c:pt idx="405">
                  <c:v>0.54433256111778405</c:v>
                </c:pt>
                <c:pt idx="406">
                  <c:v>0.52611866283012887</c:v>
                </c:pt>
                <c:pt idx="407">
                  <c:v>0.52560719172640802</c:v>
                </c:pt>
                <c:pt idx="408">
                  <c:v>0.52560719172646486</c:v>
                </c:pt>
                <c:pt idx="409">
                  <c:v>0.52560719172643644</c:v>
                </c:pt>
                <c:pt idx="410">
                  <c:v>0.52560719172643644</c:v>
                </c:pt>
                <c:pt idx="411">
                  <c:v>0.52560719172640802</c:v>
                </c:pt>
                <c:pt idx="412">
                  <c:v>0.52560719172646486</c:v>
                </c:pt>
                <c:pt idx="413">
                  <c:v>0.52560719172640802</c:v>
                </c:pt>
                <c:pt idx="414">
                  <c:v>0.52560719172643644</c:v>
                </c:pt>
                <c:pt idx="415">
                  <c:v>0.52560719172643644</c:v>
                </c:pt>
                <c:pt idx="416">
                  <c:v>0.52560719172643644</c:v>
                </c:pt>
                <c:pt idx="417">
                  <c:v>0.52560719172646486</c:v>
                </c:pt>
                <c:pt idx="418">
                  <c:v>0.52560719172640802</c:v>
                </c:pt>
                <c:pt idx="419">
                  <c:v>0.52560719172646486</c:v>
                </c:pt>
                <c:pt idx="420">
                  <c:v>0.52560719172640802</c:v>
                </c:pt>
                <c:pt idx="421">
                  <c:v>0.52560719172643644</c:v>
                </c:pt>
                <c:pt idx="422">
                  <c:v>0.52560719172643644</c:v>
                </c:pt>
                <c:pt idx="423">
                  <c:v>0.52560719172643644</c:v>
                </c:pt>
                <c:pt idx="424">
                  <c:v>0.52560719172643644</c:v>
                </c:pt>
                <c:pt idx="425">
                  <c:v>0.52560719172643644</c:v>
                </c:pt>
                <c:pt idx="426">
                  <c:v>0.52560719172643644</c:v>
                </c:pt>
                <c:pt idx="427">
                  <c:v>0.52560719172640802</c:v>
                </c:pt>
                <c:pt idx="428">
                  <c:v>0.52560719172643644</c:v>
                </c:pt>
                <c:pt idx="429">
                  <c:v>0.52560719172643644</c:v>
                </c:pt>
                <c:pt idx="430">
                  <c:v>0.52560719172643644</c:v>
                </c:pt>
                <c:pt idx="431">
                  <c:v>0.52560719172643644</c:v>
                </c:pt>
                <c:pt idx="432">
                  <c:v>0.52560719172643644</c:v>
                </c:pt>
                <c:pt idx="433">
                  <c:v>0.52757065751785603</c:v>
                </c:pt>
                <c:pt idx="434">
                  <c:v>0.53138164480279215</c:v>
                </c:pt>
                <c:pt idx="435">
                  <c:v>0.52999993709150317</c:v>
                </c:pt>
                <c:pt idx="436">
                  <c:v>0.52710888038765802</c:v>
                </c:pt>
                <c:pt idx="437">
                  <c:v>0.52703341859347574</c:v>
                </c:pt>
                <c:pt idx="438">
                  <c:v>0.52703341859344732</c:v>
                </c:pt>
                <c:pt idx="439">
                  <c:v>0.52703341859344732</c:v>
                </c:pt>
                <c:pt idx="440">
                  <c:v>0.52703341859347574</c:v>
                </c:pt>
                <c:pt idx="441">
                  <c:v>0.52703341859344732</c:v>
                </c:pt>
                <c:pt idx="442">
                  <c:v>0.52703341859346153</c:v>
                </c:pt>
                <c:pt idx="443">
                  <c:v>0.52805933371946878</c:v>
                </c:pt>
                <c:pt idx="444">
                  <c:v>0.53251032505353635</c:v>
                </c:pt>
                <c:pt idx="445">
                  <c:v>0.53758886132453654</c:v>
                </c:pt>
                <c:pt idx="446">
                  <c:v>0.53771835291477998</c:v>
                </c:pt>
                <c:pt idx="447">
                  <c:v>0.5377183529147942</c:v>
                </c:pt>
                <c:pt idx="448">
                  <c:v>0.53718379239418823</c:v>
                </c:pt>
                <c:pt idx="449">
                  <c:v>0.53614374696593359</c:v>
                </c:pt>
                <c:pt idx="450">
                  <c:v>0.53611695541050608</c:v>
                </c:pt>
                <c:pt idx="451">
                  <c:v>0.53611695541043503</c:v>
                </c:pt>
                <c:pt idx="452">
                  <c:v>0.53611695541050608</c:v>
                </c:pt>
                <c:pt idx="453">
                  <c:v>0.53611695541046345</c:v>
                </c:pt>
                <c:pt idx="454">
                  <c:v>0.53611695541049187</c:v>
                </c:pt>
                <c:pt idx="455">
                  <c:v>0.53611695541046345</c:v>
                </c:pt>
                <c:pt idx="456">
                  <c:v>0.53611695541047766</c:v>
                </c:pt>
                <c:pt idx="457">
                  <c:v>0.53611695541047766</c:v>
                </c:pt>
                <c:pt idx="458">
                  <c:v>0.53611695541047766</c:v>
                </c:pt>
                <c:pt idx="459">
                  <c:v>0.53611695541047766</c:v>
                </c:pt>
                <c:pt idx="460">
                  <c:v>0.53321410424014459</c:v>
                </c:pt>
                <c:pt idx="461">
                  <c:v>0.52763966776154803</c:v>
                </c:pt>
                <c:pt idx="462">
                  <c:v>0.52750148219274706</c:v>
                </c:pt>
                <c:pt idx="463">
                  <c:v>0.52750148219276127</c:v>
                </c:pt>
                <c:pt idx="464">
                  <c:v>0.52750148219274706</c:v>
                </c:pt>
                <c:pt idx="465">
                  <c:v>0.51122321091416723</c:v>
                </c:pt>
                <c:pt idx="466">
                  <c:v>0.47930721285274558</c:v>
                </c:pt>
                <c:pt idx="467">
                  <c:v>0.47846654829882596</c:v>
                </c:pt>
                <c:pt idx="468">
                  <c:v>0.47846654829882596</c:v>
                </c:pt>
                <c:pt idx="469">
                  <c:v>0.47846654829882596</c:v>
                </c:pt>
                <c:pt idx="470">
                  <c:v>0.47846654829884017</c:v>
                </c:pt>
                <c:pt idx="471">
                  <c:v>0.47846654829882596</c:v>
                </c:pt>
                <c:pt idx="472">
                  <c:v>0.47846654829884017</c:v>
                </c:pt>
                <c:pt idx="473">
                  <c:v>0.47846654829881174</c:v>
                </c:pt>
                <c:pt idx="474">
                  <c:v>0.47846654829882596</c:v>
                </c:pt>
                <c:pt idx="475">
                  <c:v>0.47846654829884017</c:v>
                </c:pt>
                <c:pt idx="476">
                  <c:v>0.47846654829881174</c:v>
                </c:pt>
                <c:pt idx="477">
                  <c:v>0.47846654829882596</c:v>
                </c:pt>
                <c:pt idx="478">
                  <c:v>0.47846654829882596</c:v>
                </c:pt>
                <c:pt idx="479">
                  <c:v>0.47846654829885438</c:v>
                </c:pt>
                <c:pt idx="480">
                  <c:v>0.47846654829881174</c:v>
                </c:pt>
                <c:pt idx="481">
                  <c:v>0.47846654829882596</c:v>
                </c:pt>
                <c:pt idx="482">
                  <c:v>0.47846654829882596</c:v>
                </c:pt>
                <c:pt idx="483">
                  <c:v>0.47846654829885438</c:v>
                </c:pt>
                <c:pt idx="484">
                  <c:v>0.47846654829881174</c:v>
                </c:pt>
                <c:pt idx="485">
                  <c:v>0.47846654829882596</c:v>
                </c:pt>
                <c:pt idx="486">
                  <c:v>0.47846654829882596</c:v>
                </c:pt>
                <c:pt idx="487">
                  <c:v>0.44327728463629512</c:v>
                </c:pt>
                <c:pt idx="488">
                  <c:v>0.37642076717679629</c:v>
                </c:pt>
                <c:pt idx="489">
                  <c:v>0.37481564070296258</c:v>
                </c:pt>
                <c:pt idx="490">
                  <c:v>0.35481166251484808</c:v>
                </c:pt>
                <c:pt idx="491">
                  <c:v>0.31593616424549964</c:v>
                </c:pt>
                <c:pt idx="492">
                  <c:v>0.31493805408464937</c:v>
                </c:pt>
                <c:pt idx="493">
                  <c:v>0.31493805408466358</c:v>
                </c:pt>
                <c:pt idx="494">
                  <c:v>0.31493805408467779</c:v>
                </c:pt>
                <c:pt idx="495">
                  <c:v>0.31493805408467779</c:v>
                </c:pt>
                <c:pt idx="496">
                  <c:v>0.28567516803612136</c:v>
                </c:pt>
                <c:pt idx="497">
                  <c:v>0.22971466924489903</c:v>
                </c:pt>
                <c:pt idx="498">
                  <c:v>0.22834458154314063</c:v>
                </c:pt>
                <c:pt idx="499">
                  <c:v>0.22834458154314063</c:v>
                </c:pt>
                <c:pt idx="500">
                  <c:v>0.18650594397807652</c:v>
                </c:pt>
                <c:pt idx="501">
                  <c:v>8.6177044019976279E-2</c:v>
                </c:pt>
                <c:pt idx="502">
                  <c:v>4.1696640702667764E-2</c:v>
                </c:pt>
                <c:pt idx="503">
                  <c:v>4.0622453894854971E-2</c:v>
                </c:pt>
                <c:pt idx="504">
                  <c:v>4.062245389484076E-2</c:v>
                </c:pt>
                <c:pt idx="505">
                  <c:v>4.0622453894854971E-2</c:v>
                </c:pt>
                <c:pt idx="506">
                  <c:v>4.0622453894854971E-2</c:v>
                </c:pt>
                <c:pt idx="507">
                  <c:v>4.0622453894826549E-2</c:v>
                </c:pt>
                <c:pt idx="508">
                  <c:v>4.0622453894869182E-2</c:v>
                </c:pt>
                <c:pt idx="509">
                  <c:v>4.0622453894826549E-2</c:v>
                </c:pt>
                <c:pt idx="510">
                  <c:v>4.0622453894869182E-2</c:v>
                </c:pt>
                <c:pt idx="511">
                  <c:v>4.0622453894826549E-2</c:v>
                </c:pt>
                <c:pt idx="512">
                  <c:v>4.0622453894869182E-2</c:v>
                </c:pt>
                <c:pt idx="513">
                  <c:v>3.1025267791193301E-2</c:v>
                </c:pt>
                <c:pt idx="514">
                  <c:v>1.2844854466962374E-2</c:v>
                </c:pt>
                <c:pt idx="515">
                  <c:v>1.2412225967835866E-2</c:v>
                </c:pt>
                <c:pt idx="516">
                  <c:v>1.2412225967821655E-2</c:v>
                </c:pt>
                <c:pt idx="517">
                  <c:v>1.2412225967835866E-2</c:v>
                </c:pt>
                <c:pt idx="518">
                  <c:v>1.2412225967821655E-2</c:v>
                </c:pt>
                <c:pt idx="519">
                  <c:v>1.2412225967807444E-2</c:v>
                </c:pt>
                <c:pt idx="520">
                  <c:v>1.2412225967835866E-2</c:v>
                </c:pt>
                <c:pt idx="521">
                  <c:v>1.2412225967807444E-2</c:v>
                </c:pt>
                <c:pt idx="522">
                  <c:v>1.2412225967835866E-2</c:v>
                </c:pt>
                <c:pt idx="523">
                  <c:v>1.2412225967835866E-2</c:v>
                </c:pt>
                <c:pt idx="524">
                  <c:v>1.618758055052183E-2</c:v>
                </c:pt>
                <c:pt idx="525">
                  <c:v>2.3603250086935645E-2</c:v>
                </c:pt>
                <c:pt idx="526">
                  <c:v>2.3799603662993718E-2</c:v>
                </c:pt>
                <c:pt idx="527">
                  <c:v>2.3799603662993718E-2</c:v>
                </c:pt>
                <c:pt idx="528">
                  <c:v>2.3799603662979507E-2</c:v>
                </c:pt>
                <c:pt idx="529">
                  <c:v>2.3799603662979507E-2</c:v>
                </c:pt>
                <c:pt idx="530">
                  <c:v>2.3799603662965296E-2</c:v>
                </c:pt>
                <c:pt idx="531">
                  <c:v>2.3799603662993718E-2</c:v>
                </c:pt>
                <c:pt idx="532">
                  <c:v>2.3799603662979507E-2</c:v>
                </c:pt>
                <c:pt idx="533">
                  <c:v>2.3799603662993718E-2</c:v>
                </c:pt>
                <c:pt idx="534">
                  <c:v>2.3799603662965296E-2</c:v>
                </c:pt>
                <c:pt idx="535">
                  <c:v>2.3799603663007929E-2</c:v>
                </c:pt>
                <c:pt idx="536">
                  <c:v>2.3799603662951085E-2</c:v>
                </c:pt>
                <c:pt idx="537">
                  <c:v>2.3799603662993718E-2</c:v>
                </c:pt>
                <c:pt idx="538">
                  <c:v>2.3799603662979507E-2</c:v>
                </c:pt>
                <c:pt idx="539">
                  <c:v>2.3799603662993718E-2</c:v>
                </c:pt>
                <c:pt idx="540">
                  <c:v>2.3799603662979507E-2</c:v>
                </c:pt>
                <c:pt idx="541">
                  <c:v>2.3799603662979507E-2</c:v>
                </c:pt>
                <c:pt idx="542">
                  <c:v>2.3799603662979507E-2</c:v>
                </c:pt>
                <c:pt idx="543">
                  <c:v>2.3799603662979507E-2</c:v>
                </c:pt>
                <c:pt idx="544">
                  <c:v>2.3799603662979507E-2</c:v>
                </c:pt>
                <c:pt idx="545">
                  <c:v>5.4111498593087504E-2</c:v>
                </c:pt>
                <c:pt idx="546">
                  <c:v>0.11315728029872218</c:v>
                </c:pt>
                <c:pt idx="547">
                  <c:v>0.14528020721625978</c:v>
                </c:pt>
                <c:pt idx="548">
                  <c:v>0.20568003737021456</c:v>
                </c:pt>
                <c:pt idx="549">
                  <c:v>0.2073023081946701</c:v>
                </c:pt>
                <c:pt idx="550">
                  <c:v>0.20730230819465589</c:v>
                </c:pt>
                <c:pt idx="551">
                  <c:v>0.2073023081946701</c:v>
                </c:pt>
                <c:pt idx="552">
                  <c:v>0.21600973065613971</c:v>
                </c:pt>
                <c:pt idx="553">
                  <c:v>0.2332668692974238</c:v>
                </c:pt>
                <c:pt idx="554">
                  <c:v>0.23373559579572145</c:v>
                </c:pt>
                <c:pt idx="555">
                  <c:v>0.23373559579572145</c:v>
                </c:pt>
                <c:pt idx="556">
                  <c:v>0.23483843305525909</c:v>
                </c:pt>
                <c:pt idx="557">
                  <c:v>0.23691721457882409</c:v>
                </c:pt>
                <c:pt idx="558">
                  <c:v>0.2219007497511285</c:v>
                </c:pt>
                <c:pt idx="559">
                  <c:v>0.19233453632875808</c:v>
                </c:pt>
                <c:pt idx="560">
                  <c:v>0.19155359402390104</c:v>
                </c:pt>
                <c:pt idx="561">
                  <c:v>0.19155359402390104</c:v>
                </c:pt>
                <c:pt idx="562">
                  <c:v>0.19155359402392946</c:v>
                </c:pt>
                <c:pt idx="563">
                  <c:v>0.16891536774465976</c:v>
                </c:pt>
                <c:pt idx="564">
                  <c:v>0.12291425734447614</c:v>
                </c:pt>
                <c:pt idx="565">
                  <c:v>0.12157513399473885</c:v>
                </c:pt>
                <c:pt idx="566">
                  <c:v>0.12157513399473885</c:v>
                </c:pt>
                <c:pt idx="567">
                  <c:v>0.12157513399473885</c:v>
                </c:pt>
                <c:pt idx="568">
                  <c:v>0.12157513399472464</c:v>
                </c:pt>
                <c:pt idx="569">
                  <c:v>0.12157513399471043</c:v>
                </c:pt>
                <c:pt idx="570">
                  <c:v>0.12157513399473885</c:v>
                </c:pt>
                <c:pt idx="571">
                  <c:v>0.12157513399473885</c:v>
                </c:pt>
                <c:pt idx="572">
                  <c:v>0.12157513399472464</c:v>
                </c:pt>
                <c:pt idx="573">
                  <c:v>0.12157513399472464</c:v>
                </c:pt>
                <c:pt idx="574">
                  <c:v>0.12157513399473885</c:v>
                </c:pt>
                <c:pt idx="575">
                  <c:v>0.12157513399472464</c:v>
                </c:pt>
                <c:pt idx="576">
                  <c:v>0.12157513399473885</c:v>
                </c:pt>
                <c:pt idx="577">
                  <c:v>0.12157513399472464</c:v>
                </c:pt>
                <c:pt idx="578">
                  <c:v>0.12157513399473885</c:v>
                </c:pt>
                <c:pt idx="579">
                  <c:v>0.12157513399472464</c:v>
                </c:pt>
                <c:pt idx="580">
                  <c:v>0.12157513399473885</c:v>
                </c:pt>
                <c:pt idx="581">
                  <c:v>0.10238334080621314</c:v>
                </c:pt>
                <c:pt idx="582">
                  <c:v>6.4990331381267197E-2</c:v>
                </c:pt>
                <c:pt idx="583">
                  <c:v>4.3848036305888627E-2</c:v>
                </c:pt>
                <c:pt idx="584">
                  <c:v>4.503340051030591E-3</c:v>
                </c:pt>
                <c:pt idx="585">
                  <c:v>-3.537931905779601E-2</c:v>
                </c:pt>
                <c:pt idx="586">
                  <c:v>-0.11001081325906625</c:v>
                </c:pt>
                <c:pt idx="587">
                  <c:v>-0.12466443102213987</c:v>
                </c:pt>
                <c:pt idx="588">
                  <c:v>-0.14967724533819649</c:v>
                </c:pt>
                <c:pt idx="589">
                  <c:v>-0.15032929312302201</c:v>
                </c:pt>
                <c:pt idx="590">
                  <c:v>-0.15032929312302201</c:v>
                </c:pt>
                <c:pt idx="591">
                  <c:v>-0.15032929312302201</c:v>
                </c:pt>
                <c:pt idx="592">
                  <c:v>-0.1503292931230078</c:v>
                </c:pt>
                <c:pt idx="593">
                  <c:v>-0.15032929312302201</c:v>
                </c:pt>
                <c:pt idx="594">
                  <c:v>-0.1503292931230078</c:v>
                </c:pt>
                <c:pt idx="595">
                  <c:v>-0.15032929312303622</c:v>
                </c:pt>
                <c:pt idx="596">
                  <c:v>-0.15891587770545357</c:v>
                </c:pt>
                <c:pt idx="597">
                  <c:v>-0.17580598388059343</c:v>
                </c:pt>
                <c:pt idx="598">
                  <c:v>-0.17625503277734822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F6-44B4-A188-E2F34F15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869992"/>
        <c:axId val="648869008"/>
      </c:scatterChart>
      <c:valAx>
        <c:axId val="68576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770072"/>
        <c:crosses val="autoZero"/>
        <c:crossBetween val="midCat"/>
      </c:valAx>
      <c:valAx>
        <c:axId val="685770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769744"/>
        <c:crosses val="autoZero"/>
        <c:crossBetween val="midCat"/>
      </c:valAx>
      <c:valAx>
        <c:axId val="64886900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8869992"/>
        <c:crosses val="max"/>
        <c:crossBetween val="midCat"/>
      </c:valAx>
      <c:valAx>
        <c:axId val="64886999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64886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'REGAP Mesmos Parametros'!$AP$30:$AP$59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'REGAP Mesmos Parametros'!$AQ$30:$AQ$59</c:f>
              <c:numCache>
                <c:formatCode>General</c:formatCode>
                <c:ptCount val="30"/>
                <c:pt idx="0">
                  <c:v>1287.95</c:v>
                </c:pt>
                <c:pt idx="1">
                  <c:v>545.79600000000005</c:v>
                </c:pt>
                <c:pt idx="2">
                  <c:v>545.79600000000005</c:v>
                </c:pt>
                <c:pt idx="3">
                  <c:v>545.79600000000005</c:v>
                </c:pt>
                <c:pt idx="4">
                  <c:v>520.41200000000003</c:v>
                </c:pt>
                <c:pt idx="5">
                  <c:v>520.41200000000003</c:v>
                </c:pt>
                <c:pt idx="6">
                  <c:v>515.54600000000005</c:v>
                </c:pt>
                <c:pt idx="7">
                  <c:v>515.54600000000005</c:v>
                </c:pt>
                <c:pt idx="8">
                  <c:v>515.54600000000005</c:v>
                </c:pt>
                <c:pt idx="9">
                  <c:v>515.54600000000005</c:v>
                </c:pt>
                <c:pt idx="10">
                  <c:v>500.89800000000002</c:v>
                </c:pt>
                <c:pt idx="11">
                  <c:v>500.89800000000002</c:v>
                </c:pt>
                <c:pt idx="12">
                  <c:v>494.09199999999998</c:v>
                </c:pt>
                <c:pt idx="13">
                  <c:v>494.09199999999998</c:v>
                </c:pt>
                <c:pt idx="14">
                  <c:v>494.09199999999998</c:v>
                </c:pt>
                <c:pt idx="15">
                  <c:v>494.09199999999998</c:v>
                </c:pt>
                <c:pt idx="16">
                  <c:v>494.09199999999998</c:v>
                </c:pt>
                <c:pt idx="17">
                  <c:v>494.09199999999998</c:v>
                </c:pt>
                <c:pt idx="18">
                  <c:v>494.09199999999998</c:v>
                </c:pt>
                <c:pt idx="19">
                  <c:v>494.09199999999998</c:v>
                </c:pt>
                <c:pt idx="20">
                  <c:v>494.09199999999998</c:v>
                </c:pt>
                <c:pt idx="21">
                  <c:v>494.09199999999998</c:v>
                </c:pt>
                <c:pt idx="22">
                  <c:v>494.09199999999998</c:v>
                </c:pt>
                <c:pt idx="23">
                  <c:v>494.09199999999998</c:v>
                </c:pt>
                <c:pt idx="24">
                  <c:v>494.09199999999998</c:v>
                </c:pt>
                <c:pt idx="25">
                  <c:v>494.09199999999998</c:v>
                </c:pt>
                <c:pt idx="26">
                  <c:v>494.09199999999998</c:v>
                </c:pt>
                <c:pt idx="27">
                  <c:v>494.09199999999998</c:v>
                </c:pt>
                <c:pt idx="28">
                  <c:v>494.09199999999998</c:v>
                </c:pt>
                <c:pt idx="29">
                  <c:v>494.09199999999998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C-42C6-A156-5F6E0DE28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126840"/>
        <c:axId val="697124872"/>
      </c:scatterChart>
      <c:valAx>
        <c:axId val="697126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7124872"/>
        <c:crosses val="autoZero"/>
        <c:crossBetween val="midCat"/>
      </c:valAx>
      <c:valAx>
        <c:axId val="697124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7126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lineMarker"/>
        <c:varyColors val="0"/>
        <c:ser>
          <c:idx val="5"/>
          <c:order val="0"/>
          <c:tx>
            <c:strRef>
              <c:f>'REFAP Mesmos Parametros'!$D$32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Mesmos Parametros'!$A$33:$A$135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Mesmos Parametros'!$D$33:$D$135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433.11099999999999</c:v>
                </c:pt>
                <c:pt idx="2">
                  <c:v>432.84</c:v>
                </c:pt>
                <c:pt idx="3">
                  <c:v>432.56400000000002</c:v>
                </c:pt>
                <c:pt idx="4">
                  <c:v>432.31200000000001</c:v>
                </c:pt>
                <c:pt idx="5">
                  <c:v>432.05399999999997</c:v>
                </c:pt>
                <c:pt idx="6">
                  <c:v>431.80799999999999</c:v>
                </c:pt>
                <c:pt idx="7">
                  <c:v>431.03699999999998</c:v>
                </c:pt>
                <c:pt idx="8">
                  <c:v>430.26499999999999</c:v>
                </c:pt>
                <c:pt idx="9">
                  <c:v>429.53100000000001</c:v>
                </c:pt>
                <c:pt idx="10">
                  <c:v>428.762</c:v>
                </c:pt>
                <c:pt idx="11">
                  <c:v>428.18799999999999</c:v>
                </c:pt>
                <c:pt idx="12">
                  <c:v>427.60599999999999</c:v>
                </c:pt>
                <c:pt idx="13">
                  <c:v>427.02300000000002</c:v>
                </c:pt>
                <c:pt idx="14">
                  <c:v>426.43599999999998</c:v>
                </c:pt>
                <c:pt idx="15">
                  <c:v>425.86399999999998</c:v>
                </c:pt>
                <c:pt idx="16">
                  <c:v>425.29500000000002</c:v>
                </c:pt>
                <c:pt idx="17">
                  <c:v>424.71800000000002</c:v>
                </c:pt>
                <c:pt idx="18">
                  <c:v>424.13400000000001</c:v>
                </c:pt>
                <c:pt idx="19">
                  <c:v>423.54</c:v>
                </c:pt>
                <c:pt idx="20">
                  <c:v>422.94499999999999</c:v>
                </c:pt>
                <c:pt idx="21">
                  <c:v>422.35</c:v>
                </c:pt>
                <c:pt idx="22">
                  <c:v>421.755</c:v>
                </c:pt>
                <c:pt idx="23">
                  <c:v>421.15699999999998</c:v>
                </c:pt>
                <c:pt idx="24">
                  <c:v>420.56400000000002</c:v>
                </c:pt>
                <c:pt idx="25">
                  <c:v>419.988</c:v>
                </c:pt>
                <c:pt idx="26">
                  <c:v>419.41500000000002</c:v>
                </c:pt>
                <c:pt idx="27">
                  <c:v>419.18700000000001</c:v>
                </c:pt>
                <c:pt idx="28">
                  <c:v>419.11599999999999</c:v>
                </c:pt>
                <c:pt idx="29">
                  <c:v>415.81299999999999</c:v>
                </c:pt>
                <c:pt idx="30">
                  <c:v>412.28899999999999</c:v>
                </c:pt>
                <c:pt idx="31">
                  <c:v>412.28899999999999</c:v>
                </c:pt>
                <c:pt idx="32">
                  <c:v>412.28899999999999</c:v>
                </c:pt>
                <c:pt idx="33">
                  <c:v>412.28899999999999</c:v>
                </c:pt>
                <c:pt idx="34">
                  <c:v>412.274</c:v>
                </c:pt>
                <c:pt idx="35">
                  <c:v>411.66699999999997</c:v>
                </c:pt>
                <c:pt idx="36">
                  <c:v>411.66699999999997</c:v>
                </c:pt>
                <c:pt idx="37">
                  <c:v>411.66699999999997</c:v>
                </c:pt>
                <c:pt idx="38">
                  <c:v>411.66699999999997</c:v>
                </c:pt>
                <c:pt idx="39">
                  <c:v>411.66300000000001</c:v>
                </c:pt>
                <c:pt idx="40">
                  <c:v>411.61900000000003</c:v>
                </c:pt>
                <c:pt idx="41">
                  <c:v>411.49</c:v>
                </c:pt>
                <c:pt idx="42">
                  <c:v>406.91899999999998</c:v>
                </c:pt>
                <c:pt idx="43">
                  <c:v>406.13799999999998</c:v>
                </c:pt>
                <c:pt idx="44">
                  <c:v>405.06799999999998</c:v>
                </c:pt>
                <c:pt idx="45">
                  <c:v>403.23700000000002</c:v>
                </c:pt>
                <c:pt idx="46">
                  <c:v>400.39100000000002</c:v>
                </c:pt>
                <c:pt idx="47">
                  <c:v>398.44</c:v>
                </c:pt>
                <c:pt idx="48">
                  <c:v>398.44</c:v>
                </c:pt>
                <c:pt idx="49">
                  <c:v>398.44</c:v>
                </c:pt>
                <c:pt idx="50">
                  <c:v>398.44</c:v>
                </c:pt>
                <c:pt idx="51">
                  <c:v>398.43700000000001</c:v>
                </c:pt>
                <c:pt idx="52">
                  <c:v>398.42500000000001</c:v>
                </c:pt>
                <c:pt idx="53">
                  <c:v>398.39699999999999</c:v>
                </c:pt>
                <c:pt idx="54">
                  <c:v>397.81900000000002</c:v>
                </c:pt>
                <c:pt idx="55">
                  <c:v>396.40800000000002</c:v>
                </c:pt>
                <c:pt idx="56">
                  <c:v>381.83699999999999</c:v>
                </c:pt>
                <c:pt idx="57">
                  <c:v>368.06</c:v>
                </c:pt>
                <c:pt idx="58">
                  <c:v>354.90899999999999</c:v>
                </c:pt>
                <c:pt idx="59">
                  <c:v>342.36</c:v>
                </c:pt>
                <c:pt idx="60">
                  <c:v>330.38400000000001</c:v>
                </c:pt>
                <c:pt idx="61">
                  <c:v>318.95100000000002</c:v>
                </c:pt>
                <c:pt idx="62">
                  <c:v>308.03800000000001</c:v>
                </c:pt>
                <c:pt idx="63">
                  <c:v>297.61799999999999</c:v>
                </c:pt>
                <c:pt idx="64">
                  <c:v>287.66399999999999</c:v>
                </c:pt>
                <c:pt idx="65">
                  <c:v>278.16000000000003</c:v>
                </c:pt>
                <c:pt idx="66">
                  <c:v>269.077</c:v>
                </c:pt>
                <c:pt idx="67">
                  <c:v>260.40100000000001</c:v>
                </c:pt>
                <c:pt idx="68">
                  <c:v>252.107</c:v>
                </c:pt>
                <c:pt idx="69">
                  <c:v>244.179</c:v>
                </c:pt>
                <c:pt idx="70">
                  <c:v>236.59800000000001</c:v>
                </c:pt>
                <c:pt idx="71">
                  <c:v>229.34899999999999</c:v>
                </c:pt>
                <c:pt idx="72">
                  <c:v>222.41499999999999</c:v>
                </c:pt>
                <c:pt idx="73">
                  <c:v>215.78200000000001</c:v>
                </c:pt>
                <c:pt idx="74">
                  <c:v>209.43600000000001</c:v>
                </c:pt>
                <c:pt idx="75">
                  <c:v>203.36099999999999</c:v>
                </c:pt>
                <c:pt idx="76">
                  <c:v>197.54599999999999</c:v>
                </c:pt>
                <c:pt idx="77">
                  <c:v>191.97900000000001</c:v>
                </c:pt>
                <c:pt idx="78">
                  <c:v>186.64699999999999</c:v>
                </c:pt>
                <c:pt idx="79">
                  <c:v>182.30699999999999</c:v>
                </c:pt>
                <c:pt idx="80">
                  <c:v>177.16399999999999</c:v>
                </c:pt>
                <c:pt idx="81">
                  <c:v>172.20699999999999</c:v>
                </c:pt>
                <c:pt idx="82">
                  <c:v>166.81899999999999</c:v>
                </c:pt>
                <c:pt idx="83">
                  <c:v>162.21899999999999</c:v>
                </c:pt>
                <c:pt idx="84">
                  <c:v>158.03</c:v>
                </c:pt>
                <c:pt idx="85">
                  <c:v>153.958</c:v>
                </c:pt>
                <c:pt idx="86">
                  <c:v>150.096</c:v>
                </c:pt>
                <c:pt idx="87">
                  <c:v>146.363</c:v>
                </c:pt>
                <c:pt idx="88">
                  <c:v>142.797</c:v>
                </c:pt>
                <c:pt idx="89">
                  <c:v>139.364</c:v>
                </c:pt>
                <c:pt idx="90">
                  <c:v>136.07499999999999</c:v>
                </c:pt>
                <c:pt idx="91">
                  <c:v>132.911</c:v>
                </c:pt>
                <c:pt idx="92">
                  <c:v>129.874</c:v>
                </c:pt>
                <c:pt idx="93">
                  <c:v>126.95699999999999</c:v>
                </c:pt>
                <c:pt idx="94">
                  <c:v>124.15300000000001</c:v>
                </c:pt>
                <c:pt idx="95">
                  <c:v>121.46</c:v>
                </c:pt>
                <c:pt idx="96">
                  <c:v>118.872</c:v>
                </c:pt>
                <c:pt idx="97">
                  <c:v>116.38500000000001</c:v>
                </c:pt>
                <c:pt idx="98">
                  <c:v>113.99299999999999</c:v>
                </c:pt>
                <c:pt idx="99">
                  <c:v>111.69499999999999</c:v>
                </c:pt>
                <c:pt idx="100">
                  <c:v>109.486</c:v>
                </c:pt>
                <c:pt idx="101">
                  <c:v>107.361</c:v>
                </c:pt>
                <c:pt idx="102">
                  <c:v>103.74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716-448D-9287-61CF41585325}"/>
            </c:ext>
          </c:extLst>
        </c:ser>
        <c:ser>
          <c:idx val="1"/>
          <c:order val="4"/>
          <c:tx>
            <c:strRef>
              <c:f>'REFAP Mesmos Parametros'!$AC$32</c:f>
              <c:strCache>
                <c:ptCount val="1"/>
                <c:pt idx="0">
                  <c:v>M + DP</c:v>
                </c:pt>
              </c:strCache>
            </c:strRef>
          </c:tx>
          <c:spPr>
            <a:ln w="12700">
              <a:prstDash val="sysDot"/>
            </a:ln>
          </c:spPr>
          <c:marker>
            <c:symbol val="none"/>
          </c:marker>
          <c:xVal>
            <c:numRef>
              <c:f>'REFAP Mesmos Parametros'!$Z$32:$Z$631</c:f>
              <c:numCache>
                <c:formatCode>General</c:formatCode>
                <c:ptCount val="6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</c:numCache>
            </c:numRef>
          </c:xVal>
          <c:yVal>
            <c:numRef>
              <c:f>'REFAP Mesmos Parametros'!$AC$33:$AC$632</c:f>
              <c:numCache>
                <c:formatCode>0.0000</c:formatCode>
                <c:ptCount val="600"/>
                <c:pt idx="0">
                  <c:v>451.97549631714412</c:v>
                </c:pt>
                <c:pt idx="1">
                  <c:v>451.94813393903098</c:v>
                </c:pt>
                <c:pt idx="2">
                  <c:v>451.9207724440044</c:v>
                </c:pt>
                <c:pt idx="3">
                  <c:v>451.82653174070128</c:v>
                </c:pt>
                <c:pt idx="4">
                  <c:v>451.62900429742376</c:v>
                </c:pt>
                <c:pt idx="5">
                  <c:v>451.43044729642929</c:v>
                </c:pt>
                <c:pt idx="6">
                  <c:v>451.23203018103686</c:v>
                </c:pt>
                <c:pt idx="7">
                  <c:v>451.03375597128007</c:v>
                </c:pt>
                <c:pt idx="8">
                  <c:v>450.83562777125388</c:v>
                </c:pt>
                <c:pt idx="9">
                  <c:v>450.63764877192682</c:v>
                </c:pt>
                <c:pt idx="10">
                  <c:v>450.43982225405784</c:v>
                </c:pt>
                <c:pt idx="11">
                  <c:v>450.23437282765423</c:v>
                </c:pt>
                <c:pt idx="12">
                  <c:v>449.97920625032782</c:v>
                </c:pt>
                <c:pt idx="13">
                  <c:v>449.71777701736511</c:v>
                </c:pt>
                <c:pt idx="14">
                  <c:v>449.46383511313508</c:v>
                </c:pt>
                <c:pt idx="15">
                  <c:v>449.21066105846222</c:v>
                </c:pt>
                <c:pt idx="16">
                  <c:v>448.95770468021931</c:v>
                </c:pt>
                <c:pt idx="17">
                  <c:v>448.70496905889075</c:v>
                </c:pt>
                <c:pt idx="18">
                  <c:v>448.45245732454742</c:v>
                </c:pt>
                <c:pt idx="19">
                  <c:v>448.20017265760697</c:v>
                </c:pt>
                <c:pt idx="20">
                  <c:v>447.94811828959888</c:v>
                </c:pt>
                <c:pt idx="21">
                  <c:v>447.69629750393494</c:v>
                </c:pt>
                <c:pt idx="22">
                  <c:v>447.44471363668464</c:v>
                </c:pt>
                <c:pt idx="23">
                  <c:v>447.19337007735356</c:v>
                </c:pt>
                <c:pt idx="24">
                  <c:v>446.9422702696686</c:v>
                </c:pt>
                <c:pt idx="25">
                  <c:v>446.69141771236303</c:v>
                </c:pt>
                <c:pt idx="26">
                  <c:v>446.44081595996619</c:v>
                </c:pt>
                <c:pt idx="27">
                  <c:v>446.19046862359556</c:v>
                </c:pt>
                <c:pt idx="28">
                  <c:v>445.94037937174954</c:v>
                </c:pt>
                <c:pt idx="29">
                  <c:v>445.6905519311016</c:v>
                </c:pt>
                <c:pt idx="30">
                  <c:v>445.44099008729421</c:v>
                </c:pt>
                <c:pt idx="31">
                  <c:v>445.19169768573329</c:v>
                </c:pt>
                <c:pt idx="32">
                  <c:v>444.94267863238008</c:v>
                </c:pt>
                <c:pt idx="33">
                  <c:v>444.69393689454074</c:v>
                </c:pt>
                <c:pt idx="34">
                  <c:v>444.44547650165435</c:v>
                </c:pt>
                <c:pt idx="35">
                  <c:v>444.19730154607544</c:v>
                </c:pt>
                <c:pt idx="36">
                  <c:v>443.94941618385155</c:v>
                </c:pt>
                <c:pt idx="37">
                  <c:v>443.70182463549543</c:v>
                </c:pt>
                <c:pt idx="38">
                  <c:v>443.45453118674891</c:v>
                </c:pt>
                <c:pt idx="39">
                  <c:v>443.20754018933962</c:v>
                </c:pt>
                <c:pt idx="40">
                  <c:v>442.9608560617263</c:v>
                </c:pt>
                <c:pt idx="41">
                  <c:v>442.71448328983462</c:v>
                </c:pt>
                <c:pt idx="42">
                  <c:v>442.46842642777966</c:v>
                </c:pt>
                <c:pt idx="43">
                  <c:v>442.22269009857496</c:v>
                </c:pt>
                <c:pt idx="44">
                  <c:v>441.97727899482521</c:v>
                </c:pt>
                <c:pt idx="45">
                  <c:v>441.73219787940371</c:v>
                </c:pt>
                <c:pt idx="46">
                  <c:v>441.48745158610888</c:v>
                </c:pt>
                <c:pt idx="47">
                  <c:v>441.23468551782952</c:v>
                </c:pt>
                <c:pt idx="48">
                  <c:v>440.90486525290186</c:v>
                </c:pt>
                <c:pt idx="49">
                  <c:v>440.55642686725713</c:v>
                </c:pt>
                <c:pt idx="50">
                  <c:v>440.20818494480113</c:v>
                </c:pt>
                <c:pt idx="51">
                  <c:v>439.86014517269513</c:v>
                </c:pt>
                <c:pt idx="52">
                  <c:v>439.51231345075212</c:v>
                </c:pt>
                <c:pt idx="53">
                  <c:v>439.16469590100257</c:v>
                </c:pt>
                <c:pt idx="54">
                  <c:v>438.81729887775111</c:v>
                </c:pt>
                <c:pt idx="55">
                  <c:v>438.4701289781529</c:v>
                </c:pt>
                <c:pt idx="56">
                  <c:v>438.1231930533379</c:v>
                </c:pt>
                <c:pt idx="57">
                  <c:v>437.77649822011341</c:v>
                </c:pt>
                <c:pt idx="58">
                  <c:v>437.43005187327873</c:v>
                </c:pt>
                <c:pt idx="59">
                  <c:v>437.08386169858454</c:v>
                </c:pt>
                <c:pt idx="60">
                  <c:v>436.73793568637535</c:v>
                </c:pt>
                <c:pt idx="61">
                  <c:v>436.39228214595033</c:v>
                </c:pt>
                <c:pt idx="62">
                  <c:v>436.04690972068585</c:v>
                </c:pt>
                <c:pt idx="63">
                  <c:v>435.70182740395995</c:v>
                </c:pt>
                <c:pt idx="64">
                  <c:v>435.3570445559248</c:v>
                </c:pt>
                <c:pt idx="65">
                  <c:v>435.01257092117373</c:v>
                </c:pt>
                <c:pt idx="66">
                  <c:v>434.66841664735256</c:v>
                </c:pt>
                <c:pt idx="67">
                  <c:v>434.32459230476616</c:v>
                </c:pt>
                <c:pt idx="68">
                  <c:v>433.98110890703663</c:v>
                </c:pt>
                <c:pt idx="69">
                  <c:v>433.63797793286875</c:v>
                </c:pt>
                <c:pt idx="70">
                  <c:v>433.29521134898232</c:v>
                </c:pt>
                <c:pt idx="71">
                  <c:v>432.95282163427441</c:v>
                </c:pt>
                <c:pt idx="72">
                  <c:v>432.61082180527615</c:v>
                </c:pt>
                <c:pt idx="73">
                  <c:v>432.23089996275957</c:v>
                </c:pt>
                <c:pt idx="74">
                  <c:v>431.49669404711466</c:v>
                </c:pt>
                <c:pt idx="75">
                  <c:v>430.67629341593306</c:v>
                </c:pt>
                <c:pt idx="76">
                  <c:v>429.85593748569852</c:v>
                </c:pt>
                <c:pt idx="77">
                  <c:v>429.03563238034752</c:v>
                </c:pt>
                <c:pt idx="78">
                  <c:v>428.21480532999544</c:v>
                </c:pt>
                <c:pt idx="79">
                  <c:v>427.39086218063312</c:v>
                </c:pt>
                <c:pt idx="80">
                  <c:v>426.40223163834332</c:v>
                </c:pt>
                <c:pt idx="81">
                  <c:v>424.96355465112106</c:v>
                </c:pt>
                <c:pt idx="82">
                  <c:v>423.49919285054216</c:v>
                </c:pt>
                <c:pt idx="83">
                  <c:v>422.03485038380182</c:v>
                </c:pt>
                <c:pt idx="84">
                  <c:v>420.63334615233902</c:v>
                </c:pt>
                <c:pt idx="85">
                  <c:v>419.81310650114227</c:v>
                </c:pt>
                <c:pt idx="86">
                  <c:v>419.13528734018882</c:v>
                </c:pt>
                <c:pt idx="87">
                  <c:v>418.45835578498588</c:v>
                </c:pt>
                <c:pt idx="88">
                  <c:v>417.78232926780976</c:v>
                </c:pt>
                <c:pt idx="89">
                  <c:v>417.10748692380412</c:v>
                </c:pt>
                <c:pt idx="90">
                  <c:v>416.43423392389883</c:v>
                </c:pt>
                <c:pt idx="91">
                  <c:v>415.76318009340679</c:v>
                </c:pt>
                <c:pt idx="92">
                  <c:v>415.09528395660772</c:v>
                </c:pt>
                <c:pt idx="93">
                  <c:v>414.43213303596212</c:v>
                </c:pt>
                <c:pt idx="94">
                  <c:v>413.77652826923844</c:v>
                </c:pt>
                <c:pt idx="95">
                  <c:v>413.13379645948049</c:v>
                </c:pt>
                <c:pt idx="96">
                  <c:v>412.46228298598123</c:v>
                </c:pt>
                <c:pt idx="97">
                  <c:v>411.65853906607191</c:v>
                </c:pt>
                <c:pt idx="98">
                  <c:v>411.16634996121724</c:v>
                </c:pt>
                <c:pt idx="99">
                  <c:v>411.02768648433454</c:v>
                </c:pt>
                <c:pt idx="100">
                  <c:v>411.00916958943088</c:v>
                </c:pt>
                <c:pt idx="101">
                  <c:v>411.02641823489319</c:v>
                </c:pt>
                <c:pt idx="102">
                  <c:v>411.05765986052313</c:v>
                </c:pt>
                <c:pt idx="103">
                  <c:v>411.04048747360298</c:v>
                </c:pt>
                <c:pt idx="104">
                  <c:v>410.94921373264168</c:v>
                </c:pt>
                <c:pt idx="105">
                  <c:v>410.85774285040253</c:v>
                </c:pt>
                <c:pt idx="106">
                  <c:v>410.76648651550448</c:v>
                </c:pt>
                <c:pt idx="107">
                  <c:v>410.67541319620005</c:v>
                </c:pt>
                <c:pt idx="108">
                  <c:v>410.58449722594611</c:v>
                </c:pt>
                <c:pt idx="109">
                  <c:v>410.49371750542741</c:v>
                </c:pt>
                <c:pt idx="110">
                  <c:v>410.40305653344228</c:v>
                </c:pt>
                <c:pt idx="111">
                  <c:v>410.31249967370604</c:v>
                </c:pt>
                <c:pt idx="112">
                  <c:v>410.22203459338544</c:v>
                </c:pt>
                <c:pt idx="113">
                  <c:v>410.13165082833336</c:v>
                </c:pt>
                <c:pt idx="114">
                  <c:v>410.06901478842735</c:v>
                </c:pt>
                <c:pt idx="115">
                  <c:v>410.04508799620777</c:v>
                </c:pt>
                <c:pt idx="116">
                  <c:v>410.04615958058008</c:v>
                </c:pt>
                <c:pt idx="117">
                  <c:v>410.07198403995039</c:v>
                </c:pt>
                <c:pt idx="118">
                  <c:v>410.10025418345822</c:v>
                </c:pt>
                <c:pt idx="119">
                  <c:v>410.13055842912684</c:v>
                </c:pt>
                <c:pt idx="120">
                  <c:v>410.16257103062151</c:v>
                </c:pt>
                <c:pt idx="121">
                  <c:v>410.19603118774899</c:v>
                </c:pt>
                <c:pt idx="122">
                  <c:v>410.23072787219331</c:v>
                </c:pt>
                <c:pt idx="123">
                  <c:v>410.26648865480121</c:v>
                </c:pt>
                <c:pt idx="124">
                  <c:v>410.30317137346742</c:v>
                </c:pt>
                <c:pt idx="125">
                  <c:v>410.34065784440571</c:v>
                </c:pt>
                <c:pt idx="126">
                  <c:v>410.3788490620035</c:v>
                </c:pt>
                <c:pt idx="127">
                  <c:v>410.41856986947778</c:v>
                </c:pt>
                <c:pt idx="128">
                  <c:v>410.46309009388068</c:v>
                </c:pt>
                <c:pt idx="129">
                  <c:v>410.50868353287592</c:v>
                </c:pt>
                <c:pt idx="130">
                  <c:v>410.55475941748387</c:v>
                </c:pt>
                <c:pt idx="131">
                  <c:v>410.6012665404366</c:v>
                </c:pt>
                <c:pt idx="132">
                  <c:v>410.64816064867557</c:v>
                </c:pt>
                <c:pt idx="133">
                  <c:v>410.69540330862094</c:v>
                </c:pt>
                <c:pt idx="134">
                  <c:v>410.74296098533085</c:v>
                </c:pt>
                <c:pt idx="135">
                  <c:v>410.79080429020792</c:v>
                </c:pt>
                <c:pt idx="136">
                  <c:v>410.8389073625159</c:v>
                </c:pt>
                <c:pt idx="137">
                  <c:v>410.88724735787252</c:v>
                </c:pt>
                <c:pt idx="138">
                  <c:v>410.95411316071574</c:v>
                </c:pt>
                <c:pt idx="139">
                  <c:v>411.06875005578172</c:v>
                </c:pt>
                <c:pt idx="140">
                  <c:v>411.18630276316225</c:v>
                </c:pt>
                <c:pt idx="141">
                  <c:v>411.30429644528749</c:v>
                </c:pt>
                <c:pt idx="142">
                  <c:v>411.43258124470407</c:v>
                </c:pt>
                <c:pt idx="143">
                  <c:v>411.7797542451458</c:v>
                </c:pt>
                <c:pt idx="144">
                  <c:v>412.21848560625915</c:v>
                </c:pt>
                <c:pt idx="145">
                  <c:v>412.65924987968566</c:v>
                </c:pt>
                <c:pt idx="146">
                  <c:v>413.10166557132862</c:v>
                </c:pt>
                <c:pt idx="147">
                  <c:v>413.54544070070585</c:v>
                </c:pt>
                <c:pt idx="148">
                  <c:v>413.99034808156182</c:v>
                </c:pt>
                <c:pt idx="149">
                  <c:v>414.60300572003678</c:v>
                </c:pt>
                <c:pt idx="150">
                  <c:v>415.46075795122141</c:v>
                </c:pt>
                <c:pt idx="151">
                  <c:v>416.32272430377259</c:v>
                </c:pt>
                <c:pt idx="152">
                  <c:v>417.1863856073</c:v>
                </c:pt>
                <c:pt idx="153">
                  <c:v>418.05140424456937</c:v>
                </c:pt>
                <c:pt idx="154">
                  <c:v>418.86105476396006</c:v>
                </c:pt>
                <c:pt idx="155">
                  <c:v>419.49780454496977</c:v>
                </c:pt>
                <c:pt idx="156">
                  <c:v>420.16287534926971</c:v>
                </c:pt>
                <c:pt idx="157">
                  <c:v>420.99411526097896</c:v>
                </c:pt>
                <c:pt idx="158">
                  <c:v>421.84332632526343</c:v>
                </c:pt>
                <c:pt idx="159">
                  <c:v>422.69254412929479</c:v>
                </c:pt>
                <c:pt idx="160">
                  <c:v>423.54176761799334</c:v>
                </c:pt>
                <c:pt idx="161">
                  <c:v>424.39099594558002</c:v>
                </c:pt>
                <c:pt idx="162">
                  <c:v>425.24022842613164</c:v>
                </c:pt>
                <c:pt idx="163">
                  <c:v>426.08946449751426</c:v>
                </c:pt>
                <c:pt idx="164">
                  <c:v>426.93870369466663</c:v>
                </c:pt>
                <c:pt idx="165">
                  <c:v>427.7662913168657</c:v>
                </c:pt>
                <c:pt idx="166">
                  <c:v>428.42193404522527</c:v>
                </c:pt>
                <c:pt idx="167">
                  <c:v>429.04056623661165</c:v>
                </c:pt>
                <c:pt idx="168">
                  <c:v>429.6592164590117</c:v>
                </c:pt>
                <c:pt idx="169">
                  <c:v>430.18200273445893</c:v>
                </c:pt>
                <c:pt idx="170">
                  <c:v>430.20245411692218</c:v>
                </c:pt>
                <c:pt idx="171">
                  <c:v>430.15467585649503</c:v>
                </c:pt>
                <c:pt idx="172">
                  <c:v>430.11169750486135</c:v>
                </c:pt>
                <c:pt idx="173">
                  <c:v>430.07318295332522</c:v>
                </c:pt>
                <c:pt idx="174">
                  <c:v>430.01936258526206</c:v>
                </c:pt>
                <c:pt idx="175">
                  <c:v>429.70438810633453</c:v>
                </c:pt>
                <c:pt idx="176">
                  <c:v>429.04432802975413</c:v>
                </c:pt>
                <c:pt idx="177">
                  <c:v>428.37651452124351</c:v>
                </c:pt>
                <c:pt idx="178">
                  <c:v>427.72076346941549</c:v>
                </c:pt>
                <c:pt idx="179">
                  <c:v>427.0765553024421</c:v>
                </c:pt>
                <c:pt idx="180">
                  <c:v>426.4433957229503</c:v>
                </c:pt>
                <c:pt idx="181">
                  <c:v>425.82081451726685</c:v>
                </c:pt>
                <c:pt idx="182">
                  <c:v>425.2083643986457</c:v>
                </c:pt>
                <c:pt idx="183">
                  <c:v>424.60561988783661</c:v>
                </c:pt>
                <c:pt idx="184">
                  <c:v>424.01217623340642</c:v>
                </c:pt>
                <c:pt idx="185">
                  <c:v>423.42220512223582</c:v>
                </c:pt>
                <c:pt idx="186">
                  <c:v>422.7350052186581</c:v>
                </c:pt>
                <c:pt idx="187">
                  <c:v>422.01672327471528</c:v>
                </c:pt>
                <c:pt idx="188">
                  <c:v>421.30822403605976</c:v>
                </c:pt>
                <c:pt idx="189">
                  <c:v>420.60921412462415</c:v>
                </c:pt>
                <c:pt idx="190">
                  <c:v>419.9194092794877</c:v>
                </c:pt>
                <c:pt idx="191">
                  <c:v>419.23853415442403</c:v>
                </c:pt>
                <c:pt idx="192">
                  <c:v>418.56632210876614</c:v>
                </c:pt>
                <c:pt idx="193">
                  <c:v>417.90251499318941</c:v>
                </c:pt>
                <c:pt idx="194">
                  <c:v>417.28382976150806</c:v>
                </c:pt>
                <c:pt idx="195">
                  <c:v>416.72888603086756</c:v>
                </c:pt>
                <c:pt idx="196">
                  <c:v>416.18041098120761</c:v>
                </c:pt>
                <c:pt idx="197">
                  <c:v>415.63758488073188</c:v>
                </c:pt>
                <c:pt idx="198">
                  <c:v>415.10023912018414</c:v>
                </c:pt>
                <c:pt idx="199">
                  <c:v>414.56821097358147</c:v>
                </c:pt>
                <c:pt idx="200">
                  <c:v>414.01958167952574</c:v>
                </c:pt>
                <c:pt idx="201">
                  <c:v>413.38745577304087</c:v>
                </c:pt>
                <c:pt idx="202">
                  <c:v>412.75227656384089</c:v>
                </c:pt>
                <c:pt idx="203">
                  <c:v>412.12357380707664</c:v>
                </c:pt>
                <c:pt idx="204">
                  <c:v>411.50120889687338</c:v>
                </c:pt>
                <c:pt idx="205">
                  <c:v>410.88504617712351</c:v>
                </c:pt>
                <c:pt idx="206">
                  <c:v>410.27495290649392</c:v>
                </c:pt>
                <c:pt idx="207">
                  <c:v>409.67079922125708</c:v>
                </c:pt>
                <c:pt idx="208">
                  <c:v>409.07245809619741</c:v>
                </c:pt>
                <c:pt idx="209">
                  <c:v>408.47980530383319</c:v>
                </c:pt>
                <c:pt idx="210">
                  <c:v>407.89294133598781</c:v>
                </c:pt>
                <c:pt idx="211">
                  <c:v>407.40786560835818</c:v>
                </c:pt>
                <c:pt idx="212">
                  <c:v>406.96674625754662</c:v>
                </c:pt>
                <c:pt idx="213">
                  <c:v>406.4401001952964</c:v>
                </c:pt>
                <c:pt idx="214">
                  <c:v>405.91398420958922</c:v>
                </c:pt>
                <c:pt idx="215">
                  <c:v>405.39191264339087</c:v>
                </c:pt>
                <c:pt idx="216">
                  <c:v>404.87383171293834</c:v>
                </c:pt>
                <c:pt idx="217">
                  <c:v>404.35968822145071</c:v>
                </c:pt>
                <c:pt idx="218">
                  <c:v>403.84942956221391</c:v>
                </c:pt>
                <c:pt idx="219">
                  <c:v>403.34300372110908</c:v>
                </c:pt>
                <c:pt idx="220">
                  <c:v>402.84035927860413</c:v>
                </c:pt>
                <c:pt idx="221">
                  <c:v>402.34144541123635</c:v>
                </c:pt>
                <c:pt idx="222">
                  <c:v>401.84621189260548</c:v>
                </c:pt>
                <c:pt idx="223">
                  <c:v>401.3546090939011</c:v>
                </c:pt>
                <c:pt idx="224">
                  <c:v>400.86658798398838</c:v>
                </c:pt>
                <c:pt idx="225">
                  <c:v>400.29122172759861</c:v>
                </c:pt>
                <c:pt idx="226">
                  <c:v>399.55702246919714</c:v>
                </c:pt>
                <c:pt idx="227">
                  <c:v>398.82059832549248</c:v>
                </c:pt>
                <c:pt idx="228">
                  <c:v>398.08858727082634</c:v>
                </c:pt>
                <c:pt idx="229">
                  <c:v>397.43344383590284</c:v>
                </c:pt>
                <c:pt idx="230">
                  <c:v>396.84065142943348</c:v>
                </c:pt>
                <c:pt idx="231">
                  <c:v>396.24981512203703</c:v>
                </c:pt>
                <c:pt idx="232">
                  <c:v>395.66092284346337</c:v>
                </c:pt>
                <c:pt idx="233">
                  <c:v>395.07396254052674</c:v>
                </c:pt>
                <c:pt idx="234">
                  <c:v>394.48892217862243</c:v>
                </c:pt>
                <c:pt idx="235">
                  <c:v>393.9057897432134</c:v>
                </c:pt>
                <c:pt idx="236">
                  <c:v>393.32455324127932</c:v>
                </c:pt>
                <c:pt idx="237">
                  <c:v>392.7452007027365</c:v>
                </c:pt>
                <c:pt idx="238">
                  <c:v>392.1677201818228</c:v>
                </c:pt>
                <c:pt idx="239">
                  <c:v>391.59209975845124</c:v>
                </c:pt>
                <c:pt idx="240">
                  <c:v>391.01832753953005</c:v>
                </c:pt>
                <c:pt idx="241">
                  <c:v>390.44639166025036</c:v>
                </c:pt>
                <c:pt idx="242">
                  <c:v>389.87628028534346</c:v>
                </c:pt>
                <c:pt idx="243">
                  <c:v>389.15638564671042</c:v>
                </c:pt>
                <c:pt idx="244">
                  <c:v>388.06692934213675</c:v>
                </c:pt>
                <c:pt idx="245">
                  <c:v>386.93871738150426</c:v>
                </c:pt>
                <c:pt idx="246">
                  <c:v>385.79611636556365</c:v>
                </c:pt>
                <c:pt idx="247">
                  <c:v>384.65485051228461</c:v>
                </c:pt>
                <c:pt idx="248">
                  <c:v>383.51492403474026</c:v>
                </c:pt>
                <c:pt idx="249">
                  <c:v>382.37634112517446</c:v>
                </c:pt>
                <c:pt idx="250">
                  <c:v>381.2391059544895</c:v>
                </c:pt>
                <c:pt idx="251">
                  <c:v>380.10322267173456</c:v>
                </c:pt>
                <c:pt idx="252">
                  <c:v>378.99445995862106</c:v>
                </c:pt>
                <c:pt idx="253">
                  <c:v>377.92409950951298</c:v>
                </c:pt>
                <c:pt idx="254">
                  <c:v>376.85471856339211</c:v>
                </c:pt>
                <c:pt idx="255">
                  <c:v>375.78600108525632</c:v>
                </c:pt>
                <c:pt idx="256">
                  <c:v>374.71794924650271</c:v>
                </c:pt>
                <c:pt idx="257">
                  <c:v>373.65056521840393</c:v>
                </c:pt>
                <c:pt idx="258">
                  <c:v>372.5615623711135</c:v>
                </c:pt>
                <c:pt idx="259">
                  <c:v>371.29612086214013</c:v>
                </c:pt>
                <c:pt idx="260">
                  <c:v>369.99298780567432</c:v>
                </c:pt>
                <c:pt idx="261">
                  <c:v>368.6902812432989</c:v>
                </c:pt>
                <c:pt idx="262">
                  <c:v>367.38800391109282</c:v>
                </c:pt>
                <c:pt idx="263">
                  <c:v>366.08615856453719</c:v>
                </c:pt>
                <c:pt idx="264">
                  <c:v>364.78474797863669</c:v>
                </c:pt>
                <c:pt idx="265">
                  <c:v>363.48377494804151</c:v>
                </c:pt>
                <c:pt idx="266">
                  <c:v>362.18324228716813</c:v>
                </c:pt>
                <c:pt idx="267">
                  <c:v>360.88315283032102</c:v>
                </c:pt>
                <c:pt idx="268">
                  <c:v>359.58350943181347</c:v>
                </c:pt>
                <c:pt idx="269">
                  <c:v>358.28431496609005</c:v>
                </c:pt>
                <c:pt idx="270">
                  <c:v>356.98557232784719</c:v>
                </c:pt>
                <c:pt idx="271">
                  <c:v>355.68728443215446</c:v>
                </c:pt>
                <c:pt idx="272">
                  <c:v>354.3894542145764</c:v>
                </c:pt>
                <c:pt idx="273">
                  <c:v>353.09208463129346</c:v>
                </c:pt>
                <c:pt idx="274">
                  <c:v>351.794250310753</c:v>
                </c:pt>
                <c:pt idx="275">
                  <c:v>350.51841956345498</c:v>
                </c:pt>
                <c:pt idx="276">
                  <c:v>349.28864198134789</c:v>
                </c:pt>
                <c:pt idx="277">
                  <c:v>348.05927497981133</c:v>
                </c:pt>
                <c:pt idx="278">
                  <c:v>346.65506217557288</c:v>
                </c:pt>
                <c:pt idx="279">
                  <c:v>345.0108713290075</c:v>
                </c:pt>
                <c:pt idx="280">
                  <c:v>343.3652360077125</c:v>
                </c:pt>
                <c:pt idx="281">
                  <c:v>341.71960200557368</c:v>
                </c:pt>
                <c:pt idx="282">
                  <c:v>340.07396934274675</c:v>
                </c:pt>
                <c:pt idx="283">
                  <c:v>338.42833803979937</c:v>
                </c:pt>
                <c:pt idx="284">
                  <c:v>336.78270811772302</c:v>
                </c:pt>
                <c:pt idx="285">
                  <c:v>335.137079597943</c:v>
                </c:pt>
                <c:pt idx="286">
                  <c:v>333.49145250233028</c:v>
                </c:pt>
                <c:pt idx="287">
                  <c:v>331.84582685321311</c:v>
                </c:pt>
                <c:pt idx="288">
                  <c:v>330.20020267338873</c:v>
                </c:pt>
                <c:pt idx="289">
                  <c:v>328.55457998613588</c:v>
                </c:pt>
                <c:pt idx="290">
                  <c:v>326.90895881522766</c:v>
                </c:pt>
                <c:pt idx="291">
                  <c:v>325.26333918494481</c:v>
                </c:pt>
                <c:pt idx="292">
                  <c:v>323.61772112008896</c:v>
                </c:pt>
                <c:pt idx="293">
                  <c:v>321.97210464599704</c:v>
                </c:pt>
                <c:pt idx="294">
                  <c:v>320.32648978855582</c:v>
                </c:pt>
                <c:pt idx="295">
                  <c:v>318.68087657421631</c:v>
                </c:pt>
                <c:pt idx="296">
                  <c:v>317.0357616585772</c:v>
                </c:pt>
                <c:pt idx="297">
                  <c:v>315.44931174542864</c:v>
                </c:pt>
                <c:pt idx="298">
                  <c:v>313.90343757543309</c:v>
                </c:pt>
                <c:pt idx="299">
                  <c:v>312.35795393040695</c:v>
                </c:pt>
                <c:pt idx="300">
                  <c:v>311.03499609042655</c:v>
                </c:pt>
                <c:pt idx="301">
                  <c:v>309.98171219821967</c:v>
                </c:pt>
                <c:pt idx="302">
                  <c:v>308.92912182504779</c:v>
                </c:pt>
                <c:pt idx="303">
                  <c:v>307.87661040286275</c:v>
                </c:pt>
                <c:pt idx="304">
                  <c:v>306.82417872376004</c:v>
                </c:pt>
                <c:pt idx="305">
                  <c:v>305.77182759029984</c:v>
                </c:pt>
                <c:pt idx="306">
                  <c:v>304.71955781567885</c:v>
                </c:pt>
                <c:pt idx="307">
                  <c:v>303.66737022390328</c:v>
                </c:pt>
                <c:pt idx="308">
                  <c:v>302.61455166267172</c:v>
                </c:pt>
                <c:pt idx="309">
                  <c:v>301.55052616916601</c:v>
                </c:pt>
                <c:pt idx="310">
                  <c:v>300.48263757514928</c:v>
                </c:pt>
                <c:pt idx="311">
                  <c:v>299.41477387406627</c:v>
                </c:pt>
                <c:pt idx="312">
                  <c:v>298.34693536151457</c:v>
                </c:pt>
                <c:pt idx="313">
                  <c:v>297.2791223377734</c:v>
                </c:pt>
                <c:pt idx="314">
                  <c:v>296.21133510789622</c:v>
                </c:pt>
                <c:pt idx="315">
                  <c:v>295.14357398180641</c:v>
                </c:pt>
                <c:pt idx="316">
                  <c:v>294.07583927439345</c:v>
                </c:pt>
                <c:pt idx="317">
                  <c:v>293.00813130561278</c:v>
                </c:pt>
                <c:pt idx="318">
                  <c:v>291.94045040058779</c:v>
                </c:pt>
                <c:pt idx="319">
                  <c:v>290.87425634001613</c:v>
                </c:pt>
                <c:pt idx="320">
                  <c:v>289.84026321237241</c:v>
                </c:pt>
                <c:pt idx="321">
                  <c:v>288.81963268551777</c:v>
                </c:pt>
                <c:pt idx="322">
                  <c:v>287.79923605341332</c:v>
                </c:pt>
                <c:pt idx="323">
                  <c:v>286.77907630290127</c:v>
                </c:pt>
                <c:pt idx="324">
                  <c:v>285.75915647031599</c:v>
                </c:pt>
                <c:pt idx="325">
                  <c:v>284.73947964247753</c:v>
                </c:pt>
                <c:pt idx="326">
                  <c:v>283.72004895770971</c:v>
                </c:pt>
                <c:pt idx="327">
                  <c:v>282.70086760688037</c:v>
                </c:pt>
                <c:pt idx="328">
                  <c:v>281.68193883446679</c:v>
                </c:pt>
                <c:pt idx="329">
                  <c:v>280.66326593964595</c:v>
                </c:pt>
                <c:pt idx="330">
                  <c:v>279.64485227741062</c:v>
                </c:pt>
                <c:pt idx="331">
                  <c:v>278.62670125971101</c:v>
                </c:pt>
                <c:pt idx="332">
                  <c:v>277.60881635662406</c:v>
                </c:pt>
                <c:pt idx="333">
                  <c:v>276.5912010975502</c:v>
                </c:pt>
                <c:pt idx="334">
                  <c:v>275.57385907243867</c:v>
                </c:pt>
                <c:pt idx="335">
                  <c:v>274.55679393304104</c:v>
                </c:pt>
                <c:pt idx="336">
                  <c:v>273.54000939419666</c:v>
                </c:pt>
                <c:pt idx="337">
                  <c:v>272.52350923514643</c:v>
                </c:pt>
                <c:pt idx="338">
                  <c:v>271.49988778349496</c:v>
                </c:pt>
                <c:pt idx="339">
                  <c:v>270.35972146078961</c:v>
                </c:pt>
                <c:pt idx="340">
                  <c:v>269.17968916784696</c:v>
                </c:pt>
                <c:pt idx="341">
                  <c:v>268.00014007689839</c:v>
                </c:pt>
                <c:pt idx="342">
                  <c:v>266.8210823222305</c:v>
                </c:pt>
                <c:pt idx="343">
                  <c:v>265.64252421427983</c:v>
                </c:pt>
                <c:pt idx="344">
                  <c:v>264.46447424420592</c:v>
                </c:pt>
                <c:pt idx="345">
                  <c:v>263.28694108859798</c:v>
                </c:pt>
                <c:pt idx="346">
                  <c:v>262.10993361432179</c:v>
                </c:pt>
                <c:pt idx="347">
                  <c:v>260.93346088351012</c:v>
                </c:pt>
                <c:pt idx="348">
                  <c:v>259.75753215870213</c:v>
                </c:pt>
                <c:pt idx="349">
                  <c:v>258.57563245156166</c:v>
                </c:pt>
                <c:pt idx="350">
                  <c:v>257.3814550906211</c:v>
                </c:pt>
                <c:pt idx="351">
                  <c:v>256.18732460450559</c:v>
                </c:pt>
                <c:pt idx="352">
                  <c:v>254.99357718049777</c:v>
                </c:pt>
                <c:pt idx="353">
                  <c:v>253.80022044900699</c:v>
                </c:pt>
                <c:pt idx="354">
                  <c:v>252.60726223940134</c:v>
                </c:pt>
                <c:pt idx="355">
                  <c:v>251.41471058635841</c:v>
                </c:pt>
                <c:pt idx="356">
                  <c:v>250.2225737364538</c:v>
                </c:pt>
                <c:pt idx="357">
                  <c:v>249.03086015499662</c:v>
                </c:pt>
                <c:pt idx="358">
                  <c:v>247.83957853312336</c:v>
                </c:pt>
                <c:pt idx="359">
                  <c:v>246.64873779516046</c:v>
                </c:pt>
                <c:pt idx="360">
                  <c:v>245.45834710626781</c:v>
                </c:pt>
                <c:pt idx="361">
                  <c:v>244.26841588037405</c:v>
                </c:pt>
                <c:pt idx="362">
                  <c:v>243.07895378841786</c:v>
                </c:pt>
                <c:pt idx="363">
                  <c:v>241.88997076690703</c:v>
                </c:pt>
                <c:pt idx="364">
                  <c:v>240.7014770268103</c:v>
                </c:pt>
                <c:pt idx="365">
                  <c:v>239.5134830627955</c:v>
                </c:pt>
                <c:pt idx="366">
                  <c:v>238.32599966283016</c:v>
                </c:pt>
                <c:pt idx="367">
                  <c:v>237.13903791815954</c:v>
                </c:pt>
                <c:pt idx="368">
                  <c:v>235.95260923367954</c:v>
                </c:pt>
                <c:pt idx="369">
                  <c:v>234.76672533872156</c:v>
                </c:pt>
                <c:pt idx="370">
                  <c:v>233.58139829826828</c:v>
                </c:pt>
                <c:pt idx="371">
                  <c:v>232.39664052461785</c:v>
                </c:pt>
                <c:pt idx="372">
                  <c:v>231.21246478951895</c:v>
                </c:pt>
                <c:pt idx="373">
                  <c:v>230.02878056569472</c:v>
                </c:pt>
                <c:pt idx="374">
                  <c:v>228.83853271891144</c:v>
                </c:pt>
                <c:pt idx="375">
                  <c:v>227.64454958645695</c:v>
                </c:pt>
                <c:pt idx="376">
                  <c:v>226.45122631360226</c:v>
                </c:pt>
                <c:pt idx="377">
                  <c:v>225.25857838220824</c:v>
                </c:pt>
                <c:pt idx="378">
                  <c:v>224.06662174427282</c:v>
                </c:pt>
                <c:pt idx="379">
                  <c:v>222.87537283916208</c:v>
                </c:pt>
                <c:pt idx="380">
                  <c:v>221.68484861156759</c:v>
                </c:pt>
                <c:pt idx="381">
                  <c:v>220.4950665302226</c:v>
                </c:pt>
                <c:pt idx="382">
                  <c:v>219.30604460741196</c:v>
                </c:pt>
                <c:pt idx="383">
                  <c:v>218.1178014193145</c:v>
                </c:pt>
                <c:pt idx="384">
                  <c:v>216.93035612721425</c:v>
                </c:pt>
                <c:pt idx="385">
                  <c:v>215.74372849962327</c:v>
                </c:pt>
                <c:pt idx="386">
                  <c:v>214.5579389353571</c:v>
                </c:pt>
                <c:pt idx="387">
                  <c:v>213.37300848760833</c:v>
                </c:pt>
                <c:pt idx="388">
                  <c:v>212.18895888906451</c:v>
                </c:pt>
                <c:pt idx="389">
                  <c:v>211.00581257811959</c:v>
                </c:pt>
                <c:pt idx="390">
                  <c:v>209.82359272623046</c:v>
                </c:pt>
                <c:pt idx="391">
                  <c:v>208.64212425304754</c:v>
                </c:pt>
                <c:pt idx="392">
                  <c:v>207.44389168945764</c:v>
                </c:pt>
                <c:pt idx="393">
                  <c:v>206.23491877202102</c:v>
                </c:pt>
                <c:pt idx="394">
                  <c:v>205.02663443201902</c:v>
                </c:pt>
                <c:pt idx="395">
                  <c:v>203.81905705145687</c:v>
                </c:pt>
                <c:pt idx="396">
                  <c:v>202.61220564952004</c:v>
                </c:pt>
                <c:pt idx="397">
                  <c:v>201.40609990933001</c:v>
                </c:pt>
                <c:pt idx="398">
                  <c:v>200.20076020599771</c:v>
                </c:pt>
                <c:pt idx="399">
                  <c:v>198.99620763604287</c:v>
                </c:pt>
                <c:pt idx="400">
                  <c:v>197.79246404825295</c:v>
                </c:pt>
                <c:pt idx="401">
                  <c:v>196.58955207605953</c:v>
                </c:pt>
                <c:pt idx="402">
                  <c:v>195.38749517151473</c:v>
                </c:pt>
                <c:pt idx="403">
                  <c:v>194.18949444009456</c:v>
                </c:pt>
                <c:pt idx="404">
                  <c:v>193.1693500135292</c:v>
                </c:pt>
                <c:pt idx="405">
                  <c:v>192.25145028182186</c:v>
                </c:pt>
                <c:pt idx="406">
                  <c:v>191.33281909716925</c:v>
                </c:pt>
                <c:pt idx="407">
                  <c:v>190.41262521929158</c:v>
                </c:pt>
                <c:pt idx="408">
                  <c:v>189.49264041835823</c:v>
                </c:pt>
                <c:pt idx="409">
                  <c:v>188.57290942407749</c:v>
                </c:pt>
                <c:pt idx="410">
                  <c:v>187.65343775380825</c:v>
                </c:pt>
                <c:pt idx="411">
                  <c:v>186.73423108251311</c:v>
                </c:pt>
                <c:pt idx="412">
                  <c:v>185.81529524829358</c:v>
                </c:pt>
                <c:pt idx="413">
                  <c:v>184.89663625815544</c:v>
                </c:pt>
                <c:pt idx="414">
                  <c:v>183.97826029401159</c:v>
                </c:pt>
                <c:pt idx="415">
                  <c:v>183.06017371893736</c:v>
                </c:pt>
                <c:pt idx="416">
                  <c:v>182.14238308368911</c:v>
                </c:pt>
                <c:pt idx="417">
                  <c:v>181.22489513349649</c:v>
                </c:pt>
                <c:pt idx="418">
                  <c:v>180.3077168151456</c:v>
                </c:pt>
                <c:pt idx="419">
                  <c:v>179.39085528436323</c:v>
                </c:pt>
                <c:pt idx="420">
                  <c:v>178.47431791351963</c:v>
                </c:pt>
                <c:pt idx="421">
                  <c:v>177.55811229966338</c:v>
                </c:pt>
                <c:pt idx="422">
                  <c:v>176.64224627290534</c:v>
                </c:pt>
                <c:pt idx="423">
                  <c:v>175.72672790517026</c:v>
                </c:pt>
                <c:pt idx="424">
                  <c:v>174.8142885772576</c:v>
                </c:pt>
                <c:pt idx="425">
                  <c:v>174.09062778481098</c:v>
                </c:pt>
                <c:pt idx="426">
                  <c:v>173.48199263637065</c:v>
                </c:pt>
                <c:pt idx="427">
                  <c:v>172.87335777600393</c:v>
                </c:pt>
                <c:pt idx="428">
                  <c:v>172.26472320780056</c:v>
                </c:pt>
                <c:pt idx="429">
                  <c:v>171.65608893592787</c:v>
                </c:pt>
                <c:pt idx="430">
                  <c:v>171.047454964633</c:v>
                </c:pt>
                <c:pt idx="431">
                  <c:v>170.43882129824465</c:v>
                </c:pt>
                <c:pt idx="432">
                  <c:v>169.83018794117484</c:v>
                </c:pt>
                <c:pt idx="433">
                  <c:v>169.22155489792132</c:v>
                </c:pt>
                <c:pt idx="434">
                  <c:v>168.61292217306945</c:v>
                </c:pt>
                <c:pt idx="435">
                  <c:v>168.0042897712942</c:v>
                </c:pt>
                <c:pt idx="436">
                  <c:v>167.40925639492738</c:v>
                </c:pt>
                <c:pt idx="437">
                  <c:v>166.86397586857066</c:v>
                </c:pt>
                <c:pt idx="438">
                  <c:v>166.32345219418036</c:v>
                </c:pt>
                <c:pt idx="439">
                  <c:v>165.78312936547221</c:v>
                </c:pt>
                <c:pt idx="440">
                  <c:v>165.24301024259324</c:v>
                </c:pt>
                <c:pt idx="441">
                  <c:v>164.70309773769381</c:v>
                </c:pt>
                <c:pt idx="442">
                  <c:v>164.16339481605075</c:v>
                </c:pt>
                <c:pt idx="443">
                  <c:v>163.62390449721681</c:v>
                </c:pt>
                <c:pt idx="444">
                  <c:v>163.0846298561984</c:v>
                </c:pt>
                <c:pt idx="445">
                  <c:v>162.59412894882553</c:v>
                </c:pt>
                <c:pt idx="446">
                  <c:v>162.19832281654649</c:v>
                </c:pt>
                <c:pt idx="447">
                  <c:v>161.80499175070551</c:v>
                </c:pt>
                <c:pt idx="448">
                  <c:v>161.4116888075034</c:v>
                </c:pt>
                <c:pt idx="449">
                  <c:v>161.01841425093636</c:v>
                </c:pt>
                <c:pt idx="450">
                  <c:v>160.62516834826417</c:v>
                </c:pt>
                <c:pt idx="451">
                  <c:v>160.23195137005962</c:v>
                </c:pt>
                <c:pt idx="452">
                  <c:v>159.83876359025922</c:v>
                </c:pt>
                <c:pt idx="453">
                  <c:v>159.4456052862148</c:v>
                </c:pt>
                <c:pt idx="454">
                  <c:v>159.05247673874601</c:v>
                </c:pt>
                <c:pt idx="455">
                  <c:v>158.65937823219397</c:v>
                </c:pt>
                <c:pt idx="456">
                  <c:v>158.26631005447521</c:v>
                </c:pt>
                <c:pt idx="457">
                  <c:v>157.87327249713763</c:v>
                </c:pt>
                <c:pt idx="458">
                  <c:v>157.48026585541663</c:v>
                </c:pt>
                <c:pt idx="459">
                  <c:v>157.0872904282927</c:v>
                </c:pt>
                <c:pt idx="460">
                  <c:v>156.69434651854993</c:v>
                </c:pt>
                <c:pt idx="461">
                  <c:v>156.30143443283544</c:v>
                </c:pt>
                <c:pt idx="462">
                  <c:v>155.90855448172061</c:v>
                </c:pt>
                <c:pt idx="463">
                  <c:v>155.51570697976237</c:v>
                </c:pt>
                <c:pt idx="464">
                  <c:v>155.12289224556645</c:v>
                </c:pt>
                <c:pt idx="465">
                  <c:v>154.72975839380067</c:v>
                </c:pt>
                <c:pt idx="466">
                  <c:v>154.31105775020831</c:v>
                </c:pt>
                <c:pt idx="467">
                  <c:v>153.80949941507768</c:v>
                </c:pt>
                <c:pt idx="468">
                  <c:v>153.29580340006632</c:v>
                </c:pt>
                <c:pt idx="469">
                  <c:v>152.78217584246039</c:v>
                </c:pt>
                <c:pt idx="470">
                  <c:v>152.2686177725966</c:v>
                </c:pt>
                <c:pt idx="471">
                  <c:v>151.75513024125945</c:v>
                </c:pt>
                <c:pt idx="472">
                  <c:v>151.24171432018187</c:v>
                </c:pt>
                <c:pt idx="473">
                  <c:v>150.72837110256091</c:v>
                </c:pt>
                <c:pt idx="474">
                  <c:v>150.21510170358857</c:v>
                </c:pt>
                <c:pt idx="475">
                  <c:v>149.70190726099798</c:v>
                </c:pt>
                <c:pt idx="476">
                  <c:v>149.18878893562535</c:v>
                </c:pt>
                <c:pt idx="477">
                  <c:v>148.67574791198928</c:v>
                </c:pt>
                <c:pt idx="478">
                  <c:v>148.16278539888623</c:v>
                </c:pt>
                <c:pt idx="479">
                  <c:v>147.64990263000445</c:v>
                </c:pt>
                <c:pt idx="480">
                  <c:v>147.13710086455612</c:v>
                </c:pt>
                <c:pt idx="481">
                  <c:v>146.62438138792828</c:v>
                </c:pt>
                <c:pt idx="482">
                  <c:v>146.11174551235331</c:v>
                </c:pt>
                <c:pt idx="483">
                  <c:v>145.5991945776</c:v>
                </c:pt>
                <c:pt idx="484">
                  <c:v>145.08672995168544</c:v>
                </c:pt>
                <c:pt idx="485">
                  <c:v>144.57316298558658</c:v>
                </c:pt>
                <c:pt idx="486">
                  <c:v>144.07772943862525</c:v>
                </c:pt>
                <c:pt idx="487">
                  <c:v>143.72533636298652</c:v>
                </c:pt>
                <c:pt idx="488">
                  <c:v>143.39549031354841</c:v>
                </c:pt>
                <c:pt idx="489">
                  <c:v>143.06570080326225</c:v>
                </c:pt>
                <c:pt idx="490">
                  <c:v>142.73596831128091</c:v>
                </c:pt>
                <c:pt idx="491">
                  <c:v>142.40629332194223</c:v>
                </c:pt>
                <c:pt idx="492">
                  <c:v>142.07667632483452</c:v>
                </c:pt>
                <c:pt idx="493">
                  <c:v>141.74711781486562</c:v>
                </c:pt>
                <c:pt idx="494">
                  <c:v>141.41761829233025</c:v>
                </c:pt>
                <c:pt idx="495">
                  <c:v>141.08817826298042</c:v>
                </c:pt>
                <c:pt idx="496">
                  <c:v>140.75879823809575</c:v>
                </c:pt>
                <c:pt idx="497">
                  <c:v>140.42947873455506</c:v>
                </c:pt>
                <c:pt idx="498">
                  <c:v>140.10022027490911</c:v>
                </c:pt>
                <c:pt idx="499">
                  <c:v>139.77102338745436</c:v>
                </c:pt>
                <c:pt idx="500">
                  <c:v>139.44188860630777</c:v>
                </c:pt>
                <c:pt idx="501">
                  <c:v>139.11281647148277</c:v>
                </c:pt>
                <c:pt idx="502">
                  <c:v>138.78380752896595</c:v>
                </c:pt>
                <c:pt idx="503">
                  <c:v>138.45486233079563</c:v>
                </c:pt>
                <c:pt idx="504">
                  <c:v>138.12598143514106</c:v>
                </c:pt>
                <c:pt idx="505">
                  <c:v>137.79716540638248</c:v>
                </c:pt>
                <c:pt idx="506">
                  <c:v>137.46841481519326</c:v>
                </c:pt>
                <c:pt idx="507">
                  <c:v>137.13973023862209</c:v>
                </c:pt>
                <c:pt idx="508">
                  <c:v>136.81111226017788</c:v>
                </c:pt>
                <c:pt idx="509">
                  <c:v>136.48256146991417</c:v>
                </c:pt>
                <c:pt idx="510">
                  <c:v>136.15407846451626</c:v>
                </c:pt>
                <c:pt idx="511">
                  <c:v>135.82566384738828</c:v>
                </c:pt>
                <c:pt idx="512">
                  <c:v>135.49731822874318</c:v>
                </c:pt>
                <c:pt idx="513">
                  <c:v>135.17624521484933</c:v>
                </c:pt>
                <c:pt idx="514">
                  <c:v>134.87861041163112</c:v>
                </c:pt>
                <c:pt idx="515">
                  <c:v>134.58277824816355</c:v>
                </c:pt>
                <c:pt idx="516">
                  <c:v>134.28694775815762</c:v>
                </c:pt>
                <c:pt idx="517">
                  <c:v>133.99111895579034</c:v>
                </c:pt>
                <c:pt idx="518">
                  <c:v>133.69529185539881</c:v>
                </c:pt>
                <c:pt idx="519">
                  <c:v>133.3994664714829</c:v>
                </c:pt>
                <c:pt idx="520">
                  <c:v>133.10364281870727</c:v>
                </c:pt>
                <c:pt idx="521">
                  <c:v>132.80782091190409</c:v>
                </c:pt>
                <c:pt idx="522">
                  <c:v>132.51200076607489</c:v>
                </c:pt>
                <c:pt idx="523">
                  <c:v>132.21618239639361</c:v>
                </c:pt>
                <c:pt idx="524">
                  <c:v>131.92036581820855</c:v>
                </c:pt>
                <c:pt idx="525">
                  <c:v>131.62455104704526</c:v>
                </c:pt>
                <c:pt idx="526">
                  <c:v>131.32873809860871</c:v>
                </c:pt>
                <c:pt idx="527">
                  <c:v>130.99348388346183</c:v>
                </c:pt>
                <c:pt idx="528">
                  <c:v>130.44968271508773</c:v>
                </c:pt>
                <c:pt idx="529">
                  <c:v>129.54198819338183</c:v>
                </c:pt>
                <c:pt idx="530">
                  <c:v>128.52915013756174</c:v>
                </c:pt>
                <c:pt idx="531">
                  <c:v>127.51638377439541</c:v>
                </c:pt>
                <c:pt idx="532">
                  <c:v>126.50369611779398</c:v>
                </c:pt>
                <c:pt idx="533">
                  <c:v>125.4910951267757</c:v>
                </c:pt>
                <c:pt idx="534">
                  <c:v>124.47858987008181</c:v>
                </c:pt>
                <c:pt idx="535">
                  <c:v>123.46619072641106</c:v>
                </c:pt>
                <c:pt idx="536">
                  <c:v>122.45390962959459</c:v>
                </c:pt>
                <c:pt idx="537">
                  <c:v>121.44708469529199</c:v>
                </c:pt>
                <c:pt idx="538">
                  <c:v>120.51645739939107</c:v>
                </c:pt>
                <c:pt idx="539">
                  <c:v>119.61091781116247</c:v>
                </c:pt>
                <c:pt idx="540">
                  <c:v>118.70926063559658</c:v>
                </c:pt>
                <c:pt idx="541">
                  <c:v>117.84361002868229</c:v>
                </c:pt>
                <c:pt idx="542">
                  <c:v>116.98814110345765</c:v>
                </c:pt>
                <c:pt idx="543">
                  <c:v>116.13385588060596</c:v>
                </c:pt>
                <c:pt idx="544">
                  <c:v>115.28091108702289</c:v>
                </c:pt>
                <c:pt idx="545">
                  <c:v>114.4294920807483</c:v>
                </c:pt>
                <c:pt idx="546">
                  <c:v>113.57981961767629</c:v>
                </c:pt>
                <c:pt idx="547">
                  <c:v>112.73215860413585</c:v>
                </c:pt>
                <c:pt idx="548">
                  <c:v>111.88682953841536</c:v>
                </c:pt>
                <c:pt idx="549">
                  <c:v>111.04422363795241</c:v>
                </c:pt>
                <c:pt idx="550">
                  <c:v>110.23327404489424</c:v>
                </c:pt>
                <c:pt idx="551">
                  <c:v>109.76195307489515</c:v>
                </c:pt>
                <c:pt idx="552">
                  <c:v>109.38870304441127</c:v>
                </c:pt>
                <c:pt idx="553">
                  <c:v>109.01546620447156</c:v>
                </c:pt>
                <c:pt idx="554">
                  <c:v>108.65110771852635</c:v>
                </c:pt>
                <c:pt idx="555">
                  <c:v>108.37573786620113</c:v>
                </c:pt>
                <c:pt idx="556">
                  <c:v>108.12377091895273</c:v>
                </c:pt>
                <c:pt idx="557">
                  <c:v>107.87231363660247</c:v>
                </c:pt>
                <c:pt idx="558">
                  <c:v>107.62140674993574</c:v>
                </c:pt>
                <c:pt idx="559">
                  <c:v>107.37109535811526</c:v>
                </c:pt>
                <c:pt idx="560">
                  <c:v>107.12142951680606</c:v>
                </c:pt>
                <c:pt idx="561">
                  <c:v>106.87246492140692</c:v>
                </c:pt>
                <c:pt idx="562">
                  <c:v>106.62426370325859</c:v>
                </c:pt>
                <c:pt idx="563">
                  <c:v>106.37689536049416</c:v>
                </c:pt>
                <c:pt idx="564">
                  <c:v>106.13043784987302</c:v>
                </c:pt>
                <c:pt idx="565">
                  <c:v>105.88497887171992</c:v>
                </c:pt>
                <c:pt idx="566">
                  <c:v>105.64061738724519</c:v>
                </c:pt>
                <c:pt idx="567">
                  <c:v>105.3974654163864</c:v>
                </c:pt>
                <c:pt idx="568">
                  <c:v>105.2173380958495</c:v>
                </c:pt>
                <c:pt idx="569">
                  <c:v>105.13875981527281</c:v>
                </c:pt>
                <c:pt idx="570">
                  <c:v>105.06164460265619</c:v>
                </c:pt>
                <c:pt idx="571">
                  <c:v>104.98453019709511</c:v>
                </c:pt>
                <c:pt idx="572">
                  <c:v>104.90741666313887</c:v>
                </c:pt>
                <c:pt idx="573">
                  <c:v>104.83461204544233</c:v>
                </c:pt>
                <c:pt idx="574">
                  <c:v>104.80501960065895</c:v>
                </c:pt>
                <c:pt idx="575">
                  <c:v>104.78666733481231</c:v>
                </c:pt>
                <c:pt idx="576">
                  <c:v>104.7684095685733</c:v>
                </c:pt>
                <c:pt idx="577">
                  <c:v>104.75024849579106</c:v>
                </c:pt>
                <c:pt idx="578">
                  <c:v>104.73218637457644</c:v>
                </c:pt>
                <c:pt idx="579">
                  <c:v>104.7142255294966</c:v>
                </c:pt>
                <c:pt idx="580">
                  <c:v>104.69636835385066</c:v>
                </c:pt>
                <c:pt idx="581">
                  <c:v>104.67861731203025</c:v>
                </c:pt>
                <c:pt idx="582">
                  <c:v>104.66097494196728</c:v>
                </c:pt>
                <c:pt idx="583">
                  <c:v>104.64344385767259</c:v>
                </c:pt>
                <c:pt idx="584">
                  <c:v>104.62602243427364</c:v>
                </c:pt>
                <c:pt idx="585">
                  <c:v>104.59261803455094</c:v>
                </c:pt>
                <c:pt idx="586">
                  <c:v>104.54416907390639</c:v>
                </c:pt>
                <c:pt idx="587">
                  <c:v>104.4957205443211</c:v>
                </c:pt>
                <c:pt idx="588">
                  <c:v>104.44727245922877</c:v>
                </c:pt>
                <c:pt idx="589">
                  <c:v>104.39882483262699</c:v>
                </c:pt>
                <c:pt idx="590">
                  <c:v>104.35037767910721</c:v>
                </c:pt>
                <c:pt idx="591">
                  <c:v>104.30193101388662</c:v>
                </c:pt>
                <c:pt idx="592">
                  <c:v>104.25348485284198</c:v>
                </c:pt>
                <c:pt idx="593">
                  <c:v>104.20503921254576</c:v>
                </c:pt>
                <c:pt idx="594">
                  <c:v>104.15659411030461</c:v>
                </c:pt>
                <c:pt idx="595">
                  <c:v>104.10814956420056</c:v>
                </c:pt>
                <c:pt idx="596">
                  <c:v>104.05970559313492</c:v>
                </c:pt>
                <c:pt idx="597">
                  <c:v>104.01126221687508</c:v>
                </c:pt>
                <c:pt idx="598">
                  <c:v>103.9628194561048</c:v>
                </c:pt>
                <c:pt idx="599">
                  <c:v>103.9143773324779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16-448D-9287-61CF41585325}"/>
            </c:ext>
          </c:extLst>
        </c:ser>
        <c:ser>
          <c:idx val="2"/>
          <c:order val="5"/>
          <c:tx>
            <c:strRef>
              <c:f>'REFAP Mesmos Parametros'!$AD$32</c:f>
              <c:strCache>
                <c:ptCount val="1"/>
                <c:pt idx="0">
                  <c:v>M-Dp</c:v>
                </c:pt>
              </c:strCache>
            </c:strRef>
          </c:tx>
          <c:spPr>
            <a:ln w="12700">
              <a:prstDash val="sysDot"/>
            </a:ln>
          </c:spPr>
          <c:marker>
            <c:symbol val="none"/>
          </c:marker>
          <c:xVal>
            <c:numRef>
              <c:f>'REFAP Mesmos Parametros'!$Z$32:$Z$631</c:f>
              <c:numCache>
                <c:formatCode>General</c:formatCode>
                <c:ptCount val="6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</c:numCache>
            </c:numRef>
          </c:xVal>
          <c:yVal>
            <c:numRef>
              <c:f>'REFAP Mesmos Parametros'!$AD$33:$AD$632</c:f>
              <c:numCache>
                <c:formatCode>0.0000</c:formatCode>
                <c:ptCount val="600"/>
                <c:pt idx="0">
                  <c:v>414.96354786586414</c:v>
                </c:pt>
                <c:pt idx="1">
                  <c:v>414.98380718229225</c:v>
                </c:pt>
                <c:pt idx="2">
                  <c:v>415.00406561563381</c:v>
                </c:pt>
                <c:pt idx="3">
                  <c:v>415.03954995202446</c:v>
                </c:pt>
                <c:pt idx="4">
                  <c:v>415.09847814789873</c:v>
                </c:pt>
                <c:pt idx="5">
                  <c:v>415.15753486483788</c:v>
                </c:pt>
                <c:pt idx="6">
                  <c:v>415.21645169617489</c:v>
                </c:pt>
                <c:pt idx="7">
                  <c:v>415.27522562187647</c:v>
                </c:pt>
                <c:pt idx="8">
                  <c:v>415.33385353784723</c:v>
                </c:pt>
                <c:pt idx="9">
                  <c:v>415.39233225311898</c:v>
                </c:pt>
                <c:pt idx="10">
                  <c:v>415.45065848693264</c:v>
                </c:pt>
                <c:pt idx="11">
                  <c:v>415.49809557940438</c:v>
                </c:pt>
                <c:pt idx="12">
                  <c:v>415.47642931717132</c:v>
                </c:pt>
                <c:pt idx="13">
                  <c:v>415.42893986654218</c:v>
                </c:pt>
                <c:pt idx="14">
                  <c:v>415.33843291663942</c:v>
                </c:pt>
                <c:pt idx="15">
                  <c:v>415.24442502713799</c:v>
                </c:pt>
                <c:pt idx="16">
                  <c:v>415.15019946120651</c:v>
                </c:pt>
                <c:pt idx="17">
                  <c:v>415.05575313836079</c:v>
                </c:pt>
                <c:pt idx="18">
                  <c:v>414.96108292852961</c:v>
                </c:pt>
                <c:pt idx="19">
                  <c:v>414.86618565129567</c:v>
                </c:pt>
                <c:pt idx="20">
                  <c:v>414.77105807512936</c:v>
                </c:pt>
                <c:pt idx="21">
                  <c:v>414.67569691661879</c:v>
                </c:pt>
                <c:pt idx="22">
                  <c:v>414.58009883969504</c:v>
                </c:pt>
                <c:pt idx="23">
                  <c:v>414.48426045485149</c:v>
                </c:pt>
                <c:pt idx="24">
                  <c:v>414.38817831836207</c:v>
                </c:pt>
                <c:pt idx="25">
                  <c:v>414.29184893149335</c:v>
                </c:pt>
                <c:pt idx="26">
                  <c:v>414.19526873971569</c:v>
                </c:pt>
                <c:pt idx="27">
                  <c:v>414.09843413191192</c:v>
                </c:pt>
                <c:pt idx="28">
                  <c:v>414.00134143958354</c:v>
                </c:pt>
                <c:pt idx="29">
                  <c:v>413.90398693605721</c:v>
                </c:pt>
                <c:pt idx="30">
                  <c:v>413.80636683569008</c:v>
                </c:pt>
                <c:pt idx="31">
                  <c:v>413.7084772930765</c:v>
                </c:pt>
                <c:pt idx="32">
                  <c:v>413.61031440225554</c:v>
                </c:pt>
                <c:pt idx="33">
                  <c:v>413.51187419592048</c:v>
                </c:pt>
                <c:pt idx="34">
                  <c:v>413.41315264463236</c:v>
                </c:pt>
                <c:pt idx="35">
                  <c:v>413.314145656037</c:v>
                </c:pt>
                <c:pt idx="36">
                  <c:v>413.21484907408637</c:v>
                </c:pt>
                <c:pt idx="37">
                  <c:v>413.11525867826822</c:v>
                </c:pt>
                <c:pt idx="38">
                  <c:v>413.01537018284023</c:v>
                </c:pt>
                <c:pt idx="39">
                  <c:v>412.91517923607512</c:v>
                </c:pt>
                <c:pt idx="40">
                  <c:v>412.81468141951416</c:v>
                </c:pt>
                <c:pt idx="41">
                  <c:v>412.71387224723145</c:v>
                </c:pt>
                <c:pt idx="42">
                  <c:v>412.6127471651119</c:v>
                </c:pt>
                <c:pt idx="43">
                  <c:v>412.51130155014232</c:v>
                </c:pt>
                <c:pt idx="44">
                  <c:v>412.40953070971767</c:v>
                </c:pt>
                <c:pt idx="45">
                  <c:v>412.30742988096478</c:v>
                </c:pt>
                <c:pt idx="46">
                  <c:v>412.20499423008533</c:v>
                </c:pt>
                <c:pt idx="47">
                  <c:v>412.10430230839557</c:v>
                </c:pt>
                <c:pt idx="48">
                  <c:v>412.02261115975347</c:v>
                </c:pt>
                <c:pt idx="49">
                  <c:v>411.94541702879036</c:v>
                </c:pt>
                <c:pt idx="50">
                  <c:v>411.86802643463886</c:v>
                </c:pt>
                <c:pt idx="51">
                  <c:v>411.79043369013715</c:v>
                </c:pt>
                <c:pt idx="52">
                  <c:v>411.71263289547244</c:v>
                </c:pt>
                <c:pt idx="53">
                  <c:v>411.63461792861438</c:v>
                </c:pt>
                <c:pt idx="54">
                  <c:v>411.556382435258</c:v>
                </c:pt>
                <c:pt idx="55">
                  <c:v>411.47791981824849</c:v>
                </c:pt>
                <c:pt idx="56">
                  <c:v>411.39922322645577</c:v>
                </c:pt>
                <c:pt idx="57">
                  <c:v>411.32028554307254</c:v>
                </c:pt>
                <c:pt idx="58">
                  <c:v>411.24109937329973</c:v>
                </c:pt>
                <c:pt idx="59">
                  <c:v>411.16165703138608</c:v>
                </c:pt>
                <c:pt idx="60">
                  <c:v>411.08195052698744</c:v>
                </c:pt>
                <c:pt idx="61">
                  <c:v>411.00197155080485</c:v>
                </c:pt>
                <c:pt idx="62">
                  <c:v>410.92171145946151</c:v>
                </c:pt>
                <c:pt idx="63">
                  <c:v>410.84116125957979</c:v>
                </c:pt>
                <c:pt idx="64">
                  <c:v>410.76031159100734</c:v>
                </c:pt>
                <c:pt idx="65">
                  <c:v>410.67915270915057</c:v>
                </c:pt>
                <c:pt idx="66">
                  <c:v>410.59767446636414</c:v>
                </c:pt>
                <c:pt idx="67">
                  <c:v>410.51586629234282</c:v>
                </c:pt>
                <c:pt idx="68">
                  <c:v>410.43371717346463</c:v>
                </c:pt>
                <c:pt idx="69">
                  <c:v>410.35121563102479</c:v>
                </c:pt>
                <c:pt idx="70">
                  <c:v>410.2683496983035</c:v>
                </c:pt>
                <c:pt idx="71">
                  <c:v>410.18510689640368</c:v>
                </c:pt>
                <c:pt idx="72">
                  <c:v>410.10147420879434</c:v>
                </c:pt>
                <c:pt idx="73">
                  <c:v>410.02747977070561</c:v>
                </c:pt>
                <c:pt idx="74">
                  <c:v>410.04614458876898</c:v>
                </c:pt>
                <c:pt idx="75">
                  <c:v>410.0873656533746</c:v>
                </c:pt>
                <c:pt idx="76">
                  <c:v>410.12854201703317</c:v>
                </c:pt>
                <c:pt idx="77">
                  <c:v>410.1696675558083</c:v>
                </c:pt>
                <c:pt idx="78">
                  <c:v>410.20812986170733</c:v>
                </c:pt>
                <c:pt idx="79">
                  <c:v>410.2318169136712</c:v>
                </c:pt>
                <c:pt idx="80">
                  <c:v>410.29630566810897</c:v>
                </c:pt>
                <c:pt idx="81">
                  <c:v>410.47931067886259</c:v>
                </c:pt>
                <c:pt idx="82">
                  <c:v>410.66907276205825</c:v>
                </c:pt>
                <c:pt idx="83">
                  <c:v>410.85881551141512</c:v>
                </c:pt>
                <c:pt idx="84">
                  <c:v>411.03200891515741</c:v>
                </c:pt>
                <c:pt idx="85">
                  <c:v>411.0517991422351</c:v>
                </c:pt>
                <c:pt idx="86">
                  <c:v>411.02130199657529</c:v>
                </c:pt>
                <c:pt idx="87">
                  <c:v>410.98374953694588</c:v>
                </c:pt>
                <c:pt idx="88">
                  <c:v>410.94529203928965</c:v>
                </c:pt>
                <c:pt idx="89">
                  <c:v>410.90565036846283</c:v>
                </c:pt>
                <c:pt idx="90">
                  <c:v>410.86441935353565</c:v>
                </c:pt>
                <c:pt idx="91">
                  <c:v>410.82098916919546</c:v>
                </c:pt>
                <c:pt idx="92">
                  <c:v>410.77440129116195</c:v>
                </c:pt>
                <c:pt idx="93">
                  <c:v>410.7230681969753</c:v>
                </c:pt>
                <c:pt idx="94">
                  <c:v>410.66418894886652</c:v>
                </c:pt>
                <c:pt idx="95">
                  <c:v>410.59243674379223</c:v>
                </c:pt>
                <c:pt idx="96">
                  <c:v>410.50840926488831</c:v>
                </c:pt>
                <c:pt idx="97">
                  <c:v>410.37730234178042</c:v>
                </c:pt>
                <c:pt idx="98">
                  <c:v>409.91369318648975</c:v>
                </c:pt>
                <c:pt idx="99">
                  <c:v>409.09655840322733</c:v>
                </c:pt>
                <c:pt idx="100">
                  <c:v>408.15927703798587</c:v>
                </c:pt>
                <c:pt idx="101">
                  <c:v>407.18623013237834</c:v>
                </c:pt>
                <c:pt idx="102">
                  <c:v>406.19919024660339</c:v>
                </c:pt>
                <c:pt idx="103">
                  <c:v>405.4421036510555</c:v>
                </c:pt>
                <c:pt idx="104">
                  <c:v>405.00817229462649</c:v>
                </c:pt>
                <c:pt idx="105">
                  <c:v>404.57593840408452</c:v>
                </c:pt>
                <c:pt idx="106">
                  <c:v>404.14348996620123</c:v>
                </c:pt>
                <c:pt idx="107">
                  <c:v>403.71085851272443</c:v>
                </c:pt>
                <c:pt idx="108">
                  <c:v>403.27806971019703</c:v>
                </c:pt>
                <c:pt idx="109">
                  <c:v>402.84514465793438</c:v>
                </c:pt>
                <c:pt idx="110">
                  <c:v>402.41210085713828</c:v>
                </c:pt>
                <c:pt idx="111">
                  <c:v>401.97895294409318</c:v>
                </c:pt>
                <c:pt idx="112">
                  <c:v>401.54571325163244</c:v>
                </c:pt>
                <c:pt idx="113">
                  <c:v>401.11239224390329</c:v>
                </c:pt>
                <c:pt idx="114">
                  <c:v>400.55164160836193</c:v>
                </c:pt>
                <c:pt idx="115">
                  <c:v>399.81543899206139</c:v>
                </c:pt>
                <c:pt idx="116">
                  <c:v>399.09413214169223</c:v>
                </c:pt>
                <c:pt idx="117">
                  <c:v>398.38619485269305</c:v>
                </c:pt>
                <c:pt idx="118">
                  <c:v>397.67581187955636</c:v>
                </c:pt>
                <c:pt idx="119">
                  <c:v>396.96339480425877</c:v>
                </c:pt>
                <c:pt idx="120">
                  <c:v>396.24926937313535</c:v>
                </c:pt>
                <c:pt idx="121">
                  <c:v>395.53369638637889</c:v>
                </c:pt>
                <c:pt idx="122">
                  <c:v>394.81688687230559</c:v>
                </c:pt>
                <c:pt idx="123">
                  <c:v>394.09901326006894</c:v>
                </c:pt>
                <c:pt idx="124">
                  <c:v>393.38021771177387</c:v>
                </c:pt>
                <c:pt idx="125">
                  <c:v>392.66061841120671</c:v>
                </c:pt>
                <c:pt idx="126">
                  <c:v>391.94031436397995</c:v>
                </c:pt>
                <c:pt idx="127">
                  <c:v>391.21576063952716</c:v>
                </c:pt>
                <c:pt idx="128">
                  <c:v>390.47377650429365</c:v>
                </c:pt>
                <c:pt idx="129">
                  <c:v>389.72912851515264</c:v>
                </c:pt>
                <c:pt idx="130">
                  <c:v>388.98399808039892</c:v>
                </c:pt>
                <c:pt idx="131">
                  <c:v>388.23843640730041</c:v>
                </c:pt>
                <c:pt idx="132">
                  <c:v>387.49248774891566</c:v>
                </c:pt>
                <c:pt idx="133">
                  <c:v>386.74619053882452</c:v>
                </c:pt>
                <c:pt idx="134">
                  <c:v>385.99957831196883</c:v>
                </c:pt>
                <c:pt idx="135">
                  <c:v>385.252680456946</c:v>
                </c:pt>
                <c:pt idx="136">
                  <c:v>384.50552283449247</c:v>
                </c:pt>
                <c:pt idx="137">
                  <c:v>383.75812828898984</c:v>
                </c:pt>
                <c:pt idx="138">
                  <c:v>382.93937977520949</c:v>
                </c:pt>
                <c:pt idx="139">
                  <c:v>381.93620550534081</c:v>
                </c:pt>
                <c:pt idx="140">
                  <c:v>380.92312988123462</c:v>
                </c:pt>
                <c:pt idx="141">
                  <c:v>379.90961328238382</c:v>
                </c:pt>
                <c:pt idx="142">
                  <c:v>378.85756343759789</c:v>
                </c:pt>
                <c:pt idx="143">
                  <c:v>376.96529856162113</c:v>
                </c:pt>
                <c:pt idx="144">
                  <c:v>374.72729616717788</c:v>
                </c:pt>
                <c:pt idx="145">
                  <c:v>372.48726086042149</c:v>
                </c:pt>
                <c:pt idx="146">
                  <c:v>370.24557413544863</c:v>
                </c:pt>
                <c:pt idx="147">
                  <c:v>368.00252797274152</c:v>
                </c:pt>
                <c:pt idx="148">
                  <c:v>365.75834955855566</c:v>
                </c:pt>
                <c:pt idx="149">
                  <c:v>362.88155868433068</c:v>
                </c:pt>
                <c:pt idx="150">
                  <c:v>359.08246655214174</c:v>
                </c:pt>
                <c:pt idx="151">
                  <c:v>355.27342125905045</c:v>
                </c:pt>
                <c:pt idx="152">
                  <c:v>351.46268101498271</c:v>
                </c:pt>
                <c:pt idx="153">
                  <c:v>347.65058343717311</c:v>
                </c:pt>
                <c:pt idx="154">
                  <c:v>343.8282903022606</c:v>
                </c:pt>
                <c:pt idx="155">
                  <c:v>339.97772156096107</c:v>
                </c:pt>
                <c:pt idx="156">
                  <c:v>335.97313851358672</c:v>
                </c:pt>
                <c:pt idx="157">
                  <c:v>331.34353176810788</c:v>
                </c:pt>
                <c:pt idx="158">
                  <c:v>326.6463479683573</c:v>
                </c:pt>
                <c:pt idx="159">
                  <c:v>321.94915742885973</c:v>
                </c:pt>
                <c:pt idx="160">
                  <c:v>317.25196120469485</c:v>
                </c:pt>
                <c:pt idx="161">
                  <c:v>312.55476014164196</c:v>
                </c:pt>
                <c:pt idx="162">
                  <c:v>307.85755492562413</c:v>
                </c:pt>
                <c:pt idx="163">
                  <c:v>303.16034611877507</c:v>
                </c:pt>
                <c:pt idx="164">
                  <c:v>298.46313418615671</c:v>
                </c:pt>
                <c:pt idx="165">
                  <c:v>293.84733800665208</c:v>
                </c:pt>
                <c:pt idx="166">
                  <c:v>289.87806380437075</c:v>
                </c:pt>
                <c:pt idx="167">
                  <c:v>286.04800042005945</c:v>
                </c:pt>
                <c:pt idx="168">
                  <c:v>282.21791900473448</c:v>
                </c:pt>
                <c:pt idx="169">
                  <c:v>278.37220914927627</c:v>
                </c:pt>
                <c:pt idx="170">
                  <c:v>274.44175708605286</c:v>
                </c:pt>
                <c:pt idx="171">
                  <c:v>270.49417330685719</c:v>
                </c:pt>
                <c:pt idx="172">
                  <c:v>266.54178961886805</c:v>
                </c:pt>
                <c:pt idx="173">
                  <c:v>262.58494213078126</c:v>
                </c:pt>
                <c:pt idx="174">
                  <c:v>258.69770399917542</c:v>
                </c:pt>
                <c:pt idx="175">
                  <c:v>255.36818110774874</c:v>
                </c:pt>
                <c:pt idx="176">
                  <c:v>252.08638439153736</c:v>
                </c:pt>
                <c:pt idx="177">
                  <c:v>248.78760874668674</c:v>
                </c:pt>
                <c:pt idx="178">
                  <c:v>245.47677064515338</c:v>
                </c:pt>
                <c:pt idx="179">
                  <c:v>242.15438965876547</c:v>
                </c:pt>
                <c:pt idx="180">
                  <c:v>238.82096008489589</c:v>
                </c:pt>
                <c:pt idx="181">
                  <c:v>235.47695213721806</c:v>
                </c:pt>
                <c:pt idx="182">
                  <c:v>232.12281310247783</c:v>
                </c:pt>
                <c:pt idx="183">
                  <c:v>228.75896845992563</c:v>
                </c:pt>
                <c:pt idx="184">
                  <c:v>225.3858229609946</c:v>
                </c:pt>
                <c:pt idx="185">
                  <c:v>222.02523231540863</c:v>
                </c:pt>
                <c:pt idx="186">
                  <c:v>219.07540640831135</c:v>
                </c:pt>
                <c:pt idx="187">
                  <c:v>216.27786972840312</c:v>
                </c:pt>
                <c:pt idx="188">
                  <c:v>213.47055034320746</c:v>
                </c:pt>
                <c:pt idx="189">
                  <c:v>210.65374163079196</c:v>
                </c:pt>
                <c:pt idx="190">
                  <c:v>207.82772785207723</c:v>
                </c:pt>
                <c:pt idx="191">
                  <c:v>204.99278435329001</c:v>
                </c:pt>
                <c:pt idx="192">
                  <c:v>202.14917777509663</c:v>
                </c:pt>
                <c:pt idx="193">
                  <c:v>199.29716626682233</c:v>
                </c:pt>
                <c:pt idx="194">
                  <c:v>196.45553426256734</c:v>
                </c:pt>
                <c:pt idx="195">
                  <c:v>193.6359517954794</c:v>
                </c:pt>
                <c:pt idx="196">
                  <c:v>190.81086880974908</c:v>
                </c:pt>
                <c:pt idx="197">
                  <c:v>187.98013687483456</c:v>
                </c:pt>
                <c:pt idx="198">
                  <c:v>185.14392459999192</c:v>
                </c:pt>
                <c:pt idx="199">
                  <c:v>182.30239471120433</c:v>
                </c:pt>
                <c:pt idx="200">
                  <c:v>179.54841487859875</c:v>
                </c:pt>
                <c:pt idx="201">
                  <c:v>177.16961050541906</c:v>
                </c:pt>
                <c:pt idx="202">
                  <c:v>174.82539228327829</c:v>
                </c:pt>
                <c:pt idx="203">
                  <c:v>172.47469760870177</c:v>
                </c:pt>
                <c:pt idx="204">
                  <c:v>170.11766508756426</c:v>
                </c:pt>
                <c:pt idx="205">
                  <c:v>167.75443037597344</c:v>
                </c:pt>
                <c:pt idx="206">
                  <c:v>165.38512621526226</c:v>
                </c:pt>
                <c:pt idx="207">
                  <c:v>163.00988246915847</c:v>
                </c:pt>
                <c:pt idx="208">
                  <c:v>160.62882616287737</c:v>
                </c:pt>
                <c:pt idx="209">
                  <c:v>158.24208152390082</c:v>
                </c:pt>
                <c:pt idx="210">
                  <c:v>155.84993762566938</c:v>
                </c:pt>
                <c:pt idx="211">
                  <c:v>153.52663507283262</c:v>
                </c:pt>
                <c:pt idx="212">
                  <c:v>151.43826755496815</c:v>
                </c:pt>
                <c:pt idx="213">
                  <c:v>149.75480615409722</c:v>
                </c:pt>
                <c:pt idx="214">
                  <c:v>148.08362121585824</c:v>
                </c:pt>
                <c:pt idx="215">
                  <c:v>146.40839185811075</c:v>
                </c:pt>
                <c:pt idx="216">
                  <c:v>144.72917186461734</c:v>
                </c:pt>
                <c:pt idx="217">
                  <c:v>143.04601443215896</c:v>
                </c:pt>
                <c:pt idx="218">
                  <c:v>141.35897216744976</c:v>
                </c:pt>
                <c:pt idx="219">
                  <c:v>139.66809708460872</c:v>
                </c:pt>
                <c:pt idx="220">
                  <c:v>137.97344060316772</c:v>
                </c:pt>
                <c:pt idx="221">
                  <c:v>136.27505354658959</c:v>
                </c:pt>
                <c:pt idx="222">
                  <c:v>134.5729861412745</c:v>
                </c:pt>
                <c:pt idx="223">
                  <c:v>132.8672880160328</c:v>
                </c:pt>
                <c:pt idx="224">
                  <c:v>131.15800820199973</c:v>
                </c:pt>
                <c:pt idx="225">
                  <c:v>129.53621701646051</c:v>
                </c:pt>
                <c:pt idx="226">
                  <c:v>128.22527921488754</c:v>
                </c:pt>
                <c:pt idx="227">
                  <c:v>126.93952307684322</c:v>
                </c:pt>
                <c:pt idx="228">
                  <c:v>125.64969822480762</c:v>
                </c:pt>
                <c:pt idx="229">
                  <c:v>124.43384202363347</c:v>
                </c:pt>
                <c:pt idx="230">
                  <c:v>123.27995418598741</c:v>
                </c:pt>
                <c:pt idx="231">
                  <c:v>122.12411024926868</c:v>
                </c:pt>
                <c:pt idx="232">
                  <c:v>120.96632228372695</c:v>
                </c:pt>
                <c:pt idx="233">
                  <c:v>119.80660234254844</c:v>
                </c:pt>
                <c:pt idx="234">
                  <c:v>118.64496246033747</c:v>
                </c:pt>
                <c:pt idx="235">
                  <c:v>117.4814146516313</c:v>
                </c:pt>
                <c:pt idx="236">
                  <c:v>116.31597090944993</c:v>
                </c:pt>
                <c:pt idx="237">
                  <c:v>115.14864320387753</c:v>
                </c:pt>
                <c:pt idx="238">
                  <c:v>113.97944348067591</c:v>
                </c:pt>
                <c:pt idx="239">
                  <c:v>112.80838365993216</c:v>
                </c:pt>
                <c:pt idx="240">
                  <c:v>111.63547563473816</c:v>
                </c:pt>
                <c:pt idx="241">
                  <c:v>110.46073126990251</c:v>
                </c:pt>
                <c:pt idx="242">
                  <c:v>109.28416240069421</c:v>
                </c:pt>
                <c:pt idx="243">
                  <c:v>108.13887527239254</c:v>
                </c:pt>
                <c:pt idx="244">
                  <c:v>107.07437895960533</c:v>
                </c:pt>
                <c:pt idx="245">
                  <c:v>106.14161703210922</c:v>
                </c:pt>
                <c:pt idx="246">
                  <c:v>105.29610679359237</c:v>
                </c:pt>
                <c:pt idx="247">
                  <c:v>104.4492613924138</c:v>
                </c:pt>
                <c:pt idx="248">
                  <c:v>103.60107661550089</c:v>
                </c:pt>
                <c:pt idx="249">
                  <c:v>102.75154827060916</c:v>
                </c:pt>
                <c:pt idx="250">
                  <c:v>101.90067218683663</c:v>
                </c:pt>
                <c:pt idx="251">
                  <c:v>101.04844421513414</c:v>
                </c:pt>
                <c:pt idx="252">
                  <c:v>100.23124868007898</c:v>
                </c:pt>
                <c:pt idx="253">
                  <c:v>99.466194766723419</c:v>
                </c:pt>
                <c:pt idx="254">
                  <c:v>98.700928671445894</c:v>
                </c:pt>
                <c:pt idx="255">
                  <c:v>97.934999108183376</c:v>
                </c:pt>
                <c:pt idx="256">
                  <c:v>97.168403905538611</c:v>
                </c:pt>
                <c:pt idx="257">
                  <c:v>96.401140892238999</c:v>
                </c:pt>
                <c:pt idx="258">
                  <c:v>95.638266884240693</c:v>
                </c:pt>
                <c:pt idx="259">
                  <c:v>94.915012542417685</c:v>
                </c:pt>
                <c:pt idx="260">
                  <c:v>94.199985746818925</c:v>
                </c:pt>
                <c:pt idx="261">
                  <c:v>93.484532457129831</c:v>
                </c:pt>
                <c:pt idx="262">
                  <c:v>92.768649937271391</c:v>
                </c:pt>
                <c:pt idx="263">
                  <c:v>92.052335431762543</c:v>
                </c:pt>
                <c:pt idx="264">
                  <c:v>91.3355861655985</c:v>
                </c:pt>
                <c:pt idx="265">
                  <c:v>90.618399344129188</c:v>
                </c:pt>
                <c:pt idx="266">
                  <c:v>89.900772152938032</c:v>
                </c:pt>
                <c:pt idx="267">
                  <c:v>89.182701757720679</c:v>
                </c:pt>
                <c:pt idx="268">
                  <c:v>88.464185304163806</c:v>
                </c:pt>
                <c:pt idx="269">
                  <c:v>87.745219917822595</c:v>
                </c:pt>
                <c:pt idx="270">
                  <c:v>87.025802704000938</c:v>
                </c:pt>
                <c:pt idx="271">
                  <c:v>86.305930747629219</c:v>
                </c:pt>
                <c:pt idx="272">
                  <c:v>85.585601113142673</c:v>
                </c:pt>
                <c:pt idx="273">
                  <c:v>84.864810844361159</c:v>
                </c:pt>
                <c:pt idx="274">
                  <c:v>84.149590080197015</c:v>
                </c:pt>
                <c:pt idx="275">
                  <c:v>83.601777893101769</c:v>
                </c:pt>
                <c:pt idx="276">
                  <c:v>83.177761487635053</c:v>
                </c:pt>
                <c:pt idx="277">
                  <c:v>82.754160941560741</c:v>
                </c:pt>
                <c:pt idx="278">
                  <c:v>82.371309365840858</c:v>
                </c:pt>
                <c:pt idx="279">
                  <c:v>82.044468277326388</c:v>
                </c:pt>
                <c:pt idx="280">
                  <c:v>81.717963425257807</c:v>
                </c:pt>
                <c:pt idx="281">
                  <c:v>81.391457254032844</c:v>
                </c:pt>
                <c:pt idx="282">
                  <c:v>81.064949743496271</c:v>
                </c:pt>
                <c:pt idx="283">
                  <c:v>80.738440873079867</c:v>
                </c:pt>
                <c:pt idx="284">
                  <c:v>80.411930621792663</c:v>
                </c:pt>
                <c:pt idx="285">
                  <c:v>80.085418968209083</c:v>
                </c:pt>
                <c:pt idx="286">
                  <c:v>79.758905890458124</c:v>
                </c:pt>
                <c:pt idx="287">
                  <c:v>79.432391366211561</c:v>
                </c:pt>
                <c:pt idx="288">
                  <c:v>79.105875372672386</c:v>
                </c:pt>
                <c:pt idx="289">
                  <c:v>78.779357886561527</c:v>
                </c:pt>
                <c:pt idx="290">
                  <c:v>78.4528388841061</c:v>
                </c:pt>
                <c:pt idx="291">
                  <c:v>78.126318341025325</c:v>
                </c:pt>
                <c:pt idx="292">
                  <c:v>77.799796232517508</c:v>
                </c:pt>
                <c:pt idx="293">
                  <c:v>77.473272533245719</c:v>
                </c:pt>
                <c:pt idx="294">
                  <c:v>77.146747217323338</c:v>
                </c:pt>
                <c:pt idx="295">
                  <c:v>76.820220258299358</c:v>
                </c:pt>
                <c:pt idx="296">
                  <c:v>76.494524519321928</c:v>
                </c:pt>
                <c:pt idx="297">
                  <c:v>76.267046990031005</c:v>
                </c:pt>
                <c:pt idx="298">
                  <c:v>76.106684736115525</c:v>
                </c:pt>
                <c:pt idx="299">
                  <c:v>75.945931957230513</c:v>
                </c:pt>
                <c:pt idx="300">
                  <c:v>75.73310423797578</c:v>
                </c:pt>
                <c:pt idx="301">
                  <c:v>75.457409991246934</c:v>
                </c:pt>
                <c:pt idx="302">
                  <c:v>75.181494388543342</c:v>
                </c:pt>
                <c:pt idx="303">
                  <c:v>74.905499834852705</c:v>
                </c:pt>
                <c:pt idx="304">
                  <c:v>74.629425538079843</c:v>
                </c:pt>
                <c:pt idx="305">
                  <c:v>74.353270695664435</c:v>
                </c:pt>
                <c:pt idx="306">
                  <c:v>74.077034494409872</c:v>
                </c:pt>
                <c:pt idx="307">
                  <c:v>73.800716110309821</c:v>
                </c:pt>
                <c:pt idx="308">
                  <c:v>73.528877805843493</c:v>
                </c:pt>
                <c:pt idx="309">
                  <c:v>73.328976838678287</c:v>
                </c:pt>
                <c:pt idx="310">
                  <c:v>73.15389523854742</c:v>
                </c:pt>
                <c:pt idx="311">
                  <c:v>72.978788745482788</c:v>
                </c:pt>
                <c:pt idx="312">
                  <c:v>72.803657063886817</c:v>
                </c:pt>
                <c:pt idx="313">
                  <c:v>72.628499893480537</c:v>
                </c:pt>
                <c:pt idx="314">
                  <c:v>72.453316929210004</c:v>
                </c:pt>
                <c:pt idx="315">
                  <c:v>72.278107861152165</c:v>
                </c:pt>
                <c:pt idx="316">
                  <c:v>72.102872374417515</c:v>
                </c:pt>
                <c:pt idx="317">
                  <c:v>71.927610149050622</c:v>
                </c:pt>
                <c:pt idx="318">
                  <c:v>71.75232085992792</c:v>
                </c:pt>
                <c:pt idx="319">
                  <c:v>71.579296106876114</c:v>
                </c:pt>
                <c:pt idx="320">
                  <c:v>71.456600792424638</c:v>
                </c:pt>
                <c:pt idx="321">
                  <c:v>71.354305301900354</c:v>
                </c:pt>
                <c:pt idx="322">
                  <c:v>71.251775916625846</c:v>
                </c:pt>
                <c:pt idx="323">
                  <c:v>71.149009649758966</c:v>
                </c:pt>
                <c:pt idx="324">
                  <c:v>71.046003464965338</c:v>
                </c:pt>
                <c:pt idx="325">
                  <c:v>70.942754275424775</c:v>
                </c:pt>
                <c:pt idx="326">
                  <c:v>70.839258942813743</c:v>
                </c:pt>
                <c:pt idx="327">
                  <c:v>70.735514276264141</c:v>
                </c:pt>
                <c:pt idx="328">
                  <c:v>70.631517031298699</c:v>
                </c:pt>
                <c:pt idx="329">
                  <c:v>70.52726390874048</c:v>
                </c:pt>
                <c:pt idx="330">
                  <c:v>70.422751553596967</c:v>
                </c:pt>
                <c:pt idx="331">
                  <c:v>70.317976553917674</c:v>
                </c:pt>
                <c:pt idx="332">
                  <c:v>70.21293543962571</c:v>
                </c:pt>
                <c:pt idx="333">
                  <c:v>70.107624681320559</c:v>
                </c:pt>
                <c:pt idx="334">
                  <c:v>70.00204068905316</c:v>
                </c:pt>
                <c:pt idx="335">
                  <c:v>69.896179811071789</c:v>
                </c:pt>
                <c:pt idx="336">
                  <c:v>69.79003833253725</c:v>
                </c:pt>
                <c:pt idx="337">
                  <c:v>69.683612474208573</c:v>
                </c:pt>
                <c:pt idx="338">
                  <c:v>69.5785601240853</c:v>
                </c:pt>
                <c:pt idx="339">
                  <c:v>69.499365380105658</c:v>
                </c:pt>
                <c:pt idx="340">
                  <c:v>69.428743113542239</c:v>
                </c:pt>
                <c:pt idx="341">
                  <c:v>69.357637644984592</c:v>
                </c:pt>
                <c:pt idx="342">
                  <c:v>69.286040840146313</c:v>
                </c:pt>
                <c:pt idx="343">
                  <c:v>69.213944388590903</c:v>
                </c:pt>
                <c:pt idx="344">
                  <c:v>69.141339799158544</c:v>
                </c:pt>
                <c:pt idx="345">
                  <c:v>69.068218395260331</c:v>
                </c:pt>
                <c:pt idx="346">
                  <c:v>68.994571310030409</c:v>
                </c:pt>
                <c:pt idx="347">
                  <c:v>68.920389481335917</c:v>
                </c:pt>
                <c:pt idx="348">
                  <c:v>68.845663646637732</c:v>
                </c:pt>
                <c:pt idx="349">
                  <c:v>68.807120102061802</c:v>
                </c:pt>
                <c:pt idx="350">
                  <c:v>68.839716559407933</c:v>
                </c:pt>
                <c:pt idx="351">
                  <c:v>68.873788660980495</c:v>
                </c:pt>
                <c:pt idx="352">
                  <c:v>68.907477700445313</c:v>
                </c:pt>
                <c:pt idx="353">
                  <c:v>68.940776047393044</c:v>
                </c:pt>
                <c:pt idx="354">
                  <c:v>68.973675872455701</c:v>
                </c:pt>
                <c:pt idx="355">
                  <c:v>69.006169140955649</c:v>
                </c:pt>
                <c:pt idx="356">
                  <c:v>69.038247606317327</c:v>
                </c:pt>
                <c:pt idx="357">
                  <c:v>69.069902803231386</c:v>
                </c:pt>
                <c:pt idx="358">
                  <c:v>69.101126040561766</c:v>
                </c:pt>
                <c:pt idx="359">
                  <c:v>69.131908393981689</c:v>
                </c:pt>
                <c:pt idx="360">
                  <c:v>69.162240698331289</c:v>
                </c:pt>
                <c:pt idx="361">
                  <c:v>69.192113539682069</c:v>
                </c:pt>
                <c:pt idx="362">
                  <c:v>69.22151724709525</c:v>
                </c:pt>
                <c:pt idx="363">
                  <c:v>69.250441884063136</c:v>
                </c:pt>
                <c:pt idx="364">
                  <c:v>69.278877239616889</c:v>
                </c:pt>
                <c:pt idx="365">
                  <c:v>69.306812819088677</c:v>
                </c:pt>
                <c:pt idx="366">
                  <c:v>69.334237834511001</c:v>
                </c:pt>
                <c:pt idx="367">
                  <c:v>69.361141194638606</c:v>
                </c:pt>
                <c:pt idx="368">
                  <c:v>69.387511494575691</c:v>
                </c:pt>
                <c:pt idx="369">
                  <c:v>69.413337004990666</c:v>
                </c:pt>
                <c:pt idx="370">
                  <c:v>69.438605660900947</c:v>
                </c:pt>
                <c:pt idx="371">
                  <c:v>69.463305050008387</c:v>
                </c:pt>
                <c:pt idx="372">
                  <c:v>69.487422400564313</c:v>
                </c:pt>
                <c:pt idx="373">
                  <c:v>69.510965811102778</c:v>
                </c:pt>
                <c:pt idx="374">
                  <c:v>69.535364654160787</c:v>
                </c:pt>
                <c:pt idx="375">
                  <c:v>69.560016168506365</c:v>
                </c:pt>
                <c:pt idx="376">
                  <c:v>69.58400782325208</c:v>
                </c:pt>
                <c:pt idx="377">
                  <c:v>69.607324136537244</c:v>
                </c:pt>
                <c:pt idx="378">
                  <c:v>69.629949156363708</c:v>
                </c:pt>
                <c:pt idx="379">
                  <c:v>69.651866443365591</c:v>
                </c:pt>
                <c:pt idx="380">
                  <c:v>69.673059052851144</c:v>
                </c:pt>
                <c:pt idx="381">
                  <c:v>69.693509516087175</c:v>
                </c:pt>
                <c:pt idx="382">
                  <c:v>69.713199820788901</c:v>
                </c:pt>
                <c:pt idx="383">
                  <c:v>69.73211139077749</c:v>
                </c:pt>
                <c:pt idx="384">
                  <c:v>69.750225064768784</c:v>
                </c:pt>
                <c:pt idx="385">
                  <c:v>69.767521074250894</c:v>
                </c:pt>
                <c:pt idx="386">
                  <c:v>69.783979020408111</c:v>
                </c:pt>
                <c:pt idx="387">
                  <c:v>69.799577850047896</c:v>
                </c:pt>
                <c:pt idx="388">
                  <c:v>69.814295830482891</c:v>
                </c:pt>
                <c:pt idx="389">
                  <c:v>69.828110523318941</c:v>
                </c:pt>
                <c:pt idx="390">
                  <c:v>69.840998757099172</c:v>
                </c:pt>
                <c:pt idx="391">
                  <c:v>69.852763530733981</c:v>
                </c:pt>
                <c:pt idx="392">
                  <c:v>69.84832142317093</c:v>
                </c:pt>
                <c:pt idx="393">
                  <c:v>69.833289531444763</c:v>
                </c:pt>
                <c:pt idx="394">
                  <c:v>69.817569062284008</c:v>
                </c:pt>
                <c:pt idx="395">
                  <c:v>69.801141633683358</c:v>
                </c:pt>
                <c:pt idx="396">
                  <c:v>69.783988226457438</c:v>
                </c:pt>
                <c:pt idx="397">
                  <c:v>69.766089157484728</c:v>
                </c:pt>
                <c:pt idx="398">
                  <c:v>69.747424051654193</c:v>
                </c:pt>
                <c:pt idx="399">
                  <c:v>69.727971812446299</c:v>
                </c:pt>
                <c:pt idx="400">
                  <c:v>69.707710591073479</c:v>
                </c:pt>
                <c:pt idx="401">
                  <c:v>69.686617754104063</c:v>
                </c:pt>
                <c:pt idx="402">
                  <c:v>69.664669849486145</c:v>
                </c:pt>
                <c:pt idx="403">
                  <c:v>69.641286411793203</c:v>
                </c:pt>
                <c:pt idx="404">
                  <c:v>69.586220147573442</c:v>
                </c:pt>
                <c:pt idx="405">
                  <c:v>69.513060852313927</c:v>
                </c:pt>
                <c:pt idx="406">
                  <c:v>69.444083054509747</c:v>
                </c:pt>
                <c:pt idx="407">
                  <c:v>69.383016031829328</c:v>
                </c:pt>
                <c:pt idx="408">
                  <c:v>69.321877933985036</c:v>
                </c:pt>
                <c:pt idx="409">
                  <c:v>69.260486029488078</c:v>
                </c:pt>
                <c:pt idx="410">
                  <c:v>69.198834800979625</c:v>
                </c:pt>
                <c:pt idx="411">
                  <c:v>69.13691857349707</c:v>
                </c:pt>
                <c:pt idx="412">
                  <c:v>69.074731508938939</c:v>
                </c:pt>
                <c:pt idx="413">
                  <c:v>69.012267600299367</c:v>
                </c:pt>
                <c:pt idx="414">
                  <c:v>68.949520665665531</c:v>
                </c:pt>
                <c:pt idx="415">
                  <c:v>68.886484341962102</c:v>
                </c:pt>
                <c:pt idx="416">
                  <c:v>68.823152078432685</c:v>
                </c:pt>
                <c:pt idx="417">
                  <c:v>68.759517129847566</c:v>
                </c:pt>
                <c:pt idx="418">
                  <c:v>68.695572549420802</c:v>
                </c:pt>
                <c:pt idx="419">
                  <c:v>68.631311181425502</c:v>
                </c:pt>
                <c:pt idx="420">
                  <c:v>68.566725653491403</c:v>
                </c:pt>
                <c:pt idx="421">
                  <c:v>68.501808368569954</c:v>
                </c:pt>
                <c:pt idx="422">
                  <c:v>68.436551496550351</c:v>
                </c:pt>
                <c:pt idx="423">
                  <c:v>68.370946965507741</c:v>
                </c:pt>
                <c:pt idx="424">
                  <c:v>68.304555820851391</c:v>
                </c:pt>
                <c:pt idx="425">
                  <c:v>68.208136655682438</c:v>
                </c:pt>
                <c:pt idx="426">
                  <c:v>68.09354685382533</c:v>
                </c:pt>
                <c:pt idx="427">
                  <c:v>67.97895676389453</c:v>
                </c:pt>
                <c:pt idx="428">
                  <c:v>67.864366381800451</c:v>
                </c:pt>
                <c:pt idx="429">
                  <c:v>67.749775703375661</c:v>
                </c:pt>
                <c:pt idx="430">
                  <c:v>67.635184724373048</c:v>
                </c:pt>
                <c:pt idx="431">
                  <c:v>67.520593440463927</c:v>
                </c:pt>
                <c:pt idx="432">
                  <c:v>67.406001847236269</c:v>
                </c:pt>
                <c:pt idx="433">
                  <c:v>67.291409940192295</c:v>
                </c:pt>
                <c:pt idx="434">
                  <c:v>67.176817714746733</c:v>
                </c:pt>
                <c:pt idx="435">
                  <c:v>67.062225166224493</c:v>
                </c:pt>
                <c:pt idx="436">
                  <c:v>66.956198428831982</c:v>
                </c:pt>
                <c:pt idx="437">
                  <c:v>66.8813419842472</c:v>
                </c:pt>
                <c:pt idx="438">
                  <c:v>66.809157898834826</c:v>
                </c:pt>
                <c:pt idx="439">
                  <c:v>66.736772967740364</c:v>
                </c:pt>
                <c:pt idx="440">
                  <c:v>66.664184330816695</c:v>
                </c:pt>
                <c:pt idx="441">
                  <c:v>66.59138907591344</c:v>
                </c:pt>
                <c:pt idx="442">
                  <c:v>66.51838423775385</c:v>
                </c:pt>
                <c:pt idx="443">
                  <c:v>66.445166796785173</c:v>
                </c:pt>
                <c:pt idx="444">
                  <c:v>66.371733678000908</c:v>
                </c:pt>
                <c:pt idx="445">
                  <c:v>66.290781101576641</c:v>
                </c:pt>
                <c:pt idx="446">
                  <c:v>66.195511718885626</c:v>
                </c:pt>
                <c:pt idx="447">
                  <c:v>66.099846306573141</c:v>
                </c:pt>
                <c:pt idx="448">
                  <c:v>66.00415277162179</c:v>
                </c:pt>
                <c:pt idx="449">
                  <c:v>65.90843085003533</c:v>
                </c:pt>
                <c:pt idx="450">
                  <c:v>65.812680274554111</c:v>
                </c:pt>
                <c:pt idx="451">
                  <c:v>65.716900774605165</c:v>
                </c:pt>
                <c:pt idx="452">
                  <c:v>65.621092076252097</c:v>
                </c:pt>
                <c:pt idx="453">
                  <c:v>65.525253902143064</c:v>
                </c:pt>
                <c:pt idx="454">
                  <c:v>65.429385971458402</c:v>
                </c:pt>
                <c:pt idx="455">
                  <c:v>65.33348799985697</c:v>
                </c:pt>
                <c:pt idx="456">
                  <c:v>65.237559699422263</c:v>
                </c:pt>
                <c:pt idx="457">
                  <c:v>65.141600778606374</c:v>
                </c:pt>
                <c:pt idx="458">
                  <c:v>65.045610942173909</c:v>
                </c:pt>
                <c:pt idx="459">
                  <c:v>64.94958989114437</c:v>
                </c:pt>
                <c:pt idx="460">
                  <c:v>64.853537322733672</c:v>
                </c:pt>
                <c:pt idx="461">
                  <c:v>64.757452930294761</c:v>
                </c:pt>
                <c:pt idx="462">
                  <c:v>64.661336403256058</c:v>
                </c:pt>
                <c:pt idx="463">
                  <c:v>64.565187427060835</c:v>
                </c:pt>
                <c:pt idx="464">
                  <c:v>64.46900568310329</c:v>
                </c:pt>
                <c:pt idx="465">
                  <c:v>64.374274961018415</c:v>
                </c:pt>
                <c:pt idx="466">
                  <c:v>64.298658785169351</c:v>
                </c:pt>
                <c:pt idx="467">
                  <c:v>64.230911666793531</c:v>
                </c:pt>
                <c:pt idx="468">
                  <c:v>64.16009792755483</c:v>
                </c:pt>
                <c:pt idx="469">
                  <c:v>64.089215730910638</c:v>
                </c:pt>
                <c:pt idx="470">
                  <c:v>64.018264046524365</c:v>
                </c:pt>
                <c:pt idx="471">
                  <c:v>63.947241823611385</c:v>
                </c:pt>
                <c:pt idx="472">
                  <c:v>63.876147990438895</c:v>
                </c:pt>
                <c:pt idx="473">
                  <c:v>63.804981453809766</c:v>
                </c:pt>
                <c:pt idx="474">
                  <c:v>63.733741098532015</c:v>
                </c:pt>
                <c:pt idx="475">
                  <c:v>63.662425786872504</c:v>
                </c:pt>
                <c:pt idx="476">
                  <c:v>63.591034357995085</c:v>
                </c:pt>
                <c:pt idx="477">
                  <c:v>63.519565627381041</c:v>
                </c:pt>
                <c:pt idx="478">
                  <c:v>63.44801838623399</c:v>
                </c:pt>
                <c:pt idx="479">
                  <c:v>63.376391400865707</c:v>
                </c:pt>
                <c:pt idx="480">
                  <c:v>63.304683412063959</c:v>
                </c:pt>
                <c:pt idx="481">
                  <c:v>63.232893134441653</c:v>
                </c:pt>
                <c:pt idx="482">
                  <c:v>63.161019255766597</c:v>
                </c:pt>
                <c:pt idx="483">
                  <c:v>63.08906043626979</c:v>
                </c:pt>
                <c:pt idx="484">
                  <c:v>63.017015307934287</c:v>
                </c:pt>
                <c:pt idx="485">
                  <c:v>62.944284410331193</c:v>
                </c:pt>
                <c:pt idx="486">
                  <c:v>62.864236127621886</c:v>
                </c:pt>
                <c:pt idx="487">
                  <c:v>62.764325943468428</c:v>
                </c:pt>
                <c:pt idx="488">
                  <c:v>62.661378097777437</c:v>
                </c:pt>
                <c:pt idx="489">
                  <c:v>62.558373712934419</c:v>
                </c:pt>
                <c:pt idx="490">
                  <c:v>62.455312309786642</c:v>
                </c:pt>
                <c:pt idx="491">
                  <c:v>62.352193403996154</c:v>
                </c:pt>
                <c:pt idx="492">
                  <c:v>62.249016505974765</c:v>
                </c:pt>
                <c:pt idx="493">
                  <c:v>62.145781120814547</c:v>
                </c:pt>
                <c:pt idx="494">
                  <c:v>62.042486748220732</c:v>
                </c:pt>
                <c:pt idx="495">
                  <c:v>61.939132882441442</c:v>
                </c:pt>
                <c:pt idx="496">
                  <c:v>61.835719012196982</c:v>
                </c:pt>
                <c:pt idx="497">
                  <c:v>61.732244620608547</c:v>
                </c:pt>
                <c:pt idx="498">
                  <c:v>61.628709185125352</c:v>
                </c:pt>
                <c:pt idx="499">
                  <c:v>61.52511217745095</c:v>
                </c:pt>
                <c:pt idx="500">
                  <c:v>61.421453063468419</c:v>
                </c:pt>
                <c:pt idx="501">
                  <c:v>61.317731303164265</c:v>
                </c:pt>
                <c:pt idx="502">
                  <c:v>61.213946350552007</c:v>
                </c:pt>
                <c:pt idx="503">
                  <c:v>61.110097653593158</c:v>
                </c:pt>
                <c:pt idx="504">
                  <c:v>61.006184654118599</c:v>
                </c:pt>
                <c:pt idx="505">
                  <c:v>60.902206787748035</c:v>
                </c:pt>
                <c:pt idx="506">
                  <c:v>60.798163483808118</c:v>
                </c:pt>
                <c:pt idx="507">
                  <c:v>60.694054165250115</c:v>
                </c:pt>
                <c:pt idx="508">
                  <c:v>60.589878248565213</c:v>
                </c:pt>
                <c:pt idx="509">
                  <c:v>60.485635143699795</c:v>
                </c:pt>
                <c:pt idx="510">
                  <c:v>60.381324253968543</c:v>
                </c:pt>
                <c:pt idx="511">
                  <c:v>60.276944975967396</c:v>
                </c:pt>
                <c:pt idx="512">
                  <c:v>60.172496699483368</c:v>
                </c:pt>
                <c:pt idx="513">
                  <c:v>60.072074742889548</c:v>
                </c:pt>
                <c:pt idx="514">
                  <c:v>59.984936080705005</c:v>
                </c:pt>
                <c:pt idx="515">
                  <c:v>59.898819509930107</c:v>
                </c:pt>
                <c:pt idx="516">
                  <c:v>59.81270126569364</c:v>
                </c:pt>
                <c:pt idx="517">
                  <c:v>59.726581333818466</c:v>
                </c:pt>
                <c:pt idx="518">
                  <c:v>59.640459699967565</c:v>
                </c:pt>
                <c:pt idx="519">
                  <c:v>59.554336349641055</c:v>
                </c:pt>
                <c:pt idx="520">
                  <c:v>59.468211268174251</c:v>
                </c:pt>
                <c:pt idx="521">
                  <c:v>59.382084440735007</c:v>
                </c:pt>
                <c:pt idx="522">
                  <c:v>59.295955852321796</c:v>
                </c:pt>
                <c:pt idx="523">
                  <c:v>59.209825487760639</c:v>
                </c:pt>
                <c:pt idx="524">
                  <c:v>59.123693331703279</c:v>
                </c:pt>
                <c:pt idx="525">
                  <c:v>59.03755936862413</c:v>
                </c:pt>
                <c:pt idx="526">
                  <c:v>58.951423582818272</c:v>
                </c:pt>
                <c:pt idx="527">
                  <c:v>59.032733854036827</c:v>
                </c:pt>
                <c:pt idx="528">
                  <c:v>59.894661105259672</c:v>
                </c:pt>
                <c:pt idx="529">
                  <c:v>60.905008797511321</c:v>
                </c:pt>
                <c:pt idx="530">
                  <c:v>61.931168662451974</c:v>
                </c:pt>
                <c:pt idx="531">
                  <c:v>62.957256834738828</c:v>
                </c:pt>
                <c:pt idx="532">
                  <c:v>63.983266300460755</c:v>
                </c:pt>
                <c:pt idx="533">
                  <c:v>65.009189100599556</c:v>
                </c:pt>
                <c:pt idx="534">
                  <c:v>66.03501616641401</c:v>
                </c:pt>
                <c:pt idx="535">
                  <c:v>67.060737119205285</c:v>
                </c:pt>
                <c:pt idx="536">
                  <c:v>68.086340025142277</c:v>
                </c:pt>
                <c:pt idx="537">
                  <c:v>69.115158294806761</c:v>
                </c:pt>
                <c:pt idx="538">
                  <c:v>70.191678461673092</c:v>
                </c:pt>
                <c:pt idx="539">
                  <c:v>71.283489966882939</c:v>
                </c:pt>
                <c:pt idx="540">
                  <c:v>72.359799959528701</c:v>
                </c:pt>
                <c:pt idx="541">
                  <c:v>73.283648813245435</c:v>
                </c:pt>
                <c:pt idx="542">
                  <c:v>74.16724689687004</c:v>
                </c:pt>
                <c:pt idx="543">
                  <c:v>75.049661278121718</c:v>
                </c:pt>
                <c:pt idx="544">
                  <c:v>75.930735230104787</c:v>
                </c:pt>
                <c:pt idx="545">
                  <c:v>76.810283394779333</c:v>
                </c:pt>
                <c:pt idx="546">
                  <c:v>77.688085016251307</c:v>
                </c:pt>
                <c:pt idx="547">
                  <c:v>78.563875188191773</c:v>
                </c:pt>
                <c:pt idx="548">
                  <c:v>79.437333412312199</c:v>
                </c:pt>
                <c:pt idx="549">
                  <c:v>80.308068471175133</c:v>
                </c:pt>
                <c:pt idx="550">
                  <c:v>81.172459501230804</c:v>
                </c:pt>
                <c:pt idx="551">
                  <c:v>81.997869788712151</c:v>
                </c:pt>
                <c:pt idx="552">
                  <c:v>82.812510668984032</c:v>
                </c:pt>
                <c:pt idx="553">
                  <c:v>83.627138358711747</c:v>
                </c:pt>
                <c:pt idx="554">
                  <c:v>84.406183958523982</c:v>
                </c:pt>
                <c:pt idx="555">
                  <c:v>84.828597809682449</c:v>
                </c:pt>
                <c:pt idx="556">
                  <c:v>85.158502112142557</c:v>
                </c:pt>
                <c:pt idx="557">
                  <c:v>85.487896749704547</c:v>
                </c:pt>
                <c:pt idx="558">
                  <c:v>85.816740991582947</c:v>
                </c:pt>
                <c:pt idx="559">
                  <c:v>86.144989738615166</c:v>
                </c:pt>
                <c:pt idx="560">
                  <c:v>86.472592935136035</c:v>
                </c:pt>
                <c:pt idx="561">
                  <c:v>86.79949488574691</c:v>
                </c:pt>
                <c:pt idx="562">
                  <c:v>87.125633459106965</c:v>
                </c:pt>
                <c:pt idx="563">
                  <c:v>87.450939157083099</c:v>
                </c:pt>
                <c:pt idx="564">
                  <c:v>87.775334022915942</c:v>
                </c:pt>
                <c:pt idx="565">
                  <c:v>88.09873035628074</c:v>
                </c:pt>
                <c:pt idx="566">
                  <c:v>88.421029195967179</c:v>
                </c:pt>
                <c:pt idx="567">
                  <c:v>88.742118522037728</c:v>
                </c:pt>
                <c:pt idx="568">
                  <c:v>89.059170871357651</c:v>
                </c:pt>
                <c:pt idx="569">
                  <c:v>89.371358119056111</c:v>
                </c:pt>
                <c:pt idx="570">
                  <c:v>89.683478456748858</c:v>
                </c:pt>
                <c:pt idx="571">
                  <c:v>89.995597987386063</c:v>
                </c:pt>
                <c:pt idx="572">
                  <c:v>90.307716646418484</c:v>
                </c:pt>
                <c:pt idx="573">
                  <c:v>90.603395754804382</c:v>
                </c:pt>
                <c:pt idx="574">
                  <c:v>90.734281171338708</c:v>
                </c:pt>
                <c:pt idx="575">
                  <c:v>90.822533519568793</c:v>
                </c:pt>
                <c:pt idx="576">
                  <c:v>90.910691368191181</c:v>
                </c:pt>
                <c:pt idx="577">
                  <c:v>90.998752523356814</c:v>
                </c:pt>
                <c:pt idx="578">
                  <c:v>91.086714726954838</c:v>
                </c:pt>
                <c:pt idx="579">
                  <c:v>91.174575654418092</c:v>
                </c:pt>
                <c:pt idx="580">
                  <c:v>91.262332912447391</c:v>
                </c:pt>
                <c:pt idx="581">
                  <c:v>91.349984036651236</c:v>
                </c:pt>
                <c:pt idx="582">
                  <c:v>91.437526489097593</c:v>
                </c:pt>
                <c:pt idx="583">
                  <c:v>91.524957655775694</c:v>
                </c:pt>
                <c:pt idx="584">
                  <c:v>91.612274039313206</c:v>
                </c:pt>
                <c:pt idx="585">
                  <c:v>91.696528892926139</c:v>
                </c:pt>
                <c:pt idx="586">
                  <c:v>91.777997773235413</c:v>
                </c:pt>
                <c:pt idx="587">
                  <c:v>91.859466222485395</c:v>
                </c:pt>
                <c:pt idx="588">
                  <c:v>91.940934227242451</c:v>
                </c:pt>
                <c:pt idx="589">
                  <c:v>92.02240177350896</c:v>
                </c:pt>
                <c:pt idx="590">
                  <c:v>92.10386884669343</c:v>
                </c:pt>
                <c:pt idx="591">
                  <c:v>92.185335431578721</c:v>
                </c:pt>
                <c:pt idx="592">
                  <c:v>92.266801512288055</c:v>
                </c:pt>
                <c:pt idx="593">
                  <c:v>92.34826707224903</c:v>
                </c:pt>
                <c:pt idx="594">
                  <c:v>92.4297320941549</c:v>
                </c:pt>
                <c:pt idx="595">
                  <c:v>92.511196559923619</c:v>
                </c:pt>
                <c:pt idx="596">
                  <c:v>92.592660450654009</c:v>
                </c:pt>
                <c:pt idx="597">
                  <c:v>92.674123746578545</c:v>
                </c:pt>
                <c:pt idx="598">
                  <c:v>92.755586427013526</c:v>
                </c:pt>
                <c:pt idx="599">
                  <c:v>92.837048470305149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16-448D-9287-61CF41585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8864"/>
        <c:axId val="420791040"/>
      </c:scatterChart>
      <c:scatterChart>
        <c:scatterStyle val="smoothMarker"/>
        <c:varyColors val="0"/>
        <c:ser>
          <c:idx val="16"/>
          <c:order val="3"/>
          <c:tx>
            <c:strRef>
              <c:f>'REFAP Mesmos Parametros'!$AA$32</c:f>
              <c:strCache>
                <c:ptCount val="1"/>
                <c:pt idx="0">
                  <c:v>média</c:v>
                </c:pt>
              </c:strCache>
            </c:strRef>
          </c:tx>
          <c:spPr>
            <a:ln w="12700"/>
            <a:effectLst/>
          </c:spPr>
          <c:marker>
            <c:symbol val="none"/>
          </c:marker>
          <c:xVal>
            <c:numRef>
              <c:f>'REFAP Mesmos Parametros'!$Z$32:$Z$631</c:f>
              <c:numCache>
                <c:formatCode>General</c:formatCode>
                <c:ptCount val="6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</c:numCache>
            </c:numRef>
          </c:xVal>
          <c:yVal>
            <c:numRef>
              <c:f>'REFAP Mesmos Parametros'!$AA$33:$AA$632</c:f>
              <c:numCache>
                <c:formatCode>0.0000</c:formatCode>
                <c:ptCount val="600"/>
                <c:pt idx="0">
                  <c:v>433.46952209150413</c:v>
                </c:pt>
                <c:pt idx="1">
                  <c:v>433.46597056066162</c:v>
                </c:pt>
                <c:pt idx="2">
                  <c:v>433.4624190298191</c:v>
                </c:pt>
                <c:pt idx="3">
                  <c:v>433.43304084636287</c:v>
                </c:pt>
                <c:pt idx="4">
                  <c:v>433.36374122266125</c:v>
                </c:pt>
                <c:pt idx="5">
                  <c:v>433.29399108063359</c:v>
                </c:pt>
                <c:pt idx="6">
                  <c:v>433.22424093860587</c:v>
                </c:pt>
                <c:pt idx="7">
                  <c:v>433.15449079657827</c:v>
                </c:pt>
                <c:pt idx="8">
                  <c:v>433.08474065455056</c:v>
                </c:pt>
                <c:pt idx="9">
                  <c:v>433.0149905125229</c:v>
                </c:pt>
                <c:pt idx="10">
                  <c:v>432.94524037049524</c:v>
                </c:pt>
                <c:pt idx="11">
                  <c:v>432.8662342035293</c:v>
                </c:pt>
                <c:pt idx="12">
                  <c:v>432.72781778374957</c:v>
                </c:pt>
                <c:pt idx="13">
                  <c:v>432.57335844195364</c:v>
                </c:pt>
                <c:pt idx="14">
                  <c:v>432.40113401488725</c:v>
                </c:pt>
                <c:pt idx="15">
                  <c:v>432.22754304280011</c:v>
                </c:pt>
                <c:pt idx="16">
                  <c:v>432.05395207071291</c:v>
                </c:pt>
                <c:pt idx="17">
                  <c:v>431.88036109862577</c:v>
                </c:pt>
                <c:pt idx="18">
                  <c:v>431.70677012653852</c:v>
                </c:pt>
                <c:pt idx="19">
                  <c:v>431.53317915445132</c:v>
                </c:pt>
                <c:pt idx="20">
                  <c:v>431.35958818236412</c:v>
                </c:pt>
                <c:pt idx="21">
                  <c:v>431.18599721027687</c:v>
                </c:pt>
                <c:pt idx="22">
                  <c:v>431.01240623818984</c:v>
                </c:pt>
                <c:pt idx="23">
                  <c:v>430.83881526610253</c:v>
                </c:pt>
                <c:pt idx="24">
                  <c:v>430.66522429401533</c:v>
                </c:pt>
                <c:pt idx="25">
                  <c:v>430.49163332192819</c:v>
                </c:pt>
                <c:pt idx="26">
                  <c:v>430.31804234984094</c:v>
                </c:pt>
                <c:pt idx="27">
                  <c:v>430.14445137775374</c:v>
                </c:pt>
                <c:pt idx="28">
                  <c:v>429.97086040566654</c:v>
                </c:pt>
                <c:pt idx="29">
                  <c:v>429.7972694335794</c:v>
                </c:pt>
                <c:pt idx="30">
                  <c:v>429.62367846149215</c:v>
                </c:pt>
                <c:pt idx="31">
                  <c:v>429.45008748940489</c:v>
                </c:pt>
                <c:pt idx="32">
                  <c:v>429.27649651731781</c:v>
                </c:pt>
                <c:pt idx="33">
                  <c:v>429.10290554523061</c:v>
                </c:pt>
                <c:pt idx="34">
                  <c:v>428.92931457314336</c:v>
                </c:pt>
                <c:pt idx="35">
                  <c:v>428.75572360105622</c:v>
                </c:pt>
                <c:pt idx="36">
                  <c:v>428.58213262896896</c:v>
                </c:pt>
                <c:pt idx="37">
                  <c:v>428.40854165688182</c:v>
                </c:pt>
                <c:pt idx="38">
                  <c:v>428.23495068479457</c:v>
                </c:pt>
                <c:pt idx="39">
                  <c:v>428.06135971270737</c:v>
                </c:pt>
                <c:pt idx="40">
                  <c:v>427.88776874062023</c:v>
                </c:pt>
                <c:pt idx="41">
                  <c:v>427.71417776853303</c:v>
                </c:pt>
                <c:pt idx="42">
                  <c:v>427.54058679644578</c:v>
                </c:pt>
                <c:pt idx="43">
                  <c:v>427.36699582435864</c:v>
                </c:pt>
                <c:pt idx="44">
                  <c:v>427.19340485227144</c:v>
                </c:pt>
                <c:pt idx="45">
                  <c:v>427.01981388018424</c:v>
                </c:pt>
                <c:pt idx="46">
                  <c:v>426.8462229080971</c:v>
                </c:pt>
                <c:pt idx="47">
                  <c:v>426.66949391311255</c:v>
                </c:pt>
                <c:pt idx="48">
                  <c:v>426.46373820632766</c:v>
                </c:pt>
                <c:pt idx="49">
                  <c:v>426.25092194802374</c:v>
                </c:pt>
                <c:pt idx="50">
                  <c:v>426.03810568972</c:v>
                </c:pt>
                <c:pt idx="51">
                  <c:v>425.82528943141614</c:v>
                </c:pt>
                <c:pt idx="52">
                  <c:v>425.61247317311228</c:v>
                </c:pt>
                <c:pt idx="53">
                  <c:v>425.39965691480847</c:v>
                </c:pt>
                <c:pt idx="54">
                  <c:v>425.18684065650456</c:v>
                </c:pt>
                <c:pt idx="55">
                  <c:v>424.9740243982007</c:v>
                </c:pt>
                <c:pt idx="56">
                  <c:v>424.76120813989684</c:v>
                </c:pt>
                <c:pt idx="57">
                  <c:v>424.54839188159298</c:v>
                </c:pt>
                <c:pt idx="58">
                  <c:v>424.33557562328923</c:v>
                </c:pt>
                <c:pt idx="59">
                  <c:v>424.12275936498531</c:v>
                </c:pt>
                <c:pt idx="60">
                  <c:v>423.9099431066814</c:v>
                </c:pt>
                <c:pt idx="61">
                  <c:v>423.69712684837759</c:v>
                </c:pt>
                <c:pt idx="62">
                  <c:v>423.48431059007368</c:v>
                </c:pt>
                <c:pt idx="63">
                  <c:v>423.27149433176987</c:v>
                </c:pt>
                <c:pt idx="64">
                  <c:v>423.05867807346607</c:v>
                </c:pt>
                <c:pt idx="65">
                  <c:v>422.84586181516215</c:v>
                </c:pt>
                <c:pt idx="66">
                  <c:v>422.63304555685835</c:v>
                </c:pt>
                <c:pt idx="67">
                  <c:v>422.42022929855449</c:v>
                </c:pt>
                <c:pt idx="68">
                  <c:v>422.20741304025063</c:v>
                </c:pt>
                <c:pt idx="69">
                  <c:v>421.99459678194677</c:v>
                </c:pt>
                <c:pt idx="70">
                  <c:v>421.78178052364291</c:v>
                </c:pt>
                <c:pt idx="71">
                  <c:v>421.56896426533905</c:v>
                </c:pt>
                <c:pt idx="72">
                  <c:v>421.35614800703524</c:v>
                </c:pt>
                <c:pt idx="73">
                  <c:v>421.12918986673259</c:v>
                </c:pt>
                <c:pt idx="74">
                  <c:v>420.77141931794182</c:v>
                </c:pt>
                <c:pt idx="75">
                  <c:v>420.38182953465383</c:v>
                </c:pt>
                <c:pt idx="76">
                  <c:v>419.99223975136584</c:v>
                </c:pt>
                <c:pt idx="77">
                  <c:v>419.60264996807791</c:v>
                </c:pt>
                <c:pt idx="78">
                  <c:v>419.21146759585139</c:v>
                </c:pt>
                <c:pt idx="79">
                  <c:v>418.81133954715216</c:v>
                </c:pt>
                <c:pt idx="80">
                  <c:v>418.34926865322615</c:v>
                </c:pt>
                <c:pt idx="81">
                  <c:v>417.72143266499182</c:v>
                </c:pt>
                <c:pt idx="82">
                  <c:v>417.0841328063002</c:v>
                </c:pt>
                <c:pt idx="83">
                  <c:v>416.44683294760847</c:v>
                </c:pt>
                <c:pt idx="84">
                  <c:v>415.83267753374821</c:v>
                </c:pt>
                <c:pt idx="85">
                  <c:v>415.43245282168868</c:v>
                </c:pt>
                <c:pt idx="86">
                  <c:v>415.07829466838206</c:v>
                </c:pt>
                <c:pt idx="87">
                  <c:v>414.72105266096588</c:v>
                </c:pt>
                <c:pt idx="88">
                  <c:v>414.36381065354971</c:v>
                </c:pt>
                <c:pt idx="89">
                  <c:v>414.00656864613347</c:v>
                </c:pt>
                <c:pt idx="90">
                  <c:v>413.64932663871724</c:v>
                </c:pt>
                <c:pt idx="91">
                  <c:v>413.29208463130112</c:v>
                </c:pt>
                <c:pt idx="92">
                  <c:v>412.93484262388483</c:v>
                </c:pt>
                <c:pt idx="93">
                  <c:v>412.57760061646871</c:v>
                </c:pt>
                <c:pt idx="94">
                  <c:v>412.22035860905248</c:v>
                </c:pt>
                <c:pt idx="95">
                  <c:v>411.86311660163636</c:v>
                </c:pt>
                <c:pt idx="96">
                  <c:v>411.48534612543477</c:v>
                </c:pt>
                <c:pt idx="97">
                  <c:v>411.01792070392617</c:v>
                </c:pt>
                <c:pt idx="98">
                  <c:v>410.54002157385349</c:v>
                </c:pt>
                <c:pt idx="99">
                  <c:v>410.06212244378094</c:v>
                </c:pt>
                <c:pt idx="100">
                  <c:v>409.58422331370838</c:v>
                </c:pt>
                <c:pt idx="101">
                  <c:v>409.10632418363576</c:v>
                </c:pt>
                <c:pt idx="102">
                  <c:v>408.62842505356326</c:v>
                </c:pt>
                <c:pt idx="103">
                  <c:v>408.24129556232924</c:v>
                </c:pt>
                <c:pt idx="104">
                  <c:v>407.97869301363409</c:v>
                </c:pt>
                <c:pt idx="105">
                  <c:v>407.71684062724353</c:v>
                </c:pt>
                <c:pt idx="106">
                  <c:v>407.45498824085286</c:v>
                </c:pt>
                <c:pt idx="107">
                  <c:v>407.19313585446224</c:v>
                </c:pt>
                <c:pt idx="108">
                  <c:v>406.93128346807157</c:v>
                </c:pt>
                <c:pt idx="109">
                  <c:v>406.6694310816809</c:v>
                </c:pt>
                <c:pt idx="110">
                  <c:v>406.40757869529028</c:v>
                </c:pt>
                <c:pt idx="111">
                  <c:v>406.14572630889961</c:v>
                </c:pt>
                <c:pt idx="112">
                  <c:v>405.88387392250894</c:v>
                </c:pt>
                <c:pt idx="113">
                  <c:v>405.62202153611833</c:v>
                </c:pt>
                <c:pt idx="114">
                  <c:v>405.31032819839464</c:v>
                </c:pt>
                <c:pt idx="115">
                  <c:v>404.93026349413458</c:v>
                </c:pt>
                <c:pt idx="116">
                  <c:v>404.57014586113615</c:v>
                </c:pt>
                <c:pt idx="117">
                  <c:v>404.22908944632172</c:v>
                </c:pt>
                <c:pt idx="118">
                  <c:v>403.88803303150729</c:v>
                </c:pt>
                <c:pt idx="119">
                  <c:v>403.5469766166928</c:v>
                </c:pt>
                <c:pt idx="120">
                  <c:v>403.20592020187843</c:v>
                </c:pt>
                <c:pt idx="121">
                  <c:v>402.86486378706394</c:v>
                </c:pt>
                <c:pt idx="122">
                  <c:v>402.52380737224945</c:v>
                </c:pt>
                <c:pt idx="123">
                  <c:v>402.18275095743508</c:v>
                </c:pt>
                <c:pt idx="124">
                  <c:v>401.84169454262064</c:v>
                </c:pt>
                <c:pt idx="125">
                  <c:v>401.50063812780621</c:v>
                </c:pt>
                <c:pt idx="126">
                  <c:v>401.15958171299172</c:v>
                </c:pt>
                <c:pt idx="127">
                  <c:v>400.81716525450247</c:v>
                </c:pt>
                <c:pt idx="128">
                  <c:v>400.46843329908717</c:v>
                </c:pt>
                <c:pt idx="129">
                  <c:v>400.11890602401428</c:v>
                </c:pt>
                <c:pt idx="130">
                  <c:v>399.76937874894139</c:v>
                </c:pt>
                <c:pt idx="131">
                  <c:v>399.4198514738685</c:v>
                </c:pt>
                <c:pt idx="132">
                  <c:v>399.07032419879562</c:v>
                </c:pt>
                <c:pt idx="133">
                  <c:v>398.72079692372273</c:v>
                </c:pt>
                <c:pt idx="134">
                  <c:v>398.37126964864984</c:v>
                </c:pt>
                <c:pt idx="135">
                  <c:v>398.02174237357696</c:v>
                </c:pt>
                <c:pt idx="136">
                  <c:v>397.67221509850418</c:v>
                </c:pt>
                <c:pt idx="137">
                  <c:v>397.32268782343118</c:v>
                </c:pt>
                <c:pt idx="138">
                  <c:v>396.94674646796261</c:v>
                </c:pt>
                <c:pt idx="139">
                  <c:v>396.50247778056126</c:v>
                </c:pt>
                <c:pt idx="140">
                  <c:v>396.05471632219843</c:v>
                </c:pt>
                <c:pt idx="141">
                  <c:v>395.60695486383565</c:v>
                </c:pt>
                <c:pt idx="142">
                  <c:v>395.14507234115098</c:v>
                </c:pt>
                <c:pt idx="143">
                  <c:v>394.37252640338346</c:v>
                </c:pt>
                <c:pt idx="144">
                  <c:v>393.47289088671852</c:v>
                </c:pt>
                <c:pt idx="145">
                  <c:v>392.57325537005357</c:v>
                </c:pt>
                <c:pt idx="146">
                  <c:v>391.67361985338863</c:v>
                </c:pt>
                <c:pt idx="147">
                  <c:v>390.77398433672369</c:v>
                </c:pt>
                <c:pt idx="148">
                  <c:v>389.87434882005874</c:v>
                </c:pt>
                <c:pt idx="149">
                  <c:v>388.74228220218373</c:v>
                </c:pt>
                <c:pt idx="150">
                  <c:v>387.27161225168157</c:v>
                </c:pt>
                <c:pt idx="151">
                  <c:v>385.79807278141152</c:v>
                </c:pt>
                <c:pt idx="152">
                  <c:v>384.32453331114135</c:v>
                </c:pt>
                <c:pt idx="153">
                  <c:v>382.85099384087124</c:v>
                </c:pt>
                <c:pt idx="154">
                  <c:v>381.34467253311033</c:v>
                </c:pt>
                <c:pt idx="155">
                  <c:v>379.73776305296542</c:v>
                </c:pt>
                <c:pt idx="156">
                  <c:v>378.06800693142822</c:v>
                </c:pt>
                <c:pt idx="157">
                  <c:v>376.16882351454342</c:v>
                </c:pt>
                <c:pt idx="158">
                  <c:v>374.24483714681037</c:v>
                </c:pt>
                <c:pt idx="159">
                  <c:v>372.32085077907726</c:v>
                </c:pt>
                <c:pt idx="160">
                  <c:v>370.3968644113441</c:v>
                </c:pt>
                <c:pt idx="161">
                  <c:v>368.47287804361099</c:v>
                </c:pt>
                <c:pt idx="162">
                  <c:v>366.54889167587788</c:v>
                </c:pt>
                <c:pt idx="163">
                  <c:v>364.62490530814466</c:v>
                </c:pt>
                <c:pt idx="164">
                  <c:v>362.70091894041167</c:v>
                </c:pt>
                <c:pt idx="165">
                  <c:v>360.80681466175889</c:v>
                </c:pt>
                <c:pt idx="166">
                  <c:v>359.14999892479801</c:v>
                </c:pt>
                <c:pt idx="167">
                  <c:v>357.54428332833555</c:v>
                </c:pt>
                <c:pt idx="168">
                  <c:v>355.93856773187309</c:v>
                </c:pt>
                <c:pt idx="169">
                  <c:v>354.2771059418676</c:v>
                </c:pt>
                <c:pt idx="170">
                  <c:v>352.32210560148752</c:v>
                </c:pt>
                <c:pt idx="171">
                  <c:v>350.32442458167611</c:v>
                </c:pt>
                <c:pt idx="172">
                  <c:v>348.3267435618647</c:v>
                </c:pt>
                <c:pt idx="173">
                  <c:v>346.32906254205324</c:v>
                </c:pt>
                <c:pt idx="174">
                  <c:v>344.35853329221874</c:v>
                </c:pt>
                <c:pt idx="175">
                  <c:v>342.53628460704164</c:v>
                </c:pt>
                <c:pt idx="176">
                  <c:v>340.56535621064575</c:v>
                </c:pt>
                <c:pt idx="177">
                  <c:v>338.58206163396511</c:v>
                </c:pt>
                <c:pt idx="178">
                  <c:v>336.59876705728442</c:v>
                </c:pt>
                <c:pt idx="179">
                  <c:v>334.61547248060378</c:v>
                </c:pt>
                <c:pt idx="180">
                  <c:v>332.63217790392309</c:v>
                </c:pt>
                <c:pt idx="181">
                  <c:v>330.64888332724246</c:v>
                </c:pt>
                <c:pt idx="182">
                  <c:v>328.66558875056177</c:v>
                </c:pt>
                <c:pt idx="183">
                  <c:v>326.68229417388113</c:v>
                </c:pt>
                <c:pt idx="184">
                  <c:v>324.6989995972005</c:v>
                </c:pt>
                <c:pt idx="185">
                  <c:v>322.72371871882223</c:v>
                </c:pt>
                <c:pt idx="186">
                  <c:v>320.90520581348471</c:v>
                </c:pt>
                <c:pt idx="187">
                  <c:v>319.1472965015592</c:v>
                </c:pt>
                <c:pt idx="188">
                  <c:v>317.38938718963362</c:v>
                </c:pt>
                <c:pt idx="189">
                  <c:v>315.63147787770805</c:v>
                </c:pt>
                <c:pt idx="190">
                  <c:v>313.87356856578248</c:v>
                </c:pt>
                <c:pt idx="191">
                  <c:v>312.11565925385702</c:v>
                </c:pt>
                <c:pt idx="192">
                  <c:v>310.35774994193139</c:v>
                </c:pt>
                <c:pt idx="193">
                  <c:v>308.59984063000587</c:v>
                </c:pt>
                <c:pt idx="194">
                  <c:v>306.86968201203769</c:v>
                </c:pt>
                <c:pt idx="195">
                  <c:v>305.18241891317348</c:v>
                </c:pt>
                <c:pt idx="196">
                  <c:v>303.49563989547835</c:v>
                </c:pt>
                <c:pt idx="197">
                  <c:v>301.80886087778322</c:v>
                </c:pt>
                <c:pt idx="198">
                  <c:v>300.12208186008803</c:v>
                </c:pt>
                <c:pt idx="199">
                  <c:v>298.4353028423929</c:v>
                </c:pt>
                <c:pt idx="200">
                  <c:v>296.78399827906225</c:v>
                </c:pt>
                <c:pt idx="201">
                  <c:v>295.27853313922998</c:v>
                </c:pt>
                <c:pt idx="202">
                  <c:v>293.78883442355959</c:v>
                </c:pt>
                <c:pt idx="203">
                  <c:v>292.29913570788921</c:v>
                </c:pt>
                <c:pt idx="204">
                  <c:v>290.80943699221882</c:v>
                </c:pt>
                <c:pt idx="205">
                  <c:v>289.31973827654849</c:v>
                </c:pt>
                <c:pt idx="206">
                  <c:v>287.83003956087811</c:v>
                </c:pt>
                <c:pt idx="207">
                  <c:v>286.34034084520778</c:v>
                </c:pt>
                <c:pt idx="208">
                  <c:v>284.85064212953739</c:v>
                </c:pt>
                <c:pt idx="209">
                  <c:v>283.36094341386701</c:v>
                </c:pt>
                <c:pt idx="210">
                  <c:v>281.8714394808286</c:v>
                </c:pt>
                <c:pt idx="211">
                  <c:v>280.4672503405954</c:v>
                </c:pt>
                <c:pt idx="212">
                  <c:v>279.20250690625738</c:v>
                </c:pt>
                <c:pt idx="213">
                  <c:v>278.0974531746968</c:v>
                </c:pt>
                <c:pt idx="214">
                  <c:v>276.99880271272372</c:v>
                </c:pt>
                <c:pt idx="215">
                  <c:v>275.90015225075081</c:v>
                </c:pt>
                <c:pt idx="216">
                  <c:v>274.80150178877784</c:v>
                </c:pt>
                <c:pt idx="217">
                  <c:v>273.70285132680482</c:v>
                </c:pt>
                <c:pt idx="218">
                  <c:v>272.60420086483185</c:v>
                </c:pt>
                <c:pt idx="219">
                  <c:v>271.50555040285889</c:v>
                </c:pt>
                <c:pt idx="220">
                  <c:v>270.40689994088592</c:v>
                </c:pt>
                <c:pt idx="221">
                  <c:v>269.30824947891296</c:v>
                </c:pt>
                <c:pt idx="222">
                  <c:v>268.20959901693999</c:v>
                </c:pt>
                <c:pt idx="223">
                  <c:v>267.11094855496697</c:v>
                </c:pt>
                <c:pt idx="224">
                  <c:v>266.01229809299406</c:v>
                </c:pt>
                <c:pt idx="225">
                  <c:v>264.91371937202956</c:v>
                </c:pt>
                <c:pt idx="226">
                  <c:v>263.89115084204235</c:v>
                </c:pt>
                <c:pt idx="227">
                  <c:v>262.88006070116785</c:v>
                </c:pt>
                <c:pt idx="228">
                  <c:v>261.86914274781697</c:v>
                </c:pt>
                <c:pt idx="229">
                  <c:v>260.93364292976815</c:v>
                </c:pt>
                <c:pt idx="230">
                  <c:v>260.06030280771046</c:v>
                </c:pt>
                <c:pt idx="231">
                  <c:v>259.18696268565287</c:v>
                </c:pt>
                <c:pt idx="232">
                  <c:v>258.31362256359517</c:v>
                </c:pt>
                <c:pt idx="233">
                  <c:v>257.44028244153759</c:v>
                </c:pt>
                <c:pt idx="234">
                  <c:v>256.56694231947995</c:v>
                </c:pt>
                <c:pt idx="235">
                  <c:v>255.69360219742234</c:v>
                </c:pt>
                <c:pt idx="236">
                  <c:v>254.82026207536464</c:v>
                </c:pt>
                <c:pt idx="237">
                  <c:v>253.946921953307</c:v>
                </c:pt>
                <c:pt idx="238">
                  <c:v>253.07358183124936</c:v>
                </c:pt>
                <c:pt idx="239">
                  <c:v>252.20024170919172</c:v>
                </c:pt>
                <c:pt idx="240">
                  <c:v>251.3269015871341</c:v>
                </c:pt>
                <c:pt idx="241">
                  <c:v>250.45356146507643</c:v>
                </c:pt>
                <c:pt idx="242">
                  <c:v>249.58022134301882</c:v>
                </c:pt>
                <c:pt idx="243">
                  <c:v>248.64763045955149</c:v>
                </c:pt>
                <c:pt idx="244">
                  <c:v>247.57065415087104</c:v>
                </c:pt>
                <c:pt idx="245">
                  <c:v>246.54016720680673</c:v>
                </c:pt>
                <c:pt idx="246">
                  <c:v>245.54611157957802</c:v>
                </c:pt>
                <c:pt idx="247">
                  <c:v>244.55205595234921</c:v>
                </c:pt>
                <c:pt idx="248">
                  <c:v>243.55800032512056</c:v>
                </c:pt>
                <c:pt idx="249">
                  <c:v>242.5639446978918</c:v>
                </c:pt>
                <c:pt idx="250">
                  <c:v>241.56988907066307</c:v>
                </c:pt>
                <c:pt idx="251">
                  <c:v>240.57583344343433</c:v>
                </c:pt>
                <c:pt idx="252">
                  <c:v>239.61285431935002</c:v>
                </c:pt>
                <c:pt idx="253">
                  <c:v>238.69514713811819</c:v>
                </c:pt>
                <c:pt idx="254">
                  <c:v>237.77782361741902</c:v>
                </c:pt>
                <c:pt idx="255">
                  <c:v>236.86050009671985</c:v>
                </c:pt>
                <c:pt idx="256">
                  <c:v>235.94317657602065</c:v>
                </c:pt>
                <c:pt idx="257">
                  <c:v>235.02585305532148</c:v>
                </c:pt>
                <c:pt idx="258">
                  <c:v>234.09991462767709</c:v>
                </c:pt>
                <c:pt idx="259">
                  <c:v>233.10556670227891</c:v>
                </c:pt>
                <c:pt idx="260">
                  <c:v>232.09648677624662</c:v>
                </c:pt>
                <c:pt idx="261">
                  <c:v>231.08740685021436</c:v>
                </c:pt>
                <c:pt idx="262">
                  <c:v>230.07832692418211</c:v>
                </c:pt>
                <c:pt idx="263">
                  <c:v>229.06924699814985</c:v>
                </c:pt>
                <c:pt idx="264">
                  <c:v>228.06016707211759</c:v>
                </c:pt>
                <c:pt idx="265">
                  <c:v>227.05108714608537</c:v>
                </c:pt>
                <c:pt idx="266">
                  <c:v>226.04200722005308</c:v>
                </c:pt>
                <c:pt idx="267">
                  <c:v>225.03292729402085</c:v>
                </c:pt>
                <c:pt idx="268">
                  <c:v>224.02384736798862</c:v>
                </c:pt>
                <c:pt idx="269">
                  <c:v>223.01476744195631</c:v>
                </c:pt>
                <c:pt idx="270">
                  <c:v>222.00568751592405</c:v>
                </c:pt>
                <c:pt idx="271">
                  <c:v>220.99660758989182</c:v>
                </c:pt>
                <c:pt idx="272">
                  <c:v>219.98752766385954</c:v>
                </c:pt>
                <c:pt idx="273">
                  <c:v>218.97844773782731</c:v>
                </c:pt>
                <c:pt idx="274">
                  <c:v>217.97192019547501</c:v>
                </c:pt>
                <c:pt idx="275">
                  <c:v>217.06009872827838</c:v>
                </c:pt>
                <c:pt idx="276">
                  <c:v>216.23320173449147</c:v>
                </c:pt>
                <c:pt idx="277">
                  <c:v>215.40671796068602</c:v>
                </c:pt>
                <c:pt idx="278">
                  <c:v>214.51318577070685</c:v>
                </c:pt>
                <c:pt idx="279">
                  <c:v>213.52766980316696</c:v>
                </c:pt>
                <c:pt idx="280">
                  <c:v>212.54159971648514</c:v>
                </c:pt>
                <c:pt idx="281">
                  <c:v>211.55552962980326</c:v>
                </c:pt>
                <c:pt idx="282">
                  <c:v>210.5694595431215</c:v>
                </c:pt>
                <c:pt idx="283">
                  <c:v>209.58338945643962</c:v>
                </c:pt>
                <c:pt idx="284">
                  <c:v>208.59731936975786</c:v>
                </c:pt>
                <c:pt idx="285">
                  <c:v>207.61124928307603</c:v>
                </c:pt>
                <c:pt idx="286">
                  <c:v>206.62517919639421</c:v>
                </c:pt>
                <c:pt idx="287">
                  <c:v>205.63910910971234</c:v>
                </c:pt>
                <c:pt idx="288">
                  <c:v>204.65303902303057</c:v>
                </c:pt>
                <c:pt idx="289">
                  <c:v>203.6669689363487</c:v>
                </c:pt>
                <c:pt idx="290">
                  <c:v>202.68089884966687</c:v>
                </c:pt>
                <c:pt idx="291">
                  <c:v>201.69482876298505</c:v>
                </c:pt>
                <c:pt idx="292">
                  <c:v>200.70875867630323</c:v>
                </c:pt>
                <c:pt idx="293">
                  <c:v>199.72268858962138</c:v>
                </c:pt>
                <c:pt idx="294">
                  <c:v>198.73661850293956</c:v>
                </c:pt>
                <c:pt idx="295">
                  <c:v>197.75054841625783</c:v>
                </c:pt>
                <c:pt idx="296">
                  <c:v>196.76514308894957</c:v>
                </c:pt>
                <c:pt idx="297">
                  <c:v>195.85817936772983</c:v>
                </c:pt>
                <c:pt idx="298">
                  <c:v>195.00506115577431</c:v>
                </c:pt>
                <c:pt idx="299">
                  <c:v>194.15194294381874</c:v>
                </c:pt>
                <c:pt idx="300">
                  <c:v>193.38405016420117</c:v>
                </c:pt>
                <c:pt idx="301">
                  <c:v>192.71956109473331</c:v>
                </c:pt>
                <c:pt idx="302">
                  <c:v>192.05530810679556</c:v>
                </c:pt>
                <c:pt idx="303">
                  <c:v>191.39105511885774</c:v>
                </c:pt>
                <c:pt idx="304">
                  <c:v>190.72680213091994</c:v>
                </c:pt>
                <c:pt idx="305">
                  <c:v>190.06254914298214</c:v>
                </c:pt>
                <c:pt idx="306">
                  <c:v>189.39829615504436</c:v>
                </c:pt>
                <c:pt idx="307">
                  <c:v>188.73404316710653</c:v>
                </c:pt>
                <c:pt idx="308">
                  <c:v>188.0717147342576</c:v>
                </c:pt>
                <c:pt idx="309">
                  <c:v>187.43975150392214</c:v>
                </c:pt>
                <c:pt idx="310">
                  <c:v>186.81826640684835</c:v>
                </c:pt>
                <c:pt idx="311">
                  <c:v>186.19678130977454</c:v>
                </c:pt>
                <c:pt idx="312">
                  <c:v>185.57529621270069</c:v>
                </c:pt>
                <c:pt idx="313">
                  <c:v>184.95381111562696</c:v>
                </c:pt>
                <c:pt idx="314">
                  <c:v>184.33232601855312</c:v>
                </c:pt>
                <c:pt idx="315">
                  <c:v>183.7108409214793</c:v>
                </c:pt>
                <c:pt idx="316">
                  <c:v>183.08935582440549</c:v>
                </c:pt>
                <c:pt idx="317">
                  <c:v>182.4678707273317</c:v>
                </c:pt>
                <c:pt idx="318">
                  <c:v>181.84638563025786</c:v>
                </c:pt>
                <c:pt idx="319">
                  <c:v>181.22677622344611</c:v>
                </c:pt>
                <c:pt idx="320">
                  <c:v>180.64843200239852</c:v>
                </c:pt>
                <c:pt idx="321">
                  <c:v>180.08696899370906</c:v>
                </c:pt>
                <c:pt idx="322">
                  <c:v>179.52550598501958</c:v>
                </c:pt>
                <c:pt idx="323">
                  <c:v>178.96404297633012</c:v>
                </c:pt>
                <c:pt idx="324">
                  <c:v>178.40257996764066</c:v>
                </c:pt>
                <c:pt idx="325">
                  <c:v>177.84111695895115</c:v>
                </c:pt>
                <c:pt idx="326">
                  <c:v>177.27965395026172</c:v>
                </c:pt>
                <c:pt idx="327">
                  <c:v>176.71819094157226</c:v>
                </c:pt>
                <c:pt idx="328">
                  <c:v>176.15672793288275</c:v>
                </c:pt>
                <c:pt idx="329">
                  <c:v>175.59526492419323</c:v>
                </c:pt>
                <c:pt idx="330">
                  <c:v>175.0338019155038</c:v>
                </c:pt>
                <c:pt idx="331">
                  <c:v>174.47233890681434</c:v>
                </c:pt>
                <c:pt idx="332">
                  <c:v>173.91087589812489</c:v>
                </c:pt>
                <c:pt idx="333">
                  <c:v>173.34941288943537</c:v>
                </c:pt>
                <c:pt idx="334">
                  <c:v>172.78794988074591</c:v>
                </c:pt>
                <c:pt idx="335">
                  <c:v>172.22648687205643</c:v>
                </c:pt>
                <c:pt idx="336">
                  <c:v>171.66502386336697</c:v>
                </c:pt>
                <c:pt idx="337">
                  <c:v>171.10356085467751</c:v>
                </c:pt>
                <c:pt idx="338">
                  <c:v>170.53922395379013</c:v>
                </c:pt>
                <c:pt idx="339">
                  <c:v>169.92954342044763</c:v>
                </c:pt>
                <c:pt idx="340">
                  <c:v>169.30421614069459</c:v>
                </c:pt>
                <c:pt idx="341">
                  <c:v>168.6788888609415</c:v>
                </c:pt>
                <c:pt idx="342">
                  <c:v>168.0535615811884</c:v>
                </c:pt>
                <c:pt idx="343">
                  <c:v>167.42823430143537</c:v>
                </c:pt>
                <c:pt idx="344">
                  <c:v>166.80290702168224</c:v>
                </c:pt>
                <c:pt idx="345">
                  <c:v>166.17757974192915</c:v>
                </c:pt>
                <c:pt idx="346">
                  <c:v>165.55225246217609</c:v>
                </c:pt>
                <c:pt idx="347">
                  <c:v>164.92692518242302</c:v>
                </c:pt>
                <c:pt idx="348">
                  <c:v>164.30159790266993</c:v>
                </c:pt>
                <c:pt idx="349">
                  <c:v>163.69137627681172</c:v>
                </c:pt>
                <c:pt idx="350">
                  <c:v>163.11058582501451</c:v>
                </c:pt>
                <c:pt idx="351">
                  <c:v>162.53055663274304</c:v>
                </c:pt>
                <c:pt idx="352">
                  <c:v>161.95052744047155</c:v>
                </c:pt>
                <c:pt idx="353">
                  <c:v>161.37049824820002</c:v>
                </c:pt>
                <c:pt idx="354">
                  <c:v>160.79046905592853</c:v>
                </c:pt>
                <c:pt idx="355">
                  <c:v>160.21043986365703</c:v>
                </c:pt>
                <c:pt idx="356">
                  <c:v>159.63041067138556</c:v>
                </c:pt>
                <c:pt idx="357">
                  <c:v>159.05038147911401</c:v>
                </c:pt>
                <c:pt idx="358">
                  <c:v>158.47035228684257</c:v>
                </c:pt>
                <c:pt idx="359">
                  <c:v>157.89032309457107</c:v>
                </c:pt>
                <c:pt idx="360">
                  <c:v>157.31029390229955</c:v>
                </c:pt>
                <c:pt idx="361">
                  <c:v>156.73026471002805</c:v>
                </c:pt>
                <c:pt idx="362">
                  <c:v>156.15023551775656</c:v>
                </c:pt>
                <c:pt idx="363">
                  <c:v>155.57020632548509</c:v>
                </c:pt>
                <c:pt idx="364">
                  <c:v>154.99017713321359</c:v>
                </c:pt>
                <c:pt idx="365">
                  <c:v>154.4101479409421</c:v>
                </c:pt>
                <c:pt idx="366">
                  <c:v>153.83011874867057</c:v>
                </c:pt>
                <c:pt idx="367">
                  <c:v>153.25008955639908</c:v>
                </c:pt>
                <c:pt idx="368">
                  <c:v>152.67006036412761</c:v>
                </c:pt>
                <c:pt idx="369">
                  <c:v>152.09003117185611</c:v>
                </c:pt>
                <c:pt idx="370">
                  <c:v>151.51000197958462</c:v>
                </c:pt>
                <c:pt idx="371">
                  <c:v>150.92997278731312</c:v>
                </c:pt>
                <c:pt idx="372">
                  <c:v>150.34994359504162</c:v>
                </c:pt>
                <c:pt idx="373">
                  <c:v>149.76987318839875</c:v>
                </c:pt>
                <c:pt idx="374">
                  <c:v>149.18694868653611</c:v>
                </c:pt>
                <c:pt idx="375">
                  <c:v>148.60228287748166</c:v>
                </c:pt>
                <c:pt idx="376">
                  <c:v>148.01761706842717</c:v>
                </c:pt>
                <c:pt idx="377">
                  <c:v>147.43295125937274</c:v>
                </c:pt>
                <c:pt idx="378">
                  <c:v>146.84828545031826</c:v>
                </c:pt>
                <c:pt idx="379">
                  <c:v>146.26361964126383</c:v>
                </c:pt>
                <c:pt idx="380">
                  <c:v>145.67895383220937</c:v>
                </c:pt>
                <c:pt idx="381">
                  <c:v>145.09428802315489</c:v>
                </c:pt>
                <c:pt idx="382">
                  <c:v>144.50962221410043</c:v>
                </c:pt>
                <c:pt idx="383">
                  <c:v>143.924956405046</c:v>
                </c:pt>
                <c:pt idx="384">
                  <c:v>143.34029059599152</c:v>
                </c:pt>
                <c:pt idx="385">
                  <c:v>142.75562478693709</c:v>
                </c:pt>
                <c:pt idx="386">
                  <c:v>142.17095897788261</c:v>
                </c:pt>
                <c:pt idx="387">
                  <c:v>141.58629316882812</c:v>
                </c:pt>
                <c:pt idx="388">
                  <c:v>141.00162735977369</c:v>
                </c:pt>
                <c:pt idx="389">
                  <c:v>140.41696155071926</c:v>
                </c:pt>
                <c:pt idx="390">
                  <c:v>139.83229574166481</c:v>
                </c:pt>
                <c:pt idx="391">
                  <c:v>139.24744389189075</c:v>
                </c:pt>
                <c:pt idx="392">
                  <c:v>138.64610655631429</c:v>
                </c:pt>
                <c:pt idx="393">
                  <c:v>138.03410415173289</c:v>
                </c:pt>
                <c:pt idx="394">
                  <c:v>137.42210174715152</c:v>
                </c:pt>
                <c:pt idx="395">
                  <c:v>136.81009934257011</c:v>
                </c:pt>
                <c:pt idx="396">
                  <c:v>136.19809693798874</c:v>
                </c:pt>
                <c:pt idx="397">
                  <c:v>135.58609453340736</c:v>
                </c:pt>
                <c:pt idx="398">
                  <c:v>134.97409212882596</c:v>
                </c:pt>
                <c:pt idx="399">
                  <c:v>134.36208972424458</c:v>
                </c:pt>
                <c:pt idx="400">
                  <c:v>133.75008731966321</c:v>
                </c:pt>
                <c:pt idx="401">
                  <c:v>133.13808491508181</c:v>
                </c:pt>
                <c:pt idx="402">
                  <c:v>132.52608251050043</c:v>
                </c:pt>
                <c:pt idx="403">
                  <c:v>131.91539042594388</c:v>
                </c:pt>
                <c:pt idx="404">
                  <c:v>131.37778508055132</c:v>
                </c:pt>
                <c:pt idx="405">
                  <c:v>130.88225556706789</c:v>
                </c:pt>
                <c:pt idx="406">
                  <c:v>130.3884510758395</c:v>
                </c:pt>
                <c:pt idx="407">
                  <c:v>129.89782062556046</c:v>
                </c:pt>
                <c:pt idx="408">
                  <c:v>129.40725917617164</c:v>
                </c:pt>
                <c:pt idx="409">
                  <c:v>128.91669772678279</c:v>
                </c:pt>
                <c:pt idx="410">
                  <c:v>128.42613627739394</c:v>
                </c:pt>
                <c:pt idx="411">
                  <c:v>127.93557482800509</c:v>
                </c:pt>
                <c:pt idx="412">
                  <c:v>127.44501337861625</c:v>
                </c:pt>
                <c:pt idx="413">
                  <c:v>126.9544519292274</c:v>
                </c:pt>
                <c:pt idx="414">
                  <c:v>126.46389047983855</c:v>
                </c:pt>
                <c:pt idx="415">
                  <c:v>125.97332903044973</c:v>
                </c:pt>
                <c:pt idx="416">
                  <c:v>125.4827675810609</c:v>
                </c:pt>
                <c:pt idx="417">
                  <c:v>124.99220613167203</c:v>
                </c:pt>
                <c:pt idx="418">
                  <c:v>124.5016446822832</c:v>
                </c:pt>
                <c:pt idx="419">
                  <c:v>124.01108323289436</c:v>
                </c:pt>
                <c:pt idx="420">
                  <c:v>123.52052178350552</c:v>
                </c:pt>
                <c:pt idx="421">
                  <c:v>123.02996033411667</c:v>
                </c:pt>
                <c:pt idx="422">
                  <c:v>122.53939888472785</c:v>
                </c:pt>
                <c:pt idx="423">
                  <c:v>122.048837435339</c:v>
                </c:pt>
                <c:pt idx="424">
                  <c:v>121.5594221990545</c:v>
                </c:pt>
                <c:pt idx="425">
                  <c:v>121.14938222024671</c:v>
                </c:pt>
                <c:pt idx="426">
                  <c:v>120.78776974509799</c:v>
                </c:pt>
                <c:pt idx="427">
                  <c:v>120.42615726994923</c:v>
                </c:pt>
                <c:pt idx="428">
                  <c:v>120.0645447948005</c:v>
                </c:pt>
                <c:pt idx="429">
                  <c:v>119.70293231965177</c:v>
                </c:pt>
                <c:pt idx="430">
                  <c:v>119.34131984450302</c:v>
                </c:pt>
                <c:pt idx="431">
                  <c:v>118.97970736935429</c:v>
                </c:pt>
                <c:pt idx="432">
                  <c:v>118.61809489420556</c:v>
                </c:pt>
                <c:pt idx="433">
                  <c:v>118.25648241905681</c:v>
                </c:pt>
                <c:pt idx="434">
                  <c:v>117.89486994390809</c:v>
                </c:pt>
                <c:pt idx="435">
                  <c:v>117.53325746875934</c:v>
                </c:pt>
                <c:pt idx="436">
                  <c:v>117.18272741187968</c:v>
                </c:pt>
                <c:pt idx="437">
                  <c:v>116.87265892640893</c:v>
                </c:pt>
                <c:pt idx="438">
                  <c:v>116.56630504650759</c:v>
                </c:pt>
                <c:pt idx="439">
                  <c:v>116.25995116660629</c:v>
                </c:pt>
                <c:pt idx="440">
                  <c:v>115.95359728670496</c:v>
                </c:pt>
                <c:pt idx="441">
                  <c:v>115.64724340680363</c:v>
                </c:pt>
                <c:pt idx="442">
                  <c:v>115.3408895269023</c:v>
                </c:pt>
                <c:pt idx="443">
                  <c:v>115.03453564700099</c:v>
                </c:pt>
                <c:pt idx="444">
                  <c:v>114.72818176709966</c:v>
                </c:pt>
                <c:pt idx="445">
                  <c:v>114.44245502520108</c:v>
                </c:pt>
                <c:pt idx="446">
                  <c:v>114.19691726771606</c:v>
                </c:pt>
                <c:pt idx="447">
                  <c:v>113.95241902863933</c:v>
                </c:pt>
                <c:pt idx="448">
                  <c:v>113.70792078956259</c:v>
                </c:pt>
                <c:pt idx="449">
                  <c:v>113.46342255048584</c:v>
                </c:pt>
                <c:pt idx="450">
                  <c:v>113.21892431140914</c:v>
                </c:pt>
                <c:pt idx="451">
                  <c:v>112.97442607233239</c:v>
                </c:pt>
                <c:pt idx="452">
                  <c:v>112.72992783325566</c:v>
                </c:pt>
                <c:pt idx="453">
                  <c:v>112.48542959417894</c:v>
                </c:pt>
                <c:pt idx="454">
                  <c:v>112.24093135510221</c:v>
                </c:pt>
                <c:pt idx="455">
                  <c:v>111.99643311602547</c:v>
                </c:pt>
                <c:pt idx="456">
                  <c:v>111.75193487694874</c:v>
                </c:pt>
                <c:pt idx="457">
                  <c:v>111.507436637872</c:v>
                </c:pt>
                <c:pt idx="458">
                  <c:v>111.26293839879527</c:v>
                </c:pt>
                <c:pt idx="459">
                  <c:v>111.01844015971854</c:v>
                </c:pt>
                <c:pt idx="460">
                  <c:v>110.7739419206418</c:v>
                </c:pt>
                <c:pt idx="461">
                  <c:v>110.5294436815651</c:v>
                </c:pt>
                <c:pt idx="462">
                  <c:v>110.28494544248834</c:v>
                </c:pt>
                <c:pt idx="463">
                  <c:v>110.0404472034116</c:v>
                </c:pt>
                <c:pt idx="464">
                  <c:v>109.79594896433487</c:v>
                </c:pt>
                <c:pt idx="465">
                  <c:v>109.55201667740954</c:v>
                </c:pt>
                <c:pt idx="466">
                  <c:v>109.30485826768883</c:v>
                </c:pt>
                <c:pt idx="467">
                  <c:v>109.02020554093561</c:v>
                </c:pt>
                <c:pt idx="468">
                  <c:v>108.72795066381057</c:v>
                </c:pt>
                <c:pt idx="469">
                  <c:v>108.43569578668551</c:v>
                </c:pt>
                <c:pt idx="470">
                  <c:v>108.14344090956048</c:v>
                </c:pt>
                <c:pt idx="471">
                  <c:v>107.85118603243542</c:v>
                </c:pt>
                <c:pt idx="472">
                  <c:v>107.55893115531039</c:v>
                </c:pt>
                <c:pt idx="473">
                  <c:v>107.26667627818534</c:v>
                </c:pt>
                <c:pt idx="474">
                  <c:v>106.9744214010603</c:v>
                </c:pt>
                <c:pt idx="475">
                  <c:v>106.68216652393524</c:v>
                </c:pt>
                <c:pt idx="476">
                  <c:v>106.38991164681022</c:v>
                </c:pt>
                <c:pt idx="477">
                  <c:v>106.09765676968516</c:v>
                </c:pt>
                <c:pt idx="478">
                  <c:v>105.80540189256011</c:v>
                </c:pt>
                <c:pt idx="479">
                  <c:v>105.51314701543508</c:v>
                </c:pt>
                <c:pt idx="480">
                  <c:v>105.22089213831003</c:v>
                </c:pt>
                <c:pt idx="481">
                  <c:v>104.92863726118497</c:v>
                </c:pt>
                <c:pt idx="482">
                  <c:v>104.63638238405996</c:v>
                </c:pt>
                <c:pt idx="483">
                  <c:v>104.3441275069349</c:v>
                </c:pt>
                <c:pt idx="484">
                  <c:v>104.05187262980986</c:v>
                </c:pt>
                <c:pt idx="485">
                  <c:v>103.75872369795889</c:v>
                </c:pt>
                <c:pt idx="486">
                  <c:v>103.47098278312357</c:v>
                </c:pt>
                <c:pt idx="487">
                  <c:v>103.24483115322748</c:v>
                </c:pt>
                <c:pt idx="488">
                  <c:v>103.02843420566292</c:v>
                </c:pt>
                <c:pt idx="489">
                  <c:v>102.81203725809833</c:v>
                </c:pt>
                <c:pt idx="490">
                  <c:v>102.59564031053378</c:v>
                </c:pt>
                <c:pt idx="491">
                  <c:v>102.37924336296919</c:v>
                </c:pt>
                <c:pt idx="492">
                  <c:v>102.16284641540464</c:v>
                </c:pt>
                <c:pt idx="493">
                  <c:v>101.94644946784008</c:v>
                </c:pt>
                <c:pt idx="494">
                  <c:v>101.73005252027549</c:v>
                </c:pt>
                <c:pt idx="495">
                  <c:v>101.51365557271093</c:v>
                </c:pt>
                <c:pt idx="496">
                  <c:v>101.29725862514637</c:v>
                </c:pt>
                <c:pt idx="497">
                  <c:v>101.08086167758181</c:v>
                </c:pt>
                <c:pt idx="498">
                  <c:v>100.86446473001723</c:v>
                </c:pt>
                <c:pt idx="499">
                  <c:v>100.64806778245266</c:v>
                </c:pt>
                <c:pt idx="500">
                  <c:v>100.4316708348881</c:v>
                </c:pt>
                <c:pt idx="501">
                  <c:v>100.21527388732352</c:v>
                </c:pt>
                <c:pt idx="502">
                  <c:v>99.998876939758972</c:v>
                </c:pt>
                <c:pt idx="503">
                  <c:v>99.782479992194396</c:v>
                </c:pt>
                <c:pt idx="504">
                  <c:v>99.566083044629821</c:v>
                </c:pt>
                <c:pt idx="505">
                  <c:v>99.349686097065259</c:v>
                </c:pt>
                <c:pt idx="506">
                  <c:v>99.133289149500683</c:v>
                </c:pt>
                <c:pt idx="507">
                  <c:v>98.916892201936108</c:v>
                </c:pt>
                <c:pt idx="508">
                  <c:v>98.700495254371546</c:v>
                </c:pt>
                <c:pt idx="509">
                  <c:v>98.484098306806985</c:v>
                </c:pt>
                <c:pt idx="510">
                  <c:v>98.267701359242395</c:v>
                </c:pt>
                <c:pt idx="511">
                  <c:v>98.051304411677847</c:v>
                </c:pt>
                <c:pt idx="512">
                  <c:v>97.834907464113272</c:v>
                </c:pt>
                <c:pt idx="513">
                  <c:v>97.624159978869443</c:v>
                </c:pt>
                <c:pt idx="514">
                  <c:v>97.431773246168063</c:v>
                </c:pt>
                <c:pt idx="515">
                  <c:v>97.240798879046835</c:v>
                </c:pt>
                <c:pt idx="516">
                  <c:v>97.049824511925635</c:v>
                </c:pt>
                <c:pt idx="517">
                  <c:v>96.858850144804407</c:v>
                </c:pt>
                <c:pt idx="518">
                  <c:v>96.667875777683193</c:v>
                </c:pt>
                <c:pt idx="519">
                  <c:v>96.476901410561979</c:v>
                </c:pt>
                <c:pt idx="520">
                  <c:v>96.285927043440765</c:v>
                </c:pt>
                <c:pt idx="521">
                  <c:v>96.094952676319551</c:v>
                </c:pt>
                <c:pt idx="522">
                  <c:v>95.903978309198337</c:v>
                </c:pt>
                <c:pt idx="523">
                  <c:v>95.713003942077123</c:v>
                </c:pt>
                <c:pt idx="524">
                  <c:v>95.522029574955923</c:v>
                </c:pt>
                <c:pt idx="525">
                  <c:v>95.331055207834694</c:v>
                </c:pt>
                <c:pt idx="526">
                  <c:v>95.140080840713495</c:v>
                </c:pt>
                <c:pt idx="527">
                  <c:v>95.013108868749327</c:v>
                </c:pt>
                <c:pt idx="528">
                  <c:v>95.172171910173702</c:v>
                </c:pt>
                <c:pt idx="529">
                  <c:v>95.223498495446577</c:v>
                </c:pt>
                <c:pt idx="530">
                  <c:v>95.230159400006855</c:v>
                </c:pt>
                <c:pt idx="531">
                  <c:v>95.236820304567118</c:v>
                </c:pt>
                <c:pt idx="532">
                  <c:v>95.243481209127367</c:v>
                </c:pt>
                <c:pt idx="533">
                  <c:v>95.25014211368763</c:v>
                </c:pt>
                <c:pt idx="534">
                  <c:v>95.256803018247908</c:v>
                </c:pt>
                <c:pt idx="535">
                  <c:v>95.263463922808171</c:v>
                </c:pt>
                <c:pt idx="536">
                  <c:v>95.270124827368434</c:v>
                </c:pt>
                <c:pt idx="537">
                  <c:v>95.281121495049376</c:v>
                </c:pt>
                <c:pt idx="538">
                  <c:v>95.354067930532082</c:v>
                </c:pt>
                <c:pt idx="539">
                  <c:v>95.447203889022703</c:v>
                </c:pt>
                <c:pt idx="540">
                  <c:v>95.53453029756264</c:v>
                </c:pt>
                <c:pt idx="541">
                  <c:v>95.563629420963863</c:v>
                </c:pt>
                <c:pt idx="542">
                  <c:v>95.577694000163845</c:v>
                </c:pt>
                <c:pt idx="543">
                  <c:v>95.591758579363841</c:v>
                </c:pt>
                <c:pt idx="544">
                  <c:v>95.605823158563837</c:v>
                </c:pt>
                <c:pt idx="545">
                  <c:v>95.619887737763818</c:v>
                </c:pt>
                <c:pt idx="546">
                  <c:v>95.6339523169638</c:v>
                </c:pt>
                <c:pt idx="547">
                  <c:v>95.64801689616381</c:v>
                </c:pt>
                <c:pt idx="548">
                  <c:v>95.662081475363777</c:v>
                </c:pt>
                <c:pt idx="549">
                  <c:v>95.676146054563773</c:v>
                </c:pt>
                <c:pt idx="550">
                  <c:v>95.702866773062524</c:v>
                </c:pt>
                <c:pt idx="551">
                  <c:v>95.879911431803649</c:v>
                </c:pt>
                <c:pt idx="552">
                  <c:v>96.100606856697652</c:v>
                </c:pt>
                <c:pt idx="553">
                  <c:v>96.321302281591656</c:v>
                </c:pt>
                <c:pt idx="554">
                  <c:v>96.528645838525165</c:v>
                </c:pt>
                <c:pt idx="555">
                  <c:v>96.602167837941792</c:v>
                </c:pt>
                <c:pt idx="556">
                  <c:v>96.641136515547643</c:v>
                </c:pt>
                <c:pt idx="557">
                  <c:v>96.680105193153508</c:v>
                </c:pt>
                <c:pt idx="558">
                  <c:v>96.719073870759345</c:v>
                </c:pt>
                <c:pt idx="559">
                  <c:v>96.758042548365211</c:v>
                </c:pt>
                <c:pt idx="560">
                  <c:v>96.797011225971048</c:v>
                </c:pt>
                <c:pt idx="561">
                  <c:v>96.835979903576913</c:v>
                </c:pt>
                <c:pt idx="562">
                  <c:v>96.874948581182778</c:v>
                </c:pt>
                <c:pt idx="563">
                  <c:v>96.913917258788629</c:v>
                </c:pt>
                <c:pt idx="564">
                  <c:v>96.95288593639448</c:v>
                </c:pt>
                <c:pt idx="565">
                  <c:v>96.991854614000331</c:v>
                </c:pt>
                <c:pt idx="566">
                  <c:v>97.030823291606183</c:v>
                </c:pt>
                <c:pt idx="567">
                  <c:v>97.069791969212062</c:v>
                </c:pt>
                <c:pt idx="568">
                  <c:v>97.138254483603575</c:v>
                </c:pt>
                <c:pt idx="569">
                  <c:v>97.255058967164459</c:v>
                </c:pt>
                <c:pt idx="570">
                  <c:v>97.372561529702523</c:v>
                </c:pt>
                <c:pt idx="571">
                  <c:v>97.490064092240587</c:v>
                </c:pt>
                <c:pt idx="572">
                  <c:v>97.60756665477868</c:v>
                </c:pt>
                <c:pt idx="573">
                  <c:v>97.719003900123354</c:v>
                </c:pt>
                <c:pt idx="574">
                  <c:v>97.76965038599883</c:v>
                </c:pt>
                <c:pt idx="575">
                  <c:v>97.80460042719055</c:v>
                </c:pt>
                <c:pt idx="576">
                  <c:v>97.839550468382242</c:v>
                </c:pt>
                <c:pt idx="577">
                  <c:v>97.874500509573934</c:v>
                </c:pt>
                <c:pt idx="578">
                  <c:v>97.909450550765641</c:v>
                </c:pt>
                <c:pt idx="579">
                  <c:v>97.944400591957347</c:v>
                </c:pt>
                <c:pt idx="580">
                  <c:v>97.979350633149025</c:v>
                </c:pt>
                <c:pt idx="581">
                  <c:v>98.014300674340745</c:v>
                </c:pt>
                <c:pt idx="582">
                  <c:v>98.049250715532438</c:v>
                </c:pt>
                <c:pt idx="583">
                  <c:v>98.084200756724144</c:v>
                </c:pt>
                <c:pt idx="584">
                  <c:v>98.119148236793421</c:v>
                </c:pt>
                <c:pt idx="585">
                  <c:v>98.144573463738539</c:v>
                </c:pt>
                <c:pt idx="586">
                  <c:v>98.161083423570901</c:v>
                </c:pt>
                <c:pt idx="587">
                  <c:v>98.177593383403249</c:v>
                </c:pt>
                <c:pt idx="588">
                  <c:v>98.194103343235611</c:v>
                </c:pt>
                <c:pt idx="589">
                  <c:v>98.210613303067973</c:v>
                </c:pt>
                <c:pt idx="590">
                  <c:v>98.227123262900321</c:v>
                </c:pt>
                <c:pt idx="591">
                  <c:v>98.243633222732669</c:v>
                </c:pt>
                <c:pt idx="592">
                  <c:v>98.260143182565017</c:v>
                </c:pt>
                <c:pt idx="593">
                  <c:v>98.276653142397393</c:v>
                </c:pt>
                <c:pt idx="594">
                  <c:v>98.293163102229755</c:v>
                </c:pt>
                <c:pt idx="595">
                  <c:v>98.309673062062089</c:v>
                </c:pt>
                <c:pt idx="596">
                  <c:v>98.326183021894465</c:v>
                </c:pt>
                <c:pt idx="597">
                  <c:v>98.342692981726813</c:v>
                </c:pt>
                <c:pt idx="598">
                  <c:v>98.359202941559161</c:v>
                </c:pt>
                <c:pt idx="599">
                  <c:v>98.375712901391523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16-448D-9287-61CF41585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8864"/>
        <c:axId val="420791040"/>
      </c:scatterChart>
      <c:scatterChart>
        <c:scatterStyle val="lineMarker"/>
        <c:varyColors val="0"/>
        <c:ser>
          <c:idx val="7"/>
          <c:order val="1"/>
          <c:tx>
            <c:strRef>
              <c:f>'REFAP Mesmos Parametros'!$F$32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Mesmos Parametros'!$A$33:$A$135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Mesmos Parametros'!$F$33:$F$135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12.762700000000001</c:v>
                </c:pt>
                <c:pt idx="28">
                  <c:v>6.88469</c:v>
                </c:pt>
                <c:pt idx="29">
                  <c:v>10.0283</c:v>
                </c:pt>
                <c:pt idx="30">
                  <c:v>17.136800000000001</c:v>
                </c:pt>
                <c:pt idx="31">
                  <c:v>1.4652099999999999</c:v>
                </c:pt>
                <c:pt idx="32">
                  <c:v>10.9893</c:v>
                </c:pt>
                <c:pt idx="33">
                  <c:v>9.0679200000000009</c:v>
                </c:pt>
                <c:pt idx="34">
                  <c:v>17.052800000000001</c:v>
                </c:pt>
                <c:pt idx="35">
                  <c:v>5.76816</c:v>
                </c:pt>
                <c:pt idx="36">
                  <c:v>11.115600000000001</c:v>
                </c:pt>
                <c:pt idx="37">
                  <c:v>11.367800000000001</c:v>
                </c:pt>
                <c:pt idx="38">
                  <c:v>17.9481</c:v>
                </c:pt>
                <c:pt idx="39">
                  <c:v>16.862500000000001</c:v>
                </c:pt>
                <c:pt idx="40">
                  <c:v>21.771799999999999</c:v>
                </c:pt>
                <c:pt idx="41">
                  <c:v>19.184699999999999</c:v>
                </c:pt>
                <c:pt idx="42">
                  <c:v>23.461099999999998</c:v>
                </c:pt>
                <c:pt idx="43">
                  <c:v>19.681100000000001</c:v>
                </c:pt>
                <c:pt idx="44">
                  <c:v>25.915400000000002</c:v>
                </c:pt>
                <c:pt idx="45">
                  <c:v>23.538699999999999</c:v>
                </c:pt>
                <c:pt idx="46">
                  <c:v>25.666499999999999</c:v>
                </c:pt>
                <c:pt idx="47">
                  <c:v>0.756938</c:v>
                </c:pt>
                <c:pt idx="48">
                  <c:v>16.0245</c:v>
                </c:pt>
                <c:pt idx="49">
                  <c:v>1.52413</c:v>
                </c:pt>
                <c:pt idx="50">
                  <c:v>18.32</c:v>
                </c:pt>
                <c:pt idx="51">
                  <c:v>3.8047499999999999</c:v>
                </c:pt>
                <c:pt idx="52">
                  <c:v>22.121500000000001</c:v>
                </c:pt>
                <c:pt idx="53">
                  <c:v>4.4442899999999996</c:v>
                </c:pt>
                <c:pt idx="54">
                  <c:v>30.162700000000001</c:v>
                </c:pt>
                <c:pt idx="55">
                  <c:v>6.98604</c:v>
                </c:pt>
                <c:pt idx="56">
                  <c:v>29.779599999999999</c:v>
                </c:pt>
                <c:pt idx="57">
                  <c:v>8.2614199999999993</c:v>
                </c:pt>
                <c:pt idx="58">
                  <c:v>28.8108</c:v>
                </c:pt>
                <c:pt idx="59">
                  <c:v>7.7748900000000001</c:v>
                </c:pt>
                <c:pt idx="60">
                  <c:v>0.990734</c:v>
                </c:pt>
                <c:pt idx="61">
                  <c:v>2.94014</c:v>
                </c:pt>
                <c:pt idx="62">
                  <c:v>10.703200000000001</c:v>
                </c:pt>
                <c:pt idx="63">
                  <c:v>11.0403</c:v>
                </c:pt>
                <c:pt idx="64">
                  <c:v>14.1112</c:v>
                </c:pt>
                <c:pt idx="65">
                  <c:v>6.9864899999999999</c:v>
                </c:pt>
                <c:pt idx="66">
                  <c:v>15.006500000000001</c:v>
                </c:pt>
                <c:pt idx="67">
                  <c:v>4.1127900000000004</c:v>
                </c:pt>
                <c:pt idx="68">
                  <c:v>4.8492600000000001</c:v>
                </c:pt>
                <c:pt idx="69">
                  <c:v>11.852499999999999</c:v>
                </c:pt>
                <c:pt idx="70">
                  <c:v>0.16783000000000001</c:v>
                </c:pt>
                <c:pt idx="71">
                  <c:v>9.8878699999999995</c:v>
                </c:pt>
                <c:pt idx="72">
                  <c:v>6.67401</c:v>
                </c:pt>
                <c:pt idx="73">
                  <c:v>15.1401</c:v>
                </c:pt>
                <c:pt idx="74">
                  <c:v>7.9083199999999998</c:v>
                </c:pt>
                <c:pt idx="75">
                  <c:v>9.5009800000000002</c:v>
                </c:pt>
                <c:pt idx="76">
                  <c:v>11.506399999999999</c:v>
                </c:pt>
                <c:pt idx="77">
                  <c:v>17.430499999999999</c:v>
                </c:pt>
                <c:pt idx="78">
                  <c:v>17.559000000000001</c:v>
                </c:pt>
                <c:pt idx="79">
                  <c:v>15.1173</c:v>
                </c:pt>
                <c:pt idx="80">
                  <c:v>35.492800000000003</c:v>
                </c:pt>
                <c:pt idx="81">
                  <c:v>33.246699999999997</c:v>
                </c:pt>
                <c:pt idx="82">
                  <c:v>0.19401299999999999</c:v>
                </c:pt>
                <c:pt idx="83">
                  <c:v>24.248200000000001</c:v>
                </c:pt>
                <c:pt idx="84">
                  <c:v>3.7267700000000001</c:v>
                </c:pt>
                <c:pt idx="85">
                  <c:v>0.14938199999999999</c:v>
                </c:pt>
                <c:pt idx="86">
                  <c:v>15.297000000000001</c:v>
                </c:pt>
                <c:pt idx="87">
                  <c:v>0.122082</c:v>
                </c:pt>
                <c:pt idx="88">
                  <c:v>16.833500000000001</c:v>
                </c:pt>
                <c:pt idx="89">
                  <c:v>9.7761899999999999E-2</c:v>
                </c:pt>
                <c:pt idx="90">
                  <c:v>7.8696000000000002E-2</c:v>
                </c:pt>
                <c:pt idx="91">
                  <c:v>6.7811300000000005E-2</c:v>
                </c:pt>
                <c:pt idx="92">
                  <c:v>5.5639399999999999E-2</c:v>
                </c:pt>
                <c:pt idx="93">
                  <c:v>4.1575399999999998E-2</c:v>
                </c:pt>
                <c:pt idx="94">
                  <c:v>4.86703E-2</c:v>
                </c:pt>
                <c:pt idx="95">
                  <c:v>0.21074999999999999</c:v>
                </c:pt>
                <c:pt idx="96">
                  <c:v>0.2112</c:v>
                </c:pt>
                <c:pt idx="97">
                  <c:v>0.211868</c:v>
                </c:pt>
                <c:pt idx="98">
                  <c:v>0.21229000000000001</c:v>
                </c:pt>
                <c:pt idx="99">
                  <c:v>0.21293799999999999</c:v>
                </c:pt>
                <c:pt idx="100">
                  <c:v>0.207065</c:v>
                </c:pt>
                <c:pt idx="101">
                  <c:v>0</c:v>
                </c:pt>
                <c:pt idx="102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16-448D-9287-61CF41585325}"/>
            </c:ext>
          </c:extLst>
        </c:ser>
        <c:ser>
          <c:idx val="6"/>
          <c:order val="2"/>
          <c:tx>
            <c:strRef>
              <c:f>'REFAP Mesmos Parametros'!$G$32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Mesmos Parametros'!$A$33:$A$135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Mesmos Parametros'!$G$33:$G$135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0.58282400000000001</c:v>
                </c:pt>
                <c:pt idx="28">
                  <c:v>1.17571</c:v>
                </c:pt>
                <c:pt idx="29">
                  <c:v>1.55955</c:v>
                </c:pt>
                <c:pt idx="30">
                  <c:v>1.8346100000000001</c:v>
                </c:pt>
                <c:pt idx="31">
                  <c:v>2.0853199999999998</c:v>
                </c:pt>
                <c:pt idx="32">
                  <c:v>2.3538299999999999</c:v>
                </c:pt>
                <c:pt idx="33">
                  <c:v>2.5614599999999998</c:v>
                </c:pt>
                <c:pt idx="34">
                  <c:v>2.7290000000000001</c:v>
                </c:pt>
                <c:pt idx="35">
                  <c:v>2.9256899999999999</c:v>
                </c:pt>
                <c:pt idx="36">
                  <c:v>3.1121799999999999</c:v>
                </c:pt>
                <c:pt idx="37">
                  <c:v>3.26641</c:v>
                </c:pt>
                <c:pt idx="38">
                  <c:v>3.4030300000000002</c:v>
                </c:pt>
                <c:pt idx="39">
                  <c:v>3.5097299999999998</c:v>
                </c:pt>
                <c:pt idx="40">
                  <c:v>3.6080299999999998</c:v>
                </c:pt>
                <c:pt idx="41">
                  <c:v>3.68364</c:v>
                </c:pt>
                <c:pt idx="42">
                  <c:v>3.7575799999999999</c:v>
                </c:pt>
                <c:pt idx="43">
                  <c:v>3.8212799999999998</c:v>
                </c:pt>
                <c:pt idx="44">
                  <c:v>3.87364</c:v>
                </c:pt>
                <c:pt idx="45">
                  <c:v>3.9237099999999998</c:v>
                </c:pt>
                <c:pt idx="46">
                  <c:v>3.9773000000000001</c:v>
                </c:pt>
                <c:pt idx="47">
                  <c:v>4.1092500000000003</c:v>
                </c:pt>
                <c:pt idx="48">
                  <c:v>4.26736</c:v>
                </c:pt>
                <c:pt idx="49">
                  <c:v>4.3911699999999998</c:v>
                </c:pt>
                <c:pt idx="50">
                  <c:v>4.5067700000000004</c:v>
                </c:pt>
                <c:pt idx="51">
                  <c:v>4.6124700000000001</c:v>
                </c:pt>
                <c:pt idx="52">
                  <c:v>4.7106399999999997</c:v>
                </c:pt>
                <c:pt idx="53">
                  <c:v>4.80192</c:v>
                </c:pt>
                <c:pt idx="54">
                  <c:v>4.9220199999999998</c:v>
                </c:pt>
                <c:pt idx="55">
                  <c:v>5.0400600000000004</c:v>
                </c:pt>
                <c:pt idx="56">
                  <c:v>5.1644300000000003</c:v>
                </c:pt>
                <c:pt idx="57">
                  <c:v>5.2779199999999999</c:v>
                </c:pt>
                <c:pt idx="58">
                  <c:v>5.3972699999999998</c:v>
                </c:pt>
                <c:pt idx="59">
                  <c:v>5.5106999999999999</c:v>
                </c:pt>
                <c:pt idx="60">
                  <c:v>5.6734200000000001</c:v>
                </c:pt>
                <c:pt idx="61">
                  <c:v>5.8802700000000003</c:v>
                </c:pt>
                <c:pt idx="62">
                  <c:v>6.0648499999999999</c:v>
                </c:pt>
                <c:pt idx="63">
                  <c:v>6.2307199999999998</c:v>
                </c:pt>
                <c:pt idx="64">
                  <c:v>6.3848900000000004</c:v>
                </c:pt>
                <c:pt idx="65">
                  <c:v>6.5364800000000001</c:v>
                </c:pt>
                <c:pt idx="66">
                  <c:v>6.6948100000000004</c:v>
                </c:pt>
                <c:pt idx="67">
                  <c:v>6.87385</c:v>
                </c:pt>
                <c:pt idx="68">
                  <c:v>7.0679999999999996</c:v>
                </c:pt>
                <c:pt idx="69">
                  <c:v>7.2450400000000004</c:v>
                </c:pt>
                <c:pt idx="70">
                  <c:v>7.4144399999999999</c:v>
                </c:pt>
                <c:pt idx="71">
                  <c:v>7.6143000000000001</c:v>
                </c:pt>
                <c:pt idx="72">
                  <c:v>7.7879100000000001</c:v>
                </c:pt>
                <c:pt idx="73">
                  <c:v>7.9486600000000003</c:v>
                </c:pt>
                <c:pt idx="74">
                  <c:v>8.1359899999999996</c:v>
                </c:pt>
                <c:pt idx="75">
                  <c:v>8.3078900000000004</c:v>
                </c:pt>
                <c:pt idx="76">
                  <c:v>8.4658700000000007</c:v>
                </c:pt>
                <c:pt idx="77">
                  <c:v>8.6104199999999995</c:v>
                </c:pt>
                <c:pt idx="78">
                  <c:v>8.7388700000000004</c:v>
                </c:pt>
                <c:pt idx="79">
                  <c:v>9.0866699999999998</c:v>
                </c:pt>
                <c:pt idx="80">
                  <c:v>9.7271599999999996</c:v>
                </c:pt>
                <c:pt idx="81">
                  <c:v>10.2349</c:v>
                </c:pt>
                <c:pt idx="82">
                  <c:v>10.8406</c:v>
                </c:pt>
                <c:pt idx="83">
                  <c:v>11.4245</c:v>
                </c:pt>
                <c:pt idx="84">
                  <c:v>11.9443</c:v>
                </c:pt>
                <c:pt idx="85">
                  <c:v>12.4381</c:v>
                </c:pt>
                <c:pt idx="86">
                  <c:v>12.8607</c:v>
                </c:pt>
                <c:pt idx="87">
                  <c:v>13.254899999999999</c:v>
                </c:pt>
                <c:pt idx="88">
                  <c:v>13.6249</c:v>
                </c:pt>
                <c:pt idx="89">
                  <c:v>13.9307</c:v>
                </c:pt>
                <c:pt idx="90">
                  <c:v>14.2349</c:v>
                </c:pt>
                <c:pt idx="91">
                  <c:v>14.4848</c:v>
                </c:pt>
                <c:pt idx="92">
                  <c:v>14.691700000000001</c:v>
                </c:pt>
                <c:pt idx="93">
                  <c:v>14.8583</c:v>
                </c:pt>
                <c:pt idx="94">
                  <c:v>14.996700000000001</c:v>
                </c:pt>
                <c:pt idx="95">
                  <c:v>15.6616</c:v>
                </c:pt>
                <c:pt idx="96">
                  <c:v>16.3642</c:v>
                </c:pt>
                <c:pt idx="97">
                  <c:v>17.0686</c:v>
                </c:pt>
                <c:pt idx="98">
                  <c:v>17.774799999999999</c:v>
                </c:pt>
                <c:pt idx="99">
                  <c:v>18.482900000000001</c:v>
                </c:pt>
                <c:pt idx="100">
                  <c:v>19.192699999999999</c:v>
                </c:pt>
                <c:pt idx="101">
                  <c:v>19.7577</c:v>
                </c:pt>
                <c:pt idx="102">
                  <c:v>20.248000000000001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16-448D-9287-61CF41585325}"/>
            </c:ext>
          </c:extLst>
        </c:ser>
        <c:ser>
          <c:idx val="0"/>
          <c:order val="6"/>
          <c:tx>
            <c:strRef>
              <c:f>'REFAP Mesmos Parametros'!$AI$30</c:f>
              <c:strCache>
                <c:ptCount val="1"/>
                <c:pt idx="0">
                  <c:v>Água gerada no BLD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'REFAP Mesmos Parametros'!$Z$33:$Z$631</c:f>
              <c:numCache>
                <c:formatCode>General</c:formatCode>
                <c:ptCount val="5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</c:numCache>
            </c:numRef>
          </c:xVal>
          <c:yVal>
            <c:numRef>
              <c:f>'REFAP Mesmos Parametros'!$AI$33:$AI$632</c:f>
              <c:numCache>
                <c:formatCode>General</c:formatCode>
                <c:ptCount val="600"/>
                <c:pt idx="0">
                  <c:v>1.1835515987616383</c:v>
                </c:pt>
                <c:pt idx="1">
                  <c:v>0.64164654471213001</c:v>
                </c:pt>
                <c:pt idx="2">
                  <c:v>0.10529033440724013</c:v>
                </c:pt>
                <c:pt idx="3">
                  <c:v>6.284712813794612E-4</c:v>
                </c:pt>
                <c:pt idx="4">
                  <c:v>9.7334125312045208E-4</c:v>
                </c:pt>
                <c:pt idx="5">
                  <c:v>1.318211224861443E-3</c:v>
                </c:pt>
                <c:pt idx="6">
                  <c:v>1.6630811966024341E-3</c:v>
                </c:pt>
                <c:pt idx="7">
                  <c:v>2.0079511683434247E-3</c:v>
                </c:pt>
                <c:pt idx="8">
                  <c:v>2.352821140084416E-3</c:v>
                </c:pt>
                <c:pt idx="9">
                  <c:v>2.6976911118254069E-3</c:v>
                </c:pt>
                <c:pt idx="10">
                  <c:v>3.0425610835663978E-3</c:v>
                </c:pt>
                <c:pt idx="11">
                  <c:v>3.3874310553073887E-3</c:v>
                </c:pt>
                <c:pt idx="12">
                  <c:v>3.7323010270483795E-3</c:v>
                </c:pt>
                <c:pt idx="13">
                  <c:v>4.4511804528883656E-3</c:v>
                </c:pt>
                <c:pt idx="14">
                  <c:v>5.7149131575392354E-3</c:v>
                </c:pt>
                <c:pt idx="15">
                  <c:v>6.983263262857994E-3</c:v>
                </c:pt>
                <c:pt idx="16">
                  <c:v>8.2516133681767509E-3</c:v>
                </c:pt>
                <c:pt idx="17">
                  <c:v>9.5199634734955095E-3</c:v>
                </c:pt>
                <c:pt idx="18">
                  <c:v>1.0788313578814268E-2</c:v>
                </c:pt>
                <c:pt idx="19">
                  <c:v>1.2056663684133027E-2</c:v>
                </c:pt>
                <c:pt idx="20">
                  <c:v>1.3325013789451784E-2</c:v>
                </c:pt>
                <c:pt idx="21">
                  <c:v>1.4593363894770542E-2</c:v>
                </c:pt>
                <c:pt idx="22">
                  <c:v>1.5861714000089303E-2</c:v>
                </c:pt>
                <c:pt idx="23">
                  <c:v>1.7130064105408058E-2</c:v>
                </c:pt>
                <c:pt idx="24">
                  <c:v>1.839841421072682E-2</c:v>
                </c:pt>
                <c:pt idx="25">
                  <c:v>1.9666764316045575E-2</c:v>
                </c:pt>
                <c:pt idx="26">
                  <c:v>0.98181973878501194</c:v>
                </c:pt>
                <c:pt idx="27">
                  <c:v>5.0501140177691424</c:v>
                </c:pt>
                <c:pt idx="28">
                  <c:v>6.5810864660474984</c:v>
                </c:pt>
                <c:pt idx="29">
                  <c:v>8.3466189103919373</c:v>
                </c:pt>
                <c:pt idx="30">
                  <c:v>11.574247992630546</c:v>
                </c:pt>
                <c:pt idx="31">
                  <c:v>14.909938653156122</c:v>
                </c:pt>
                <c:pt idx="32">
                  <c:v>16.075376510620117</c:v>
                </c:pt>
                <c:pt idx="33">
                  <c:v>16.248039103578758</c:v>
                </c:pt>
                <c:pt idx="34">
                  <c:v>16.784100178309849</c:v>
                </c:pt>
                <c:pt idx="35">
                  <c:v>17.601687349591934</c:v>
                </c:pt>
                <c:pt idx="36">
                  <c:v>18.419274520874026</c:v>
                </c:pt>
                <c:pt idx="37">
                  <c:v>19.214652352508292</c:v>
                </c:pt>
                <c:pt idx="38">
                  <c:v>19.906898925293525</c:v>
                </c:pt>
                <c:pt idx="39">
                  <c:v>20.586158029564981</c:v>
                </c:pt>
                <c:pt idx="40">
                  <c:v>21.265417133836443</c:v>
                </c:pt>
                <c:pt idx="41">
                  <c:v>21.55999644753804</c:v>
                </c:pt>
                <c:pt idx="42">
                  <c:v>21.326833238639679</c:v>
                </c:pt>
                <c:pt idx="43">
                  <c:v>21.090490857918425</c:v>
                </c:pt>
                <c:pt idx="44">
                  <c:v>20.854148477197167</c:v>
                </c:pt>
                <c:pt idx="45">
                  <c:v>20.450823184482392</c:v>
                </c:pt>
                <c:pt idx="46">
                  <c:v>19.615550359090168</c:v>
                </c:pt>
                <c:pt idx="47">
                  <c:v>18.758197148640949</c:v>
                </c:pt>
                <c:pt idx="48">
                  <c:v>17.900843938191731</c:v>
                </c:pt>
                <c:pt idx="49">
                  <c:v>17.043490727742515</c:v>
                </c:pt>
                <c:pt idx="50">
                  <c:v>16.186137517293297</c:v>
                </c:pt>
                <c:pt idx="51">
                  <c:v>15.451828021694114</c:v>
                </c:pt>
                <c:pt idx="52">
                  <c:v>15.254893117480808</c:v>
                </c:pt>
                <c:pt idx="53">
                  <c:v>15.120735618803236</c:v>
                </c:pt>
                <c:pt idx="54">
                  <c:v>14.986578120125664</c:v>
                </c:pt>
                <c:pt idx="55">
                  <c:v>14.852420621448093</c:v>
                </c:pt>
                <c:pt idx="56">
                  <c:v>14.718263122770521</c:v>
                </c:pt>
                <c:pt idx="57">
                  <c:v>14.584105624092949</c:v>
                </c:pt>
                <c:pt idx="58">
                  <c:v>14.449948125415379</c:v>
                </c:pt>
                <c:pt idx="59">
                  <c:v>14.315790626737806</c:v>
                </c:pt>
                <c:pt idx="60">
                  <c:v>14.245514879624048</c:v>
                </c:pt>
                <c:pt idx="61">
                  <c:v>14.454232904646132</c:v>
                </c:pt>
                <c:pt idx="62">
                  <c:v>14.695543660057915</c:v>
                </c:pt>
                <c:pt idx="63">
                  <c:v>14.9368544154697</c:v>
                </c:pt>
                <c:pt idx="64">
                  <c:v>15.175971531612365</c:v>
                </c:pt>
                <c:pt idx="65">
                  <c:v>15.050944529081647</c:v>
                </c:pt>
                <c:pt idx="66">
                  <c:v>14.660487174987793</c:v>
                </c:pt>
                <c:pt idx="67">
                  <c:v>14.270029820893939</c:v>
                </c:pt>
                <c:pt idx="68">
                  <c:v>14.160902725529201</c:v>
                </c:pt>
                <c:pt idx="69">
                  <c:v>14.437732844619275</c:v>
                </c:pt>
                <c:pt idx="70">
                  <c:v>14.766849205013758</c:v>
                </c:pt>
                <c:pt idx="71">
                  <c:v>16.341936662656451</c:v>
                </c:pt>
                <c:pt idx="72">
                  <c:v>18.254427520454897</c:v>
                </c:pt>
                <c:pt idx="73">
                  <c:v>18.438024248395649</c:v>
                </c:pt>
                <c:pt idx="74">
                  <c:v>18.225752694266184</c:v>
                </c:pt>
                <c:pt idx="75">
                  <c:v>18.013481140136719</c:v>
                </c:pt>
                <c:pt idx="76">
                  <c:v>17.57377600291419</c:v>
                </c:pt>
                <c:pt idx="77">
                  <c:v>16.822054545084637</c:v>
                </c:pt>
                <c:pt idx="78">
                  <c:v>16.120947067617468</c:v>
                </c:pt>
                <c:pt idx="79">
                  <c:v>15.869184778343817</c:v>
                </c:pt>
                <c:pt idx="80">
                  <c:v>15.720309938703265</c:v>
                </c:pt>
                <c:pt idx="81">
                  <c:v>15.469772265897237</c:v>
                </c:pt>
                <c:pt idx="82">
                  <c:v>14.956255528787132</c:v>
                </c:pt>
                <c:pt idx="83">
                  <c:v>14.429295772415479</c:v>
                </c:pt>
                <c:pt idx="84">
                  <c:v>13.902336016043822</c:v>
                </c:pt>
                <c:pt idx="85">
                  <c:v>13.375376259672169</c:v>
                </c:pt>
                <c:pt idx="86">
                  <c:v>12.848416503300513</c:v>
                </c:pt>
                <c:pt idx="87">
                  <c:v>12.321456746928861</c:v>
                </c:pt>
                <c:pt idx="88">
                  <c:v>11.794496990557203</c:v>
                </c:pt>
                <c:pt idx="89">
                  <c:v>11.267537234185548</c:v>
                </c:pt>
                <c:pt idx="90">
                  <c:v>10.967913220172116</c:v>
                </c:pt>
                <c:pt idx="91">
                  <c:v>10.984543238681498</c:v>
                </c:pt>
                <c:pt idx="92">
                  <c:v>11.099234738396209</c:v>
                </c:pt>
                <c:pt idx="93">
                  <c:v>11.253273695417978</c:v>
                </c:pt>
                <c:pt idx="94">
                  <c:v>11.407312652439746</c:v>
                </c:pt>
                <c:pt idx="95">
                  <c:v>11.561351609461516</c:v>
                </c:pt>
                <c:pt idx="96">
                  <c:v>11.715916512440181</c:v>
                </c:pt>
                <c:pt idx="97">
                  <c:v>11.932543038332613</c:v>
                </c:pt>
                <c:pt idx="98">
                  <c:v>12.191771186733643</c:v>
                </c:pt>
                <c:pt idx="99">
                  <c:v>12.450999335134671</c:v>
                </c:pt>
                <c:pt idx="100">
                  <c:v>12.709237347367337</c:v>
                </c:pt>
                <c:pt idx="101">
                  <c:v>12.80311275565106</c:v>
                </c:pt>
                <c:pt idx="102">
                  <c:v>12.777181687562363</c:v>
                </c:pt>
                <c:pt idx="103">
                  <c:v>12.751250619473666</c:v>
                </c:pt>
                <c:pt idx="104">
                  <c:v>12.725319551384967</c:v>
                </c:pt>
                <c:pt idx="105">
                  <c:v>12.699388483296271</c:v>
                </c:pt>
                <c:pt idx="106">
                  <c:v>12.673457415207572</c:v>
                </c:pt>
                <c:pt idx="107">
                  <c:v>12.647526347118877</c:v>
                </c:pt>
                <c:pt idx="108">
                  <c:v>12.627733418682185</c:v>
                </c:pt>
                <c:pt idx="109">
                  <c:v>12.660482965666672</c:v>
                </c:pt>
                <c:pt idx="110">
                  <c:v>12.705263266369093</c:v>
                </c:pt>
                <c:pt idx="111">
                  <c:v>12.750043567071515</c:v>
                </c:pt>
                <c:pt idx="112">
                  <c:v>12.794823867773935</c:v>
                </c:pt>
                <c:pt idx="113">
                  <c:v>12.839310175997763</c:v>
                </c:pt>
                <c:pt idx="114">
                  <c:v>12.849105371747697</c:v>
                </c:pt>
                <c:pt idx="115">
                  <c:v>12.835087176731655</c:v>
                </c:pt>
                <c:pt idx="116">
                  <c:v>12.821068981715614</c:v>
                </c:pt>
                <c:pt idx="117">
                  <c:v>12.807050786699566</c:v>
                </c:pt>
                <c:pt idx="118">
                  <c:v>12.793032591683524</c:v>
                </c:pt>
                <c:pt idx="119">
                  <c:v>12.781542419839639</c:v>
                </c:pt>
                <c:pt idx="120">
                  <c:v>12.819506701301126</c:v>
                </c:pt>
                <c:pt idx="121">
                  <c:v>12.876589158002069</c:v>
                </c:pt>
                <c:pt idx="122">
                  <c:v>12.933671614703009</c:v>
                </c:pt>
                <c:pt idx="123">
                  <c:v>12.990754071403952</c:v>
                </c:pt>
                <c:pt idx="124">
                  <c:v>13.047836528104897</c:v>
                </c:pt>
                <c:pt idx="125">
                  <c:v>13.039028450460993</c:v>
                </c:pt>
                <c:pt idx="126">
                  <c:v>12.75933706495497</c:v>
                </c:pt>
                <c:pt idx="127">
                  <c:v>12.450360997517903</c:v>
                </c:pt>
                <c:pt idx="128">
                  <c:v>12.141384930080838</c:v>
                </c:pt>
                <c:pt idx="129">
                  <c:v>11.831459747382572</c:v>
                </c:pt>
                <c:pt idx="130">
                  <c:v>11.409538963862831</c:v>
                </c:pt>
                <c:pt idx="131">
                  <c:v>10.910739844185965</c:v>
                </c:pt>
                <c:pt idx="132">
                  <c:v>10.411940724509103</c:v>
                </c:pt>
                <c:pt idx="133">
                  <c:v>9.9131416048322407</c:v>
                </c:pt>
                <c:pt idx="134">
                  <c:v>9.2731739741673405</c:v>
                </c:pt>
                <c:pt idx="135">
                  <c:v>7.5122114219287841</c:v>
                </c:pt>
                <c:pt idx="136">
                  <c:v>4.7366950318135306</c:v>
                </c:pt>
                <c:pt idx="137">
                  <c:v>5.002068748204116</c:v>
                </c:pt>
                <c:pt idx="138">
                  <c:v>4.3064607117458804</c:v>
                </c:pt>
                <c:pt idx="139">
                  <c:v>2.3956979538855099</c:v>
                </c:pt>
                <c:pt idx="140">
                  <c:v>7.8261807377679</c:v>
                </c:pt>
                <c:pt idx="141">
                  <c:v>10.409013061523439</c:v>
                </c:pt>
                <c:pt idx="142">
                  <c:v>11.815843658447266</c:v>
                </c:pt>
                <c:pt idx="143">
                  <c:v>13.985812908409544</c:v>
                </c:pt>
                <c:pt idx="144">
                  <c:v>16.507476072133699</c:v>
                </c:pt>
                <c:pt idx="145">
                  <c:v>17.397971419814212</c:v>
                </c:pt>
                <c:pt idx="146">
                  <c:v>18.055937056956086</c:v>
                </c:pt>
                <c:pt idx="147">
                  <c:v>16.723448371887208</c:v>
                </c:pt>
                <c:pt idx="148">
                  <c:v>15.911646794421333</c:v>
                </c:pt>
                <c:pt idx="149">
                  <c:v>17.486711604254587</c:v>
                </c:pt>
                <c:pt idx="150">
                  <c:v>19.170270340783254</c:v>
                </c:pt>
                <c:pt idx="151">
                  <c:v>20.18124128199759</c:v>
                </c:pt>
                <c:pt idx="152">
                  <c:v>20.376163873218353</c:v>
                </c:pt>
                <c:pt idx="153">
                  <c:v>20.569223340352377</c:v>
                </c:pt>
                <c:pt idx="154">
                  <c:v>20.762282807486404</c:v>
                </c:pt>
                <c:pt idx="155">
                  <c:v>20.955342274620421</c:v>
                </c:pt>
                <c:pt idx="156">
                  <c:v>21.148401741754437</c:v>
                </c:pt>
                <c:pt idx="157">
                  <c:v>21.341461208888461</c:v>
                </c:pt>
                <c:pt idx="158">
                  <c:v>21.534520676022485</c:v>
                </c:pt>
                <c:pt idx="159">
                  <c:v>21.727580143156505</c:v>
                </c:pt>
                <c:pt idx="160">
                  <c:v>21.920639610290529</c:v>
                </c:pt>
                <c:pt idx="161">
                  <c:v>22.081469338801501</c:v>
                </c:pt>
                <c:pt idx="162">
                  <c:v>22.004356058712663</c:v>
                </c:pt>
                <c:pt idx="163">
                  <c:v>21.8790971196931</c:v>
                </c:pt>
                <c:pt idx="164">
                  <c:v>21.753838180673533</c:v>
                </c:pt>
                <c:pt idx="165">
                  <c:v>21.62857924165397</c:v>
                </c:pt>
                <c:pt idx="166">
                  <c:v>21.503320302634403</c:v>
                </c:pt>
                <c:pt idx="167">
                  <c:v>21.37806136361484</c:v>
                </c:pt>
                <c:pt idx="168">
                  <c:v>21.25280242459527</c:v>
                </c:pt>
                <c:pt idx="169">
                  <c:v>21.127543485575707</c:v>
                </c:pt>
                <c:pt idx="170">
                  <c:v>21.002284546556144</c:v>
                </c:pt>
                <c:pt idx="171">
                  <c:v>20.877025607536584</c:v>
                </c:pt>
                <c:pt idx="172">
                  <c:v>20.751766668517014</c:v>
                </c:pt>
                <c:pt idx="173">
                  <c:v>20.626507729497447</c:v>
                </c:pt>
                <c:pt idx="174">
                  <c:v>20.501248790477884</c:v>
                </c:pt>
                <c:pt idx="175">
                  <c:v>20.375989851458321</c:v>
                </c:pt>
                <c:pt idx="176">
                  <c:v>20.250730912438755</c:v>
                </c:pt>
                <c:pt idx="177">
                  <c:v>20.125471973419188</c:v>
                </c:pt>
                <c:pt idx="178">
                  <c:v>20.000213034399625</c:v>
                </c:pt>
                <c:pt idx="179">
                  <c:v>19.874954095380062</c:v>
                </c:pt>
                <c:pt idx="180">
                  <c:v>19.749695156360495</c:v>
                </c:pt>
                <c:pt idx="181">
                  <c:v>19.624436217340929</c:v>
                </c:pt>
                <c:pt idx="182">
                  <c:v>19.499177278321365</c:v>
                </c:pt>
                <c:pt idx="183">
                  <c:v>19.373918339301799</c:v>
                </c:pt>
                <c:pt idx="184">
                  <c:v>19.248659400282236</c:v>
                </c:pt>
                <c:pt idx="185">
                  <c:v>19.123400461262669</c:v>
                </c:pt>
                <c:pt idx="186">
                  <c:v>18.998141522243106</c:v>
                </c:pt>
                <c:pt idx="187">
                  <c:v>18.872882583223539</c:v>
                </c:pt>
                <c:pt idx="188">
                  <c:v>18.747623644203976</c:v>
                </c:pt>
                <c:pt idx="189">
                  <c:v>18.62236470518441</c:v>
                </c:pt>
                <c:pt idx="190">
                  <c:v>18.502263776393498</c:v>
                </c:pt>
                <c:pt idx="191">
                  <c:v>18.420242972500557</c:v>
                </c:pt>
                <c:pt idx="192">
                  <c:v>18.34592734438128</c:v>
                </c:pt>
                <c:pt idx="193">
                  <c:v>18.271611716262008</c:v>
                </c:pt>
                <c:pt idx="194">
                  <c:v>18.197296088142732</c:v>
                </c:pt>
                <c:pt idx="195">
                  <c:v>18.122980460023459</c:v>
                </c:pt>
                <c:pt idx="196">
                  <c:v>18.048664831904183</c:v>
                </c:pt>
                <c:pt idx="197">
                  <c:v>17.974349203784911</c:v>
                </c:pt>
                <c:pt idx="198">
                  <c:v>17.900033575665635</c:v>
                </c:pt>
                <c:pt idx="199">
                  <c:v>17.825717947546359</c:v>
                </c:pt>
                <c:pt idx="200">
                  <c:v>17.751402319427086</c:v>
                </c:pt>
                <c:pt idx="201">
                  <c:v>17.67708669130781</c:v>
                </c:pt>
                <c:pt idx="202">
                  <c:v>17.602771063188534</c:v>
                </c:pt>
                <c:pt idx="203">
                  <c:v>17.528455435069262</c:v>
                </c:pt>
                <c:pt idx="204">
                  <c:v>17.454139806949989</c:v>
                </c:pt>
                <c:pt idx="205">
                  <c:v>17.379824178830713</c:v>
                </c:pt>
                <c:pt idx="206">
                  <c:v>17.305508550711433</c:v>
                </c:pt>
                <c:pt idx="207">
                  <c:v>17.231192922592165</c:v>
                </c:pt>
                <c:pt idx="208">
                  <c:v>17.156877294472888</c:v>
                </c:pt>
                <c:pt idx="209">
                  <c:v>17.082561666353612</c:v>
                </c:pt>
                <c:pt idx="210">
                  <c:v>17.00824603823434</c:v>
                </c:pt>
                <c:pt idx="211">
                  <c:v>16.933930410115067</c:v>
                </c:pt>
                <c:pt idx="212">
                  <c:v>16.859614781995788</c:v>
                </c:pt>
                <c:pt idx="213">
                  <c:v>16.785299153876515</c:v>
                </c:pt>
                <c:pt idx="214">
                  <c:v>16.710983525757243</c:v>
                </c:pt>
                <c:pt idx="215">
                  <c:v>16.636667897637967</c:v>
                </c:pt>
                <c:pt idx="216">
                  <c:v>16.562352269518691</c:v>
                </c:pt>
                <c:pt idx="217">
                  <c:v>16.488036641399418</c:v>
                </c:pt>
                <c:pt idx="218">
                  <c:v>16.413721013280142</c:v>
                </c:pt>
                <c:pt idx="219">
                  <c:v>16.339405385160866</c:v>
                </c:pt>
                <c:pt idx="220">
                  <c:v>16.265089757041594</c:v>
                </c:pt>
                <c:pt idx="221">
                  <c:v>16.190774128922321</c:v>
                </c:pt>
                <c:pt idx="222">
                  <c:v>16.116458500803045</c:v>
                </c:pt>
                <c:pt idx="223">
                  <c:v>16.042142872683769</c:v>
                </c:pt>
                <c:pt idx="224">
                  <c:v>15.967827244564496</c:v>
                </c:pt>
                <c:pt idx="225">
                  <c:v>15.89351161644522</c:v>
                </c:pt>
                <c:pt idx="226">
                  <c:v>15.819195988325946</c:v>
                </c:pt>
                <c:pt idx="227">
                  <c:v>15.744880360206672</c:v>
                </c:pt>
                <c:pt idx="228">
                  <c:v>15.677731020615772</c:v>
                </c:pt>
                <c:pt idx="229">
                  <c:v>15.626224887581609</c:v>
                </c:pt>
                <c:pt idx="230">
                  <c:v>15.575267012927389</c:v>
                </c:pt>
                <c:pt idx="231">
                  <c:v>15.524309138273169</c:v>
                </c:pt>
                <c:pt idx="232">
                  <c:v>15.47335126361895</c:v>
                </c:pt>
                <c:pt idx="233">
                  <c:v>15.42239338896473</c:v>
                </c:pt>
                <c:pt idx="234">
                  <c:v>15.371435514310511</c:v>
                </c:pt>
                <c:pt idx="235">
                  <c:v>15.320477639656291</c:v>
                </c:pt>
                <c:pt idx="236">
                  <c:v>15.269519765002071</c:v>
                </c:pt>
                <c:pt idx="237">
                  <c:v>15.218561890347852</c:v>
                </c:pt>
                <c:pt idx="238">
                  <c:v>15.167604015693632</c:v>
                </c:pt>
                <c:pt idx="239">
                  <c:v>15.116646141039412</c:v>
                </c:pt>
                <c:pt idx="240">
                  <c:v>15.065688266385193</c:v>
                </c:pt>
                <c:pt idx="241">
                  <c:v>15.014730391730973</c:v>
                </c:pt>
                <c:pt idx="242">
                  <c:v>14.963772517076753</c:v>
                </c:pt>
                <c:pt idx="243">
                  <c:v>14.912814642422534</c:v>
                </c:pt>
                <c:pt idx="244">
                  <c:v>14.861856767768314</c:v>
                </c:pt>
                <c:pt idx="245">
                  <c:v>14.810898893114095</c:v>
                </c:pt>
                <c:pt idx="246">
                  <c:v>14.759941018459875</c:v>
                </c:pt>
                <c:pt idx="247">
                  <c:v>14.708983143805655</c:v>
                </c:pt>
                <c:pt idx="248">
                  <c:v>14.658025269151436</c:v>
                </c:pt>
                <c:pt idx="249">
                  <c:v>14.607067394497216</c:v>
                </c:pt>
                <c:pt idx="250">
                  <c:v>14.556109519842996</c:v>
                </c:pt>
                <c:pt idx="251">
                  <c:v>14.505151645188777</c:v>
                </c:pt>
                <c:pt idx="252">
                  <c:v>14.454193770534557</c:v>
                </c:pt>
                <c:pt idx="253">
                  <c:v>14.403235895880337</c:v>
                </c:pt>
                <c:pt idx="254">
                  <c:v>14.352278021226118</c:v>
                </c:pt>
                <c:pt idx="255">
                  <c:v>14.301320146571898</c:v>
                </c:pt>
                <c:pt idx="256">
                  <c:v>14.250362271917679</c:v>
                </c:pt>
                <c:pt idx="257">
                  <c:v>14.199404397263459</c:v>
                </c:pt>
                <c:pt idx="258">
                  <c:v>14.148446522609239</c:v>
                </c:pt>
                <c:pt idx="259">
                  <c:v>14.09748864795502</c:v>
                </c:pt>
                <c:pt idx="260">
                  <c:v>14.0465307733008</c:v>
                </c:pt>
                <c:pt idx="261">
                  <c:v>13.99557289864658</c:v>
                </c:pt>
                <c:pt idx="262">
                  <c:v>13.944615023992361</c:v>
                </c:pt>
                <c:pt idx="263">
                  <c:v>13.893657149338141</c:v>
                </c:pt>
                <c:pt idx="264">
                  <c:v>13.842699274683921</c:v>
                </c:pt>
                <c:pt idx="265">
                  <c:v>13.791741400029702</c:v>
                </c:pt>
                <c:pt idx="266">
                  <c:v>13.740783525375482</c:v>
                </c:pt>
                <c:pt idx="267">
                  <c:v>13.690674693556376</c:v>
                </c:pt>
                <c:pt idx="268">
                  <c:v>13.687923584318021</c:v>
                </c:pt>
                <c:pt idx="269">
                  <c:v>13.712436183896079</c:v>
                </c:pt>
                <c:pt idx="270">
                  <c:v>13.736948783474135</c:v>
                </c:pt>
                <c:pt idx="271">
                  <c:v>13.761461383052191</c:v>
                </c:pt>
                <c:pt idx="272">
                  <c:v>13.785973982630249</c:v>
                </c:pt>
                <c:pt idx="273">
                  <c:v>13.810486582208306</c:v>
                </c:pt>
                <c:pt idx="274">
                  <c:v>13.834999181786362</c:v>
                </c:pt>
                <c:pt idx="275">
                  <c:v>13.85951178136442</c:v>
                </c:pt>
                <c:pt idx="276">
                  <c:v>13.884024380942476</c:v>
                </c:pt>
                <c:pt idx="277">
                  <c:v>13.908536980520532</c:v>
                </c:pt>
                <c:pt idx="278">
                  <c:v>13.933049580098588</c:v>
                </c:pt>
                <c:pt idx="279">
                  <c:v>13.957562179676646</c:v>
                </c:pt>
                <c:pt idx="280">
                  <c:v>13.982074779254702</c:v>
                </c:pt>
                <c:pt idx="281">
                  <c:v>14.006587378832759</c:v>
                </c:pt>
                <c:pt idx="282">
                  <c:v>14.031099978410815</c:v>
                </c:pt>
                <c:pt idx="283">
                  <c:v>14.055612577988871</c:v>
                </c:pt>
                <c:pt idx="284">
                  <c:v>14.080125177566929</c:v>
                </c:pt>
                <c:pt idx="285">
                  <c:v>14.075801123573815</c:v>
                </c:pt>
                <c:pt idx="286">
                  <c:v>14.042640416009531</c:v>
                </c:pt>
                <c:pt idx="287">
                  <c:v>14.009479708445248</c:v>
                </c:pt>
                <c:pt idx="288">
                  <c:v>13.976319000880965</c:v>
                </c:pt>
                <c:pt idx="289">
                  <c:v>13.943158293316682</c:v>
                </c:pt>
                <c:pt idx="290">
                  <c:v>13.909997585752397</c:v>
                </c:pt>
                <c:pt idx="291">
                  <c:v>13.876836878188112</c:v>
                </c:pt>
                <c:pt idx="292">
                  <c:v>13.84367617062383</c:v>
                </c:pt>
                <c:pt idx="293">
                  <c:v>13.810515463059545</c:v>
                </c:pt>
                <c:pt idx="294">
                  <c:v>13.777354755495262</c:v>
                </c:pt>
                <c:pt idx="295">
                  <c:v>13.750586973961317</c:v>
                </c:pt>
                <c:pt idx="296">
                  <c:v>13.736274880877996</c:v>
                </c:pt>
                <c:pt idx="297">
                  <c:v>13.72228496357546</c:v>
                </c:pt>
                <c:pt idx="298">
                  <c:v>13.708295046272925</c:v>
                </c:pt>
                <c:pt idx="299">
                  <c:v>13.694305128970388</c:v>
                </c:pt>
                <c:pt idx="300">
                  <c:v>13.680315211667853</c:v>
                </c:pt>
                <c:pt idx="301">
                  <c:v>13.666325294365318</c:v>
                </c:pt>
                <c:pt idx="302">
                  <c:v>13.652335377062782</c:v>
                </c:pt>
                <c:pt idx="303">
                  <c:v>13.638345459760245</c:v>
                </c:pt>
                <c:pt idx="304">
                  <c:v>13.62435554245771</c:v>
                </c:pt>
                <c:pt idx="305">
                  <c:v>13.610365625155174</c:v>
                </c:pt>
                <c:pt idx="306">
                  <c:v>13.637438222132307</c:v>
                </c:pt>
                <c:pt idx="307">
                  <c:v>13.705573333389108</c:v>
                </c:pt>
                <c:pt idx="308">
                  <c:v>13.773708444645907</c:v>
                </c:pt>
                <c:pt idx="309">
                  <c:v>13.841843555902706</c:v>
                </c:pt>
                <c:pt idx="310">
                  <c:v>13.909978667159505</c:v>
                </c:pt>
                <c:pt idx="311">
                  <c:v>13.978113778416308</c:v>
                </c:pt>
                <c:pt idx="312">
                  <c:v>14.046248889673109</c:v>
                </c:pt>
                <c:pt idx="313">
                  <c:v>14.114384000929908</c:v>
                </c:pt>
                <c:pt idx="314">
                  <c:v>14.182519112186709</c:v>
                </c:pt>
                <c:pt idx="315">
                  <c:v>14.250654223443508</c:v>
                </c:pt>
                <c:pt idx="316">
                  <c:v>14.318789334700309</c:v>
                </c:pt>
                <c:pt idx="317">
                  <c:v>14.38692444595711</c:v>
                </c:pt>
                <c:pt idx="318">
                  <c:v>14.455059557213911</c:v>
                </c:pt>
                <c:pt idx="319">
                  <c:v>14.52319466847071</c:v>
                </c:pt>
                <c:pt idx="320">
                  <c:v>14.591329779727509</c:v>
                </c:pt>
                <c:pt idx="321">
                  <c:v>14.65946489098431</c:v>
                </c:pt>
                <c:pt idx="322">
                  <c:v>14.727600002241111</c:v>
                </c:pt>
                <c:pt idx="323">
                  <c:v>14.79573511349791</c:v>
                </c:pt>
                <c:pt idx="324">
                  <c:v>14.863870224754711</c:v>
                </c:pt>
                <c:pt idx="325">
                  <c:v>14.932005336011512</c:v>
                </c:pt>
                <c:pt idx="326">
                  <c:v>15.000140447268311</c:v>
                </c:pt>
                <c:pt idx="327">
                  <c:v>15.068275558525112</c:v>
                </c:pt>
                <c:pt idx="328">
                  <c:v>15.136410669781913</c:v>
                </c:pt>
                <c:pt idx="329">
                  <c:v>15.204545781038712</c:v>
                </c:pt>
                <c:pt idx="330">
                  <c:v>15.272680892295513</c:v>
                </c:pt>
                <c:pt idx="331">
                  <c:v>15.340816003552312</c:v>
                </c:pt>
                <c:pt idx="332">
                  <c:v>15.408951114809115</c:v>
                </c:pt>
                <c:pt idx="333">
                  <c:v>15.477086226065914</c:v>
                </c:pt>
                <c:pt idx="334">
                  <c:v>15.545221337322715</c:v>
                </c:pt>
                <c:pt idx="335">
                  <c:v>15.613356448579514</c:v>
                </c:pt>
                <c:pt idx="336">
                  <c:v>15.681491559836314</c:v>
                </c:pt>
                <c:pt idx="337">
                  <c:v>15.749626671093115</c:v>
                </c:pt>
                <c:pt idx="338">
                  <c:v>15.817761782349915</c:v>
                </c:pt>
                <c:pt idx="339">
                  <c:v>15.902377440472792</c:v>
                </c:pt>
                <c:pt idx="340">
                  <c:v>16.037562200758192</c:v>
                </c:pt>
                <c:pt idx="341">
                  <c:v>16.176286209954156</c:v>
                </c:pt>
                <c:pt idx="342">
                  <c:v>16.315010219150118</c:v>
                </c:pt>
                <c:pt idx="343">
                  <c:v>16.445885301135661</c:v>
                </c:pt>
                <c:pt idx="344">
                  <c:v>16.273311775762917</c:v>
                </c:pt>
                <c:pt idx="345">
                  <c:v>15.944992182355275</c:v>
                </c:pt>
                <c:pt idx="346">
                  <c:v>15.616672588947633</c:v>
                </c:pt>
                <c:pt idx="347">
                  <c:v>15.288352995539991</c:v>
                </c:pt>
                <c:pt idx="348">
                  <c:v>15.05030504234295</c:v>
                </c:pt>
                <c:pt idx="349">
                  <c:v>14.978356907133422</c:v>
                </c:pt>
                <c:pt idx="350">
                  <c:v>14.910019637532317</c:v>
                </c:pt>
                <c:pt idx="351">
                  <c:v>14.841682367931211</c:v>
                </c:pt>
                <c:pt idx="352">
                  <c:v>14.773345098330106</c:v>
                </c:pt>
                <c:pt idx="353">
                  <c:v>14.705007828729002</c:v>
                </c:pt>
                <c:pt idx="354">
                  <c:v>14.636670559127896</c:v>
                </c:pt>
                <c:pt idx="355">
                  <c:v>14.568333289526793</c:v>
                </c:pt>
                <c:pt idx="356">
                  <c:v>14.499996019925685</c:v>
                </c:pt>
                <c:pt idx="357">
                  <c:v>14.43165875032458</c:v>
                </c:pt>
                <c:pt idx="358">
                  <c:v>14.363321480723474</c:v>
                </c:pt>
                <c:pt idx="359">
                  <c:v>14.294984211122369</c:v>
                </c:pt>
                <c:pt idx="360">
                  <c:v>14.226646941521263</c:v>
                </c:pt>
                <c:pt idx="361">
                  <c:v>14.15830967192016</c:v>
                </c:pt>
                <c:pt idx="362">
                  <c:v>14.089972402319054</c:v>
                </c:pt>
                <c:pt idx="363">
                  <c:v>14.021635132717948</c:v>
                </c:pt>
                <c:pt idx="364">
                  <c:v>13.953297863116843</c:v>
                </c:pt>
                <c:pt idx="365">
                  <c:v>13.891137327023936</c:v>
                </c:pt>
                <c:pt idx="366">
                  <c:v>13.86150115331014</c:v>
                </c:pt>
                <c:pt idx="367">
                  <c:v>13.836594041188558</c:v>
                </c:pt>
                <c:pt idx="368">
                  <c:v>13.811686929066976</c:v>
                </c:pt>
                <c:pt idx="369">
                  <c:v>13.786779816945394</c:v>
                </c:pt>
                <c:pt idx="370">
                  <c:v>13.761872704823812</c:v>
                </c:pt>
                <c:pt idx="371">
                  <c:v>13.73696559270223</c:v>
                </c:pt>
                <c:pt idx="372">
                  <c:v>13.712058480580648</c:v>
                </c:pt>
                <c:pt idx="373">
                  <c:v>13.687151368459066</c:v>
                </c:pt>
                <c:pt idx="374">
                  <c:v>13.662244256337484</c:v>
                </c:pt>
                <c:pt idx="375">
                  <c:v>13.637337144215902</c:v>
                </c:pt>
                <c:pt idx="376">
                  <c:v>13.61243003209432</c:v>
                </c:pt>
                <c:pt idx="377">
                  <c:v>13.587522919972738</c:v>
                </c:pt>
                <c:pt idx="378">
                  <c:v>13.562615807851156</c:v>
                </c:pt>
                <c:pt idx="379">
                  <c:v>13.537708695729574</c:v>
                </c:pt>
                <c:pt idx="380">
                  <c:v>13.512801583607992</c:v>
                </c:pt>
                <c:pt idx="381">
                  <c:v>13.48789447148641</c:v>
                </c:pt>
                <c:pt idx="382">
                  <c:v>13.462987359364828</c:v>
                </c:pt>
                <c:pt idx="383">
                  <c:v>13.438080247243246</c:v>
                </c:pt>
                <c:pt idx="384">
                  <c:v>13.413173135121664</c:v>
                </c:pt>
                <c:pt idx="385">
                  <c:v>13.388266023000082</c:v>
                </c:pt>
                <c:pt idx="386">
                  <c:v>13.372436579582507</c:v>
                </c:pt>
                <c:pt idx="387">
                  <c:v>13.40440673543446</c:v>
                </c:pt>
                <c:pt idx="388">
                  <c:v>13.443326981387921</c:v>
                </c:pt>
                <c:pt idx="389">
                  <c:v>13.482247227341382</c:v>
                </c:pt>
                <c:pt idx="390">
                  <c:v>13.521167473294842</c:v>
                </c:pt>
                <c:pt idx="391">
                  <c:v>13.560087719248299</c:v>
                </c:pt>
                <c:pt idx="392">
                  <c:v>13.599007965201762</c:v>
                </c:pt>
                <c:pt idx="393">
                  <c:v>13.637928211155224</c:v>
                </c:pt>
                <c:pt idx="394">
                  <c:v>13.676848457108683</c:v>
                </c:pt>
                <c:pt idx="395">
                  <c:v>13.715768703062142</c:v>
                </c:pt>
                <c:pt idx="396">
                  <c:v>13.754688949015604</c:v>
                </c:pt>
                <c:pt idx="397">
                  <c:v>13.774704227589849</c:v>
                </c:pt>
                <c:pt idx="398">
                  <c:v>13.588795977190506</c:v>
                </c:pt>
                <c:pt idx="399">
                  <c:v>13.261093346520886</c:v>
                </c:pt>
                <c:pt idx="400">
                  <c:v>11.919143390655517</c:v>
                </c:pt>
                <c:pt idx="401">
                  <c:v>10.282678318023681</c:v>
                </c:pt>
                <c:pt idx="402">
                  <c:v>9.3488693280220048</c:v>
                </c:pt>
                <c:pt idx="403">
                  <c:v>9.6355909729003919</c:v>
                </c:pt>
                <c:pt idx="404">
                  <c:v>9.9223442952535983</c:v>
                </c:pt>
                <c:pt idx="405">
                  <c:v>9.9495690198448621</c:v>
                </c:pt>
                <c:pt idx="406">
                  <c:v>9.9014323474915038</c:v>
                </c:pt>
                <c:pt idx="407">
                  <c:v>9.8532956751381491</c:v>
                </c:pt>
                <c:pt idx="408">
                  <c:v>9.8051590027847908</c:v>
                </c:pt>
                <c:pt idx="409">
                  <c:v>9.7570223304314343</c:v>
                </c:pt>
                <c:pt idx="410">
                  <c:v>9.7190529785945685</c:v>
                </c:pt>
                <c:pt idx="411">
                  <c:v>10.016605203801936</c:v>
                </c:pt>
                <c:pt idx="412">
                  <c:v>10.476834557273172</c:v>
                </c:pt>
                <c:pt idx="413">
                  <c:v>10.937063910744406</c:v>
                </c:pt>
                <c:pt idx="414">
                  <c:v>11.397293264215644</c:v>
                </c:pt>
                <c:pt idx="415">
                  <c:v>11.857522617686879</c:v>
                </c:pt>
                <c:pt idx="416">
                  <c:v>12.317751971158113</c:v>
                </c:pt>
                <c:pt idx="417">
                  <c:v>12.77798132462935</c:v>
                </c:pt>
                <c:pt idx="418">
                  <c:v>13.300046821309278</c:v>
                </c:pt>
                <c:pt idx="419">
                  <c:v>13.923465049757301</c:v>
                </c:pt>
                <c:pt idx="420">
                  <c:v>14.548346855559373</c:v>
                </c:pt>
                <c:pt idx="421">
                  <c:v>15.173228661361447</c:v>
                </c:pt>
                <c:pt idx="422">
                  <c:v>15.798110467163522</c:v>
                </c:pt>
                <c:pt idx="423">
                  <c:v>16.422992272965594</c:v>
                </c:pt>
                <c:pt idx="424">
                  <c:v>17.04787407876767</c:v>
                </c:pt>
                <c:pt idx="425">
                  <c:v>17.672755884569746</c:v>
                </c:pt>
                <c:pt idx="426">
                  <c:v>18.297637690371818</c:v>
                </c:pt>
                <c:pt idx="427">
                  <c:v>18.754903227199595</c:v>
                </c:pt>
                <c:pt idx="428">
                  <c:v>18.383784228104812</c:v>
                </c:pt>
                <c:pt idx="429">
                  <c:v>17.900459296886734</c:v>
                </c:pt>
                <c:pt idx="430">
                  <c:v>17.417134365668666</c:v>
                </c:pt>
                <c:pt idx="431">
                  <c:v>16.933809434450588</c:v>
                </c:pt>
                <c:pt idx="432">
                  <c:v>16.450484503232516</c:v>
                </c:pt>
                <c:pt idx="433">
                  <c:v>15.967159572014442</c:v>
                </c:pt>
                <c:pt idx="434">
                  <c:v>15.483834640796367</c:v>
                </c:pt>
                <c:pt idx="435">
                  <c:v>15.000509709578294</c:v>
                </c:pt>
                <c:pt idx="436">
                  <c:v>14.517184778360219</c:v>
                </c:pt>
                <c:pt idx="437">
                  <c:v>14.033859847142146</c:v>
                </c:pt>
                <c:pt idx="438">
                  <c:v>13.550534915924072</c:v>
                </c:pt>
                <c:pt idx="439">
                  <c:v>13.067209984705999</c:v>
                </c:pt>
                <c:pt idx="440">
                  <c:v>13.849301080428637</c:v>
                </c:pt>
                <c:pt idx="441">
                  <c:v>16.000861612558364</c:v>
                </c:pt>
                <c:pt idx="442">
                  <c:v>11.924647686465475</c:v>
                </c:pt>
                <c:pt idx="443">
                  <c:v>10.841204553642529</c:v>
                </c:pt>
                <c:pt idx="444">
                  <c:v>10.249852877598876</c:v>
                </c:pt>
                <c:pt idx="445">
                  <c:v>9.842570254330262</c:v>
                </c:pt>
                <c:pt idx="446">
                  <c:v>9.5196112597592961</c:v>
                </c:pt>
                <c:pt idx="447">
                  <c:v>9.196652265188332</c:v>
                </c:pt>
                <c:pt idx="448">
                  <c:v>8.8736932706173661</c:v>
                </c:pt>
                <c:pt idx="449">
                  <c:v>8.550734276046402</c:v>
                </c:pt>
                <c:pt idx="450">
                  <c:v>8.2277752814754361</c:v>
                </c:pt>
                <c:pt idx="451">
                  <c:v>7.9048162869044711</c:v>
                </c:pt>
                <c:pt idx="452">
                  <c:v>7.5818572923335061</c:v>
                </c:pt>
                <c:pt idx="453">
                  <c:v>7.2588982977625411</c:v>
                </c:pt>
                <c:pt idx="454">
                  <c:v>6.9359393031915761</c:v>
                </c:pt>
                <c:pt idx="455">
                  <c:v>6.7681039698750061</c:v>
                </c:pt>
                <c:pt idx="456">
                  <c:v>8.2899627318749065</c:v>
                </c:pt>
                <c:pt idx="457">
                  <c:v>10.274628450179241</c:v>
                </c:pt>
                <c:pt idx="458">
                  <c:v>12.648692353108277</c:v>
                </c:pt>
                <c:pt idx="459">
                  <c:v>14.730356680817572</c:v>
                </c:pt>
                <c:pt idx="460">
                  <c:v>14.976897166325497</c:v>
                </c:pt>
                <c:pt idx="461">
                  <c:v>15.292996557920405</c:v>
                </c:pt>
                <c:pt idx="462">
                  <c:v>14.451597192764281</c:v>
                </c:pt>
                <c:pt idx="463">
                  <c:v>18.490582367300988</c:v>
                </c:pt>
                <c:pt idx="464">
                  <c:v>19.244009750500414</c:v>
                </c:pt>
                <c:pt idx="465">
                  <c:v>19.537103365052424</c:v>
                </c:pt>
                <c:pt idx="466">
                  <c:v>19.925220021661723</c:v>
                </c:pt>
                <c:pt idx="467">
                  <c:v>20.237809903959057</c:v>
                </c:pt>
                <c:pt idx="468">
                  <c:v>20.199683761596681</c:v>
                </c:pt>
                <c:pt idx="469">
                  <c:v>20.117391443252565</c:v>
                </c:pt>
                <c:pt idx="470">
                  <c:v>19.011487909005236</c:v>
                </c:pt>
                <c:pt idx="471">
                  <c:v>16.414397665170522</c:v>
                </c:pt>
                <c:pt idx="472">
                  <c:v>13.303078991180813</c:v>
                </c:pt>
                <c:pt idx="473">
                  <c:v>8.9021796048482251</c:v>
                </c:pt>
                <c:pt idx="474">
                  <c:v>6.0450198930104584</c:v>
                </c:pt>
                <c:pt idx="475">
                  <c:v>5.7107395392704783</c:v>
                </c:pt>
                <c:pt idx="476">
                  <c:v>8.1829393932694341</c:v>
                </c:pt>
                <c:pt idx="477">
                  <c:v>9.1139672705011616</c:v>
                </c:pt>
                <c:pt idx="478">
                  <c:v>8.2389957189559944</c:v>
                </c:pt>
                <c:pt idx="479">
                  <c:v>5.9855518065558551</c:v>
                </c:pt>
                <c:pt idx="480">
                  <c:v>3.556497882621156</c:v>
                </c:pt>
                <c:pt idx="481">
                  <c:v>0.89946325915124692</c:v>
                </c:pt>
                <c:pt idx="482">
                  <c:v>-6.0415977716445919E-2</c:v>
                </c:pt>
                <c:pt idx="483">
                  <c:v>-4.5144640088081361E-2</c:v>
                </c:pt>
                <c:pt idx="484">
                  <c:v>-2.98733024597168E-2</c:v>
                </c:pt>
                <c:pt idx="485">
                  <c:v>-1.4601964831352239E-2</c:v>
                </c:pt>
                <c:pt idx="486">
                  <c:v>6.693727970123256E-4</c:v>
                </c:pt>
                <c:pt idx="487">
                  <c:v>1.594071042537689E-2</c:v>
                </c:pt>
                <c:pt idx="488">
                  <c:v>3.1212048053741455E-2</c:v>
                </c:pt>
                <c:pt idx="489">
                  <c:v>4.648338568210602E-2</c:v>
                </c:pt>
                <c:pt idx="490">
                  <c:v>6.1754723310470584E-2</c:v>
                </c:pt>
                <c:pt idx="491">
                  <c:v>7.7026060938835142E-2</c:v>
                </c:pt>
                <c:pt idx="492">
                  <c:v>9.2297398567199707E-2</c:v>
                </c:pt>
                <c:pt idx="493">
                  <c:v>0.10756873619556427</c:v>
                </c:pt>
                <c:pt idx="494">
                  <c:v>0.99251376870373886</c:v>
                </c:pt>
                <c:pt idx="495">
                  <c:v>0.65516995912470388</c:v>
                </c:pt>
                <c:pt idx="496">
                  <c:v>0.16090418878248183</c:v>
                </c:pt>
                <c:pt idx="497">
                  <c:v>0.19334940890134389</c:v>
                </c:pt>
                <c:pt idx="498">
                  <c:v>0.225794629020206</c:v>
                </c:pt>
                <c:pt idx="499">
                  <c:v>0.25823984913906806</c:v>
                </c:pt>
                <c:pt idx="500">
                  <c:v>0.29068506925793014</c:v>
                </c:pt>
                <c:pt idx="501">
                  <c:v>0.32313028937679228</c:v>
                </c:pt>
                <c:pt idx="502">
                  <c:v>0.35557550949565431</c:v>
                </c:pt>
                <c:pt idx="503">
                  <c:v>0.38802072961451639</c:v>
                </c:pt>
                <c:pt idx="504">
                  <c:v>0.42046594973337853</c:v>
                </c:pt>
                <c:pt idx="505">
                  <c:v>0.45291116985224061</c:v>
                </c:pt>
                <c:pt idx="506">
                  <c:v>0.48535638997110275</c:v>
                </c:pt>
                <c:pt idx="507">
                  <c:v>0.51780161008996484</c:v>
                </c:pt>
                <c:pt idx="508">
                  <c:v>0.55024683020882692</c:v>
                </c:pt>
                <c:pt idx="509">
                  <c:v>0.582692050327689</c:v>
                </c:pt>
                <c:pt idx="510">
                  <c:v>0.61513727044655098</c:v>
                </c:pt>
                <c:pt idx="511">
                  <c:v>0.64758249056541317</c:v>
                </c:pt>
                <c:pt idx="512">
                  <c:v>0.68002771068427526</c:v>
                </c:pt>
                <c:pt idx="513">
                  <c:v>0.71247293080313734</c:v>
                </c:pt>
                <c:pt idx="514">
                  <c:v>0.74491815092199942</c:v>
                </c:pt>
                <c:pt idx="515">
                  <c:v>2.9001065859018849</c:v>
                </c:pt>
                <c:pt idx="516">
                  <c:v>4.7481719801657176</c:v>
                </c:pt>
                <c:pt idx="517">
                  <c:v>4.9828552817022516</c:v>
                </c:pt>
                <c:pt idx="518">
                  <c:v>5.2175385832387864</c:v>
                </c:pt>
                <c:pt idx="519">
                  <c:v>5.4522218847753212</c:v>
                </c:pt>
                <c:pt idx="520">
                  <c:v>5.6763344716074799</c:v>
                </c:pt>
                <c:pt idx="521">
                  <c:v>5.6368263774447964</c:v>
                </c:pt>
                <c:pt idx="522">
                  <c:v>5.0213144002137371</c:v>
                </c:pt>
                <c:pt idx="523">
                  <c:v>3.0987973522643251</c:v>
                </c:pt>
                <c:pt idx="524">
                  <c:v>2.5676424929665194</c:v>
                </c:pt>
                <c:pt idx="525">
                  <c:v>2.7291038650363117</c:v>
                </c:pt>
                <c:pt idx="526">
                  <c:v>2.2306593905134897</c:v>
                </c:pt>
                <c:pt idx="527">
                  <c:v>1.464944848927056</c:v>
                </c:pt>
                <c:pt idx="528">
                  <c:v>1.3382280117400536</c:v>
                </c:pt>
                <c:pt idx="529">
                  <c:v>2.422149020277204</c:v>
                </c:pt>
                <c:pt idx="530">
                  <c:v>1.8911560910721825</c:v>
                </c:pt>
                <c:pt idx="531">
                  <c:v>3.6588502279057025</c:v>
                </c:pt>
                <c:pt idx="532">
                  <c:v>2.7083242843291946</c:v>
                </c:pt>
                <c:pt idx="533">
                  <c:v>2.2178755990333032</c:v>
                </c:pt>
                <c:pt idx="534">
                  <c:v>1.8425083210484847</c:v>
                </c:pt>
                <c:pt idx="535">
                  <c:v>1.1126744610272228</c:v>
                </c:pt>
                <c:pt idx="536">
                  <c:v>1.1274317720780536</c:v>
                </c:pt>
                <c:pt idx="537">
                  <c:v>0.81849201731752652</c:v>
                </c:pt>
                <c:pt idx="538">
                  <c:v>0.24371166009554229</c:v>
                </c:pt>
                <c:pt idx="539">
                  <c:v>0.23799089933059131</c:v>
                </c:pt>
                <c:pt idx="540">
                  <c:v>0.23709267751866603</c:v>
                </c:pt>
                <c:pt idx="541">
                  <c:v>0.23619445570674075</c:v>
                </c:pt>
                <c:pt idx="542">
                  <c:v>0.23529623389481547</c:v>
                </c:pt>
                <c:pt idx="543">
                  <c:v>0.23439801208289021</c:v>
                </c:pt>
                <c:pt idx="544">
                  <c:v>0.23349979027096493</c:v>
                </c:pt>
                <c:pt idx="545">
                  <c:v>0.23260156845903968</c:v>
                </c:pt>
                <c:pt idx="546">
                  <c:v>0.23170334664711439</c:v>
                </c:pt>
                <c:pt idx="547">
                  <c:v>0.23080512483518911</c:v>
                </c:pt>
                <c:pt idx="548">
                  <c:v>0.22990690302326383</c:v>
                </c:pt>
                <c:pt idx="549">
                  <c:v>0.22900868121133858</c:v>
                </c:pt>
                <c:pt idx="550">
                  <c:v>0.2281104593994133</c:v>
                </c:pt>
                <c:pt idx="551">
                  <c:v>0.22721223758748804</c:v>
                </c:pt>
                <c:pt idx="552">
                  <c:v>0.22631401577556279</c:v>
                </c:pt>
                <c:pt idx="553">
                  <c:v>0.22541579396363748</c:v>
                </c:pt>
                <c:pt idx="554">
                  <c:v>0.2245175721517122</c:v>
                </c:pt>
                <c:pt idx="555">
                  <c:v>0.22361935033978694</c:v>
                </c:pt>
                <c:pt idx="556">
                  <c:v>0.22272112852786166</c:v>
                </c:pt>
                <c:pt idx="557">
                  <c:v>0.22182290671593641</c:v>
                </c:pt>
                <c:pt idx="558">
                  <c:v>0.22092468490401113</c:v>
                </c:pt>
                <c:pt idx="559">
                  <c:v>0.22002646309208584</c:v>
                </c:pt>
                <c:pt idx="560">
                  <c:v>0.21912824128016056</c:v>
                </c:pt>
                <c:pt idx="561">
                  <c:v>0.21823001946823531</c:v>
                </c:pt>
                <c:pt idx="562">
                  <c:v>0.21733179765631003</c:v>
                </c:pt>
                <c:pt idx="563">
                  <c:v>0.21643357584438477</c:v>
                </c:pt>
                <c:pt idx="564">
                  <c:v>0.21553535403245949</c:v>
                </c:pt>
                <c:pt idx="565">
                  <c:v>0.21463713222053421</c:v>
                </c:pt>
                <c:pt idx="566">
                  <c:v>0.2137389104086089</c:v>
                </c:pt>
                <c:pt idx="567">
                  <c:v>0.21284068859668367</c:v>
                </c:pt>
                <c:pt idx="568">
                  <c:v>0.21194246678475839</c:v>
                </c:pt>
                <c:pt idx="569">
                  <c:v>0.21104424497283311</c:v>
                </c:pt>
                <c:pt idx="570">
                  <c:v>0.21014602316090786</c:v>
                </c:pt>
                <c:pt idx="571">
                  <c:v>0.20924780134898258</c:v>
                </c:pt>
                <c:pt idx="572">
                  <c:v>0.20834957953705729</c:v>
                </c:pt>
                <c:pt idx="573">
                  <c:v>0.20745135772513204</c:v>
                </c:pt>
                <c:pt idx="574">
                  <c:v>0.20655313591320676</c:v>
                </c:pt>
                <c:pt idx="575">
                  <c:v>0.20565491410128148</c:v>
                </c:pt>
                <c:pt idx="576">
                  <c:v>0.20475669228935622</c:v>
                </c:pt>
                <c:pt idx="577">
                  <c:v>0.20385847047743094</c:v>
                </c:pt>
                <c:pt idx="578">
                  <c:v>0.20296024866550566</c:v>
                </c:pt>
                <c:pt idx="579">
                  <c:v>0.20206202685358041</c:v>
                </c:pt>
                <c:pt idx="580">
                  <c:v>0.20116380504165512</c:v>
                </c:pt>
                <c:pt idx="581">
                  <c:v>0.20026558322972984</c:v>
                </c:pt>
                <c:pt idx="582">
                  <c:v>0.19936736141780459</c:v>
                </c:pt>
                <c:pt idx="583">
                  <c:v>0.19846913960587934</c:v>
                </c:pt>
                <c:pt idx="584">
                  <c:v>0.19757091779395403</c:v>
                </c:pt>
                <c:pt idx="585">
                  <c:v>0.19667269598202877</c:v>
                </c:pt>
                <c:pt idx="586">
                  <c:v>0.19577447417010349</c:v>
                </c:pt>
                <c:pt idx="587">
                  <c:v>0.19487625235817821</c:v>
                </c:pt>
                <c:pt idx="588">
                  <c:v>0.19397803054625296</c:v>
                </c:pt>
                <c:pt idx="589">
                  <c:v>0.19307980873432767</c:v>
                </c:pt>
                <c:pt idx="590">
                  <c:v>0.19218158692240239</c:v>
                </c:pt>
                <c:pt idx="591">
                  <c:v>0.19128336511047714</c:v>
                </c:pt>
                <c:pt idx="592">
                  <c:v>0.19038514329855186</c:v>
                </c:pt>
                <c:pt idx="593">
                  <c:v>0.18948692148662657</c:v>
                </c:pt>
                <c:pt idx="594">
                  <c:v>0.18858869967470132</c:v>
                </c:pt>
                <c:pt idx="595">
                  <c:v>0.18769047786277604</c:v>
                </c:pt>
                <c:pt idx="596">
                  <c:v>0.18679225605085076</c:v>
                </c:pt>
                <c:pt idx="597">
                  <c:v>0.1858940342389255</c:v>
                </c:pt>
                <c:pt idx="598">
                  <c:v>0.18499581242700022</c:v>
                </c:pt>
                <c:pt idx="599">
                  <c:v>0.18409759061507494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716-448D-9287-61CF41585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95136"/>
        <c:axId val="420792960"/>
      </c:scatterChart>
      <c:valAx>
        <c:axId val="420788864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791040"/>
        <c:crosses val="autoZero"/>
        <c:crossBetween val="midCat"/>
      </c:valAx>
      <c:valAx>
        <c:axId val="420791040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788864"/>
        <c:crosses val="autoZero"/>
        <c:crossBetween val="midCat"/>
      </c:valAx>
      <c:valAx>
        <c:axId val="420792960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795136"/>
        <c:crosses val="max"/>
        <c:crossBetween val="midCat"/>
      </c:valAx>
      <c:valAx>
        <c:axId val="42079513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20792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lineMarker"/>
        <c:varyColors val="0"/>
        <c:ser>
          <c:idx val="5"/>
          <c:order val="0"/>
          <c:tx>
            <c:strRef>
              <c:f>'REVAP Mesmos Parametros'!$D$32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'REVAP Mesmos Parametros'!$A$33:$A$133</c:f>
              <c:numCache>
                <c:formatCode>0</c:formatCode>
                <c:ptCount val="10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</c:numCache>
            </c:numRef>
          </c:xVal>
          <c:yVal>
            <c:numRef>
              <c:f>'REVAP Mesmos Parametros'!$D$33:$D$133</c:f>
              <c:numCache>
                <c:formatCode>0</c:formatCode>
                <c:ptCount val="101"/>
                <c:pt idx="0">
                  <c:v>370.1</c:v>
                </c:pt>
                <c:pt idx="1">
                  <c:v>369.81200000000001</c:v>
                </c:pt>
                <c:pt idx="2">
                  <c:v>369.60300000000001</c:v>
                </c:pt>
                <c:pt idx="3">
                  <c:v>369.41399999999999</c:v>
                </c:pt>
                <c:pt idx="4">
                  <c:v>369.25799999999998</c:v>
                </c:pt>
                <c:pt idx="5">
                  <c:v>369.1</c:v>
                </c:pt>
                <c:pt idx="6">
                  <c:v>368.95400000000001</c:v>
                </c:pt>
                <c:pt idx="7">
                  <c:v>368.80500000000001</c:v>
                </c:pt>
                <c:pt idx="8">
                  <c:v>368.66</c:v>
                </c:pt>
                <c:pt idx="9">
                  <c:v>368.51499999999999</c:v>
                </c:pt>
                <c:pt idx="10">
                  <c:v>368.37</c:v>
                </c:pt>
                <c:pt idx="11">
                  <c:v>368.22500000000002</c:v>
                </c:pt>
                <c:pt idx="12">
                  <c:v>368.07900000000001</c:v>
                </c:pt>
                <c:pt idx="13">
                  <c:v>367.935</c:v>
                </c:pt>
                <c:pt idx="14">
                  <c:v>367.78899999999999</c:v>
                </c:pt>
                <c:pt idx="15">
                  <c:v>367.654</c:v>
                </c:pt>
                <c:pt idx="16">
                  <c:v>367.346</c:v>
                </c:pt>
                <c:pt idx="17">
                  <c:v>367.00900000000001</c:v>
                </c:pt>
                <c:pt idx="18">
                  <c:v>366.66399999999999</c:v>
                </c:pt>
                <c:pt idx="19">
                  <c:v>366.31599999999997</c:v>
                </c:pt>
                <c:pt idx="20">
                  <c:v>365.96300000000002</c:v>
                </c:pt>
                <c:pt idx="21">
                  <c:v>365.60899999999998</c:v>
                </c:pt>
                <c:pt idx="22">
                  <c:v>365.26</c:v>
                </c:pt>
                <c:pt idx="23">
                  <c:v>364.90600000000001</c:v>
                </c:pt>
                <c:pt idx="24">
                  <c:v>364.50200000000001</c:v>
                </c:pt>
                <c:pt idx="25">
                  <c:v>364.065</c:v>
                </c:pt>
                <c:pt idx="26">
                  <c:v>363.72399999999999</c:v>
                </c:pt>
                <c:pt idx="27">
                  <c:v>363.38600000000002</c:v>
                </c:pt>
                <c:pt idx="28">
                  <c:v>363.38600000000002</c:v>
                </c:pt>
                <c:pt idx="29">
                  <c:v>361.68799999999999</c:v>
                </c:pt>
                <c:pt idx="30">
                  <c:v>346.52600000000001</c:v>
                </c:pt>
                <c:pt idx="31">
                  <c:v>331.74400000000003</c:v>
                </c:pt>
                <c:pt idx="32">
                  <c:v>325.47300000000001</c:v>
                </c:pt>
                <c:pt idx="33">
                  <c:v>320.22899999999998</c:v>
                </c:pt>
                <c:pt idx="34">
                  <c:v>313.19499999999999</c:v>
                </c:pt>
                <c:pt idx="35">
                  <c:v>312.50900000000001</c:v>
                </c:pt>
                <c:pt idx="36">
                  <c:v>305.721</c:v>
                </c:pt>
                <c:pt idx="37">
                  <c:v>296.661</c:v>
                </c:pt>
                <c:pt idx="38">
                  <c:v>289.35199999999998</c:v>
                </c:pt>
                <c:pt idx="39">
                  <c:v>279.488</c:v>
                </c:pt>
                <c:pt idx="40">
                  <c:v>269.23599999999999</c:v>
                </c:pt>
                <c:pt idx="41">
                  <c:v>263.202</c:v>
                </c:pt>
                <c:pt idx="42">
                  <c:v>253.78100000000001</c:v>
                </c:pt>
                <c:pt idx="43">
                  <c:v>241.93</c:v>
                </c:pt>
                <c:pt idx="44">
                  <c:v>226.82</c:v>
                </c:pt>
                <c:pt idx="45">
                  <c:v>220.42400000000001</c:v>
                </c:pt>
                <c:pt idx="46">
                  <c:v>214.32599999999999</c:v>
                </c:pt>
                <c:pt idx="47">
                  <c:v>208.48400000000001</c:v>
                </c:pt>
                <c:pt idx="48">
                  <c:v>202.863</c:v>
                </c:pt>
                <c:pt idx="49">
                  <c:v>197.464</c:v>
                </c:pt>
                <c:pt idx="50">
                  <c:v>192.273</c:v>
                </c:pt>
                <c:pt idx="51">
                  <c:v>187.28299999999999</c:v>
                </c:pt>
                <c:pt idx="52">
                  <c:v>182.48699999999999</c:v>
                </c:pt>
                <c:pt idx="53">
                  <c:v>177.875</c:v>
                </c:pt>
                <c:pt idx="54">
                  <c:v>173.44</c:v>
                </c:pt>
                <c:pt idx="55">
                  <c:v>169.17599999999999</c:v>
                </c:pt>
                <c:pt idx="56">
                  <c:v>165.07400000000001</c:v>
                </c:pt>
                <c:pt idx="57">
                  <c:v>161.12899999999999</c:v>
                </c:pt>
                <c:pt idx="58">
                  <c:v>157.333</c:v>
                </c:pt>
                <c:pt idx="59">
                  <c:v>153.68100000000001</c:v>
                </c:pt>
                <c:pt idx="60">
                  <c:v>150.167</c:v>
                </c:pt>
                <c:pt idx="61">
                  <c:v>146.78399999999999</c:v>
                </c:pt>
                <c:pt idx="62">
                  <c:v>143.10400000000001</c:v>
                </c:pt>
                <c:pt idx="63">
                  <c:v>139.80099999999999</c:v>
                </c:pt>
                <c:pt idx="64">
                  <c:v>136.61799999999999</c:v>
                </c:pt>
                <c:pt idx="65">
                  <c:v>133.56299999999999</c:v>
                </c:pt>
                <c:pt idx="66">
                  <c:v>130.62899999999999</c:v>
                </c:pt>
                <c:pt idx="67">
                  <c:v>127.81100000000001</c:v>
                </c:pt>
                <c:pt idx="68">
                  <c:v>125.10299999999999</c:v>
                </c:pt>
                <c:pt idx="69">
                  <c:v>122.5</c:v>
                </c:pt>
                <c:pt idx="70">
                  <c:v>119.999</c:v>
                </c:pt>
                <c:pt idx="71">
                  <c:v>117.593</c:v>
                </c:pt>
                <c:pt idx="72">
                  <c:v>115.28100000000001</c:v>
                </c:pt>
                <c:pt idx="73">
                  <c:v>113.05800000000001</c:v>
                </c:pt>
                <c:pt idx="74">
                  <c:v>110.91800000000001</c:v>
                </c:pt>
                <c:pt idx="75">
                  <c:v>108.861</c:v>
                </c:pt>
                <c:pt idx="76">
                  <c:v>106.881</c:v>
                </c:pt>
                <c:pt idx="77">
                  <c:v>104.97499999999999</c:v>
                </c:pt>
                <c:pt idx="78">
                  <c:v>103.212</c:v>
                </c:pt>
                <c:pt idx="79">
                  <c:v>101.258</c:v>
                </c:pt>
                <c:pt idx="80">
                  <c:v>99.423199999999994</c:v>
                </c:pt>
                <c:pt idx="81">
                  <c:v>97.660200000000003</c:v>
                </c:pt>
                <c:pt idx="82">
                  <c:v>95.965400000000002</c:v>
                </c:pt>
                <c:pt idx="83">
                  <c:v>94.342100000000002</c:v>
                </c:pt>
                <c:pt idx="84">
                  <c:v>92.781099999999995</c:v>
                </c:pt>
                <c:pt idx="85">
                  <c:v>91.284000000000006</c:v>
                </c:pt>
                <c:pt idx="86">
                  <c:v>89.845299999999995</c:v>
                </c:pt>
                <c:pt idx="87">
                  <c:v>88.4636</c:v>
                </c:pt>
                <c:pt idx="88">
                  <c:v>87.135999999999996</c:v>
                </c:pt>
                <c:pt idx="89">
                  <c:v>85.859800000000007</c:v>
                </c:pt>
                <c:pt idx="90">
                  <c:v>84.633499999999998</c:v>
                </c:pt>
                <c:pt idx="91">
                  <c:v>83.454499999999996</c:v>
                </c:pt>
                <c:pt idx="92">
                  <c:v>83.224400000000003</c:v>
                </c:pt>
                <c:pt idx="93">
                  <c:v>79.843500000000006</c:v>
                </c:pt>
                <c:pt idx="94">
                  <c:v>79.843500000000006</c:v>
                </c:pt>
                <c:pt idx="95">
                  <c:v>79.824100000000001</c:v>
                </c:pt>
                <c:pt idx="96">
                  <c:v>79.824100000000001</c:v>
                </c:pt>
                <c:pt idx="97">
                  <c:v>79.824100000000001</c:v>
                </c:pt>
                <c:pt idx="98">
                  <c:v>79.824100000000001</c:v>
                </c:pt>
                <c:pt idx="99">
                  <c:v>79.824100000000001</c:v>
                </c:pt>
                <c:pt idx="100">
                  <c:v>79.824100000000001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B15-4C9B-8C30-2F80E8E8AE15}"/>
            </c:ext>
          </c:extLst>
        </c:ser>
        <c:ser>
          <c:idx val="1"/>
          <c:order val="4"/>
          <c:tx>
            <c:strRef>
              <c:f>'REVAP Mesmos Parametros'!$AC$32</c:f>
              <c:strCache>
                <c:ptCount val="1"/>
                <c:pt idx="0">
                  <c:v>M + DP</c:v>
                </c:pt>
              </c:strCache>
            </c:strRef>
          </c:tx>
          <c:spPr>
            <a:ln w="12700">
              <a:prstDash val="sysDot"/>
            </a:ln>
          </c:spPr>
          <c:marker>
            <c:symbol val="none"/>
          </c:marker>
          <c:xVal>
            <c:numRef>
              <c:f>'REVAP Mesmos Parametros'!$Z$32:$Z$631</c:f>
              <c:numCache>
                <c:formatCode>General</c:formatCode>
                <c:ptCount val="6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</c:numCache>
            </c:numRef>
          </c:xVal>
          <c:yVal>
            <c:numRef>
              <c:f>'REVAP Mesmos Parametros'!$AC$33:$AC$632</c:f>
              <c:numCache>
                <c:formatCode>0.0000</c:formatCode>
                <c:ptCount val="600"/>
                <c:pt idx="0">
                  <c:v>405.23994488429241</c:v>
                </c:pt>
                <c:pt idx="1">
                  <c:v>405.284163386503</c:v>
                </c:pt>
                <c:pt idx="2">
                  <c:v>405.24341412132742</c:v>
                </c:pt>
                <c:pt idx="3">
                  <c:v>405.18103295886141</c:v>
                </c:pt>
                <c:pt idx="4">
                  <c:v>405.1529096878333</c:v>
                </c:pt>
                <c:pt idx="5">
                  <c:v>405.22321311739256</c:v>
                </c:pt>
                <c:pt idx="6">
                  <c:v>405.1920620167985</c:v>
                </c:pt>
                <c:pt idx="7">
                  <c:v>405.14802250340966</c:v>
                </c:pt>
                <c:pt idx="8">
                  <c:v>405.15209833915509</c:v>
                </c:pt>
                <c:pt idx="9">
                  <c:v>405.07605099469419</c:v>
                </c:pt>
                <c:pt idx="10">
                  <c:v>404.97577173559188</c:v>
                </c:pt>
                <c:pt idx="11">
                  <c:v>404.87915686540669</c:v>
                </c:pt>
                <c:pt idx="12">
                  <c:v>404.79170786936828</c:v>
                </c:pt>
                <c:pt idx="13">
                  <c:v>404.7571934712368</c:v>
                </c:pt>
                <c:pt idx="14">
                  <c:v>404.76080545048103</c:v>
                </c:pt>
                <c:pt idx="15">
                  <c:v>404.64284317385136</c:v>
                </c:pt>
                <c:pt idx="16">
                  <c:v>404.53715581847217</c:v>
                </c:pt>
                <c:pt idx="17">
                  <c:v>404.45021612053938</c:v>
                </c:pt>
                <c:pt idx="18">
                  <c:v>404.34268061353697</c:v>
                </c:pt>
                <c:pt idx="19">
                  <c:v>404.24800393150122</c:v>
                </c:pt>
                <c:pt idx="20">
                  <c:v>404.15453567932025</c:v>
                </c:pt>
                <c:pt idx="21">
                  <c:v>404.06017732395566</c:v>
                </c:pt>
                <c:pt idx="22">
                  <c:v>403.96389722723973</c:v>
                </c:pt>
                <c:pt idx="23">
                  <c:v>403.87897833630313</c:v>
                </c:pt>
                <c:pt idx="24">
                  <c:v>403.77797208993684</c:v>
                </c:pt>
                <c:pt idx="25">
                  <c:v>403.55237661651864</c:v>
                </c:pt>
                <c:pt idx="26">
                  <c:v>403.34424141509817</c:v>
                </c:pt>
                <c:pt idx="27">
                  <c:v>403.17760126511848</c:v>
                </c:pt>
                <c:pt idx="28">
                  <c:v>403.04428674579441</c:v>
                </c:pt>
                <c:pt idx="29">
                  <c:v>402.93480744759694</c:v>
                </c:pt>
                <c:pt idx="30">
                  <c:v>402.82602979164375</c:v>
                </c:pt>
                <c:pt idx="31">
                  <c:v>402.70961581974132</c:v>
                </c:pt>
                <c:pt idx="32">
                  <c:v>402.59539601315845</c:v>
                </c:pt>
                <c:pt idx="33">
                  <c:v>402.48550854380892</c:v>
                </c:pt>
                <c:pt idx="34">
                  <c:v>402.38764527555242</c:v>
                </c:pt>
                <c:pt idx="35">
                  <c:v>402.290733715388</c:v>
                </c:pt>
                <c:pt idx="36">
                  <c:v>402.20730879539155</c:v>
                </c:pt>
                <c:pt idx="37">
                  <c:v>402.13945121887116</c:v>
                </c:pt>
                <c:pt idx="38">
                  <c:v>402.07239637853701</c:v>
                </c:pt>
                <c:pt idx="39">
                  <c:v>402.01349564340143</c:v>
                </c:pt>
                <c:pt idx="40">
                  <c:v>401.97078248299704</c:v>
                </c:pt>
                <c:pt idx="41">
                  <c:v>401.92680059922452</c:v>
                </c:pt>
                <c:pt idx="42">
                  <c:v>401.88213128147652</c:v>
                </c:pt>
                <c:pt idx="43">
                  <c:v>401.83752438267334</c:v>
                </c:pt>
                <c:pt idx="44">
                  <c:v>401.79094937862101</c:v>
                </c:pt>
                <c:pt idx="45">
                  <c:v>401.72617734865332</c:v>
                </c:pt>
                <c:pt idx="46">
                  <c:v>401.65715743992627</c:v>
                </c:pt>
                <c:pt idx="47">
                  <c:v>401.59828034347368</c:v>
                </c:pt>
                <c:pt idx="48">
                  <c:v>401.57255075379004</c:v>
                </c:pt>
                <c:pt idx="49">
                  <c:v>401.55825942077411</c:v>
                </c:pt>
                <c:pt idx="50">
                  <c:v>401.60768083926473</c:v>
                </c:pt>
                <c:pt idx="51">
                  <c:v>401.66525961551207</c:v>
                </c:pt>
                <c:pt idx="52">
                  <c:v>401.6972550552365</c:v>
                </c:pt>
                <c:pt idx="53">
                  <c:v>401.70399297751999</c:v>
                </c:pt>
                <c:pt idx="54">
                  <c:v>401.62631480019553</c:v>
                </c:pt>
                <c:pt idx="55">
                  <c:v>401.42252191855238</c:v>
                </c:pt>
                <c:pt idx="56">
                  <c:v>401.18176449315149</c:v>
                </c:pt>
                <c:pt idx="57">
                  <c:v>400.95217258502367</c:v>
                </c:pt>
                <c:pt idx="58">
                  <c:v>400.7349128681563</c:v>
                </c:pt>
                <c:pt idx="59">
                  <c:v>400.48619006378914</c:v>
                </c:pt>
                <c:pt idx="60">
                  <c:v>400.18632857869557</c:v>
                </c:pt>
                <c:pt idx="61">
                  <c:v>399.8960257657659</c:v>
                </c:pt>
                <c:pt idx="62">
                  <c:v>399.63280728419278</c:v>
                </c:pt>
                <c:pt idx="63">
                  <c:v>399.32631716681936</c:v>
                </c:pt>
                <c:pt idx="64">
                  <c:v>399.0148357999069</c:v>
                </c:pt>
                <c:pt idx="65">
                  <c:v>398.73244199013709</c:v>
                </c:pt>
                <c:pt idx="66">
                  <c:v>398.45435147582424</c:v>
                </c:pt>
                <c:pt idx="67">
                  <c:v>398.26111157474384</c:v>
                </c:pt>
                <c:pt idx="68">
                  <c:v>398.01826955633885</c:v>
                </c:pt>
                <c:pt idx="69">
                  <c:v>397.73865060927744</c:v>
                </c:pt>
                <c:pt idx="70">
                  <c:v>397.50936318086923</c:v>
                </c:pt>
                <c:pt idx="71">
                  <c:v>397.22452368871222</c:v>
                </c:pt>
                <c:pt idx="72">
                  <c:v>396.91399280812669</c:v>
                </c:pt>
                <c:pt idx="73">
                  <c:v>396.67754696207049</c:v>
                </c:pt>
                <c:pt idx="74">
                  <c:v>396.13976313371575</c:v>
                </c:pt>
                <c:pt idx="75">
                  <c:v>395.36341129894765</c:v>
                </c:pt>
                <c:pt idx="76">
                  <c:v>394.46135102085447</c:v>
                </c:pt>
                <c:pt idx="77">
                  <c:v>393.33774212548246</c:v>
                </c:pt>
                <c:pt idx="78">
                  <c:v>392.24908322371357</c:v>
                </c:pt>
                <c:pt idx="79">
                  <c:v>391.30083751690103</c:v>
                </c:pt>
                <c:pt idx="80">
                  <c:v>390.49139754187206</c:v>
                </c:pt>
                <c:pt idx="81">
                  <c:v>389.73056836903066</c:v>
                </c:pt>
                <c:pt idx="82">
                  <c:v>389.08362325440555</c:v>
                </c:pt>
                <c:pt idx="83">
                  <c:v>388.51733008364351</c:v>
                </c:pt>
                <c:pt idx="84">
                  <c:v>388.03334518168657</c:v>
                </c:pt>
                <c:pt idx="85">
                  <c:v>387.60927312882217</c:v>
                </c:pt>
                <c:pt idx="86">
                  <c:v>387.227932429747</c:v>
                </c:pt>
                <c:pt idx="87">
                  <c:v>386.92838962389447</c:v>
                </c:pt>
                <c:pt idx="88">
                  <c:v>386.60279948429479</c:v>
                </c:pt>
                <c:pt idx="89">
                  <c:v>386.27830395315976</c:v>
                </c:pt>
                <c:pt idx="90">
                  <c:v>386.0108515552638</c:v>
                </c:pt>
                <c:pt idx="91">
                  <c:v>385.72654236547982</c:v>
                </c:pt>
                <c:pt idx="92">
                  <c:v>385.47922852681637</c:v>
                </c:pt>
                <c:pt idx="93">
                  <c:v>385.29503810362371</c:v>
                </c:pt>
                <c:pt idx="94">
                  <c:v>385.05004073496019</c:v>
                </c:pt>
                <c:pt idx="95">
                  <c:v>384.66625757328461</c:v>
                </c:pt>
                <c:pt idx="96">
                  <c:v>384.33477825691637</c:v>
                </c:pt>
                <c:pt idx="97">
                  <c:v>383.97510705176404</c:v>
                </c:pt>
                <c:pt idx="98">
                  <c:v>383.5462668522257</c:v>
                </c:pt>
                <c:pt idx="99">
                  <c:v>383.19460868565972</c:v>
                </c:pt>
                <c:pt idx="100">
                  <c:v>382.83091988823367</c:v>
                </c:pt>
                <c:pt idx="101">
                  <c:v>382.53175522975727</c:v>
                </c:pt>
                <c:pt idx="102">
                  <c:v>382.16541255888819</c:v>
                </c:pt>
                <c:pt idx="103">
                  <c:v>381.83246231442348</c:v>
                </c:pt>
                <c:pt idx="104">
                  <c:v>381.43879644149189</c:v>
                </c:pt>
                <c:pt idx="105">
                  <c:v>381.13106044811008</c:v>
                </c:pt>
                <c:pt idx="106">
                  <c:v>380.77096311576747</c:v>
                </c:pt>
                <c:pt idx="107">
                  <c:v>380.39743360334239</c:v>
                </c:pt>
                <c:pt idx="108">
                  <c:v>379.92478013411386</c:v>
                </c:pt>
                <c:pt idx="109">
                  <c:v>379.39345102384124</c:v>
                </c:pt>
                <c:pt idx="110">
                  <c:v>378.94406892452946</c:v>
                </c:pt>
                <c:pt idx="111">
                  <c:v>378.50144259230387</c:v>
                </c:pt>
                <c:pt idx="112">
                  <c:v>377.98368624170547</c:v>
                </c:pt>
                <c:pt idx="113">
                  <c:v>377.20773739653112</c:v>
                </c:pt>
                <c:pt idx="114">
                  <c:v>376.41136828424862</c:v>
                </c:pt>
                <c:pt idx="115">
                  <c:v>375.63557214155725</c:v>
                </c:pt>
                <c:pt idx="116">
                  <c:v>374.85619174945612</c:v>
                </c:pt>
                <c:pt idx="117">
                  <c:v>374.25369724343761</c:v>
                </c:pt>
                <c:pt idx="118">
                  <c:v>373.91484594655697</c:v>
                </c:pt>
                <c:pt idx="119">
                  <c:v>373.77694801662653</c:v>
                </c:pt>
                <c:pt idx="120">
                  <c:v>373.75030275853692</c:v>
                </c:pt>
                <c:pt idx="121">
                  <c:v>373.86045958021913</c:v>
                </c:pt>
                <c:pt idx="122">
                  <c:v>374.03702229809693</c:v>
                </c:pt>
                <c:pt idx="123">
                  <c:v>374.21316654316178</c:v>
                </c:pt>
                <c:pt idx="124">
                  <c:v>374.39277621592873</c:v>
                </c:pt>
                <c:pt idx="125">
                  <c:v>374.55634439395817</c:v>
                </c:pt>
                <c:pt idx="126">
                  <c:v>374.79628787261117</c:v>
                </c:pt>
                <c:pt idx="127">
                  <c:v>375.00302541828353</c:v>
                </c:pt>
                <c:pt idx="128">
                  <c:v>375.23443757867392</c:v>
                </c:pt>
                <c:pt idx="129">
                  <c:v>375.39758847502355</c:v>
                </c:pt>
                <c:pt idx="130">
                  <c:v>375.60051313454926</c:v>
                </c:pt>
                <c:pt idx="131">
                  <c:v>375.80555493130385</c:v>
                </c:pt>
                <c:pt idx="132">
                  <c:v>375.86335914531077</c:v>
                </c:pt>
                <c:pt idx="133">
                  <c:v>375.94835216966374</c:v>
                </c:pt>
                <c:pt idx="134">
                  <c:v>376.009281793063</c:v>
                </c:pt>
                <c:pt idx="135">
                  <c:v>375.95219846560087</c:v>
                </c:pt>
                <c:pt idx="136">
                  <c:v>375.91615761184653</c:v>
                </c:pt>
                <c:pt idx="137">
                  <c:v>375.93183926327691</c:v>
                </c:pt>
                <c:pt idx="138">
                  <c:v>375.93279244592151</c:v>
                </c:pt>
                <c:pt idx="139">
                  <c:v>375.93116499795354</c:v>
                </c:pt>
                <c:pt idx="140">
                  <c:v>375.96061637632056</c:v>
                </c:pt>
                <c:pt idx="141">
                  <c:v>375.93382202008257</c:v>
                </c:pt>
                <c:pt idx="142">
                  <c:v>375.91440895437711</c:v>
                </c:pt>
                <c:pt idx="143">
                  <c:v>375.95303957278736</c:v>
                </c:pt>
                <c:pt idx="144">
                  <c:v>375.95445708515149</c:v>
                </c:pt>
                <c:pt idx="145">
                  <c:v>375.93826167334748</c:v>
                </c:pt>
                <c:pt idx="146">
                  <c:v>375.93281419587782</c:v>
                </c:pt>
                <c:pt idx="147">
                  <c:v>375.9750501879347</c:v>
                </c:pt>
                <c:pt idx="148">
                  <c:v>376.04676890002298</c:v>
                </c:pt>
                <c:pt idx="149">
                  <c:v>376.0642527709349</c:v>
                </c:pt>
                <c:pt idx="150">
                  <c:v>376.08075777805067</c:v>
                </c:pt>
                <c:pt idx="151">
                  <c:v>375.97014982584074</c:v>
                </c:pt>
                <c:pt idx="152">
                  <c:v>375.8139951442422</c:v>
                </c:pt>
                <c:pt idx="153">
                  <c:v>375.34659305890841</c:v>
                </c:pt>
                <c:pt idx="154">
                  <c:v>374.47279393056567</c:v>
                </c:pt>
                <c:pt idx="155">
                  <c:v>373.46090289161549</c:v>
                </c:pt>
                <c:pt idx="156">
                  <c:v>372.22136462695704</c:v>
                </c:pt>
                <c:pt idx="157">
                  <c:v>370.85366084921492</c:v>
                </c:pt>
                <c:pt idx="158">
                  <c:v>369.28692300955936</c:v>
                </c:pt>
                <c:pt idx="159">
                  <c:v>367.71595843379362</c:v>
                </c:pt>
                <c:pt idx="160">
                  <c:v>366.14056344397909</c:v>
                </c:pt>
                <c:pt idx="161">
                  <c:v>364.47535724492661</c:v>
                </c:pt>
                <c:pt idx="162">
                  <c:v>362.7887704688564</c:v>
                </c:pt>
                <c:pt idx="163">
                  <c:v>361.05087999324019</c:v>
                </c:pt>
                <c:pt idx="164">
                  <c:v>359.32002545945346</c:v>
                </c:pt>
                <c:pt idx="165">
                  <c:v>357.74133501425547</c:v>
                </c:pt>
                <c:pt idx="166">
                  <c:v>356.11353757918101</c:v>
                </c:pt>
                <c:pt idx="167">
                  <c:v>354.62928172761349</c:v>
                </c:pt>
                <c:pt idx="168">
                  <c:v>353.1737011112229</c:v>
                </c:pt>
                <c:pt idx="169">
                  <c:v>351.81521570411815</c:v>
                </c:pt>
                <c:pt idx="170">
                  <c:v>350.48336907967877</c:v>
                </c:pt>
                <c:pt idx="171">
                  <c:v>349.17915874160474</c:v>
                </c:pt>
                <c:pt idx="172">
                  <c:v>348.03189683272342</c:v>
                </c:pt>
                <c:pt idx="173">
                  <c:v>346.89721965806126</c:v>
                </c:pt>
                <c:pt idx="174">
                  <c:v>345.80528472078055</c:v>
                </c:pt>
                <c:pt idx="175">
                  <c:v>344.74323883902588</c:v>
                </c:pt>
                <c:pt idx="176">
                  <c:v>343.83588197017923</c:v>
                </c:pt>
                <c:pt idx="177">
                  <c:v>342.92690576708139</c:v>
                </c:pt>
                <c:pt idx="178">
                  <c:v>342.04135240920357</c:v>
                </c:pt>
                <c:pt idx="179">
                  <c:v>341.19808100160611</c:v>
                </c:pt>
                <c:pt idx="180">
                  <c:v>340.30615832380192</c:v>
                </c:pt>
                <c:pt idx="181">
                  <c:v>339.52214807230393</c:v>
                </c:pt>
                <c:pt idx="182">
                  <c:v>338.73423796690901</c:v>
                </c:pt>
                <c:pt idx="183">
                  <c:v>337.97607695101766</c:v>
                </c:pt>
                <c:pt idx="184">
                  <c:v>337.28203620556502</c:v>
                </c:pt>
                <c:pt idx="185">
                  <c:v>336.56693805798574</c:v>
                </c:pt>
                <c:pt idx="186">
                  <c:v>335.82539635397086</c:v>
                </c:pt>
                <c:pt idx="187">
                  <c:v>335.09427309958255</c:v>
                </c:pt>
                <c:pt idx="188">
                  <c:v>334.37961484866287</c:v>
                </c:pt>
                <c:pt idx="189">
                  <c:v>333.72199441717902</c:v>
                </c:pt>
                <c:pt idx="190">
                  <c:v>333.05257748870702</c:v>
                </c:pt>
                <c:pt idx="191">
                  <c:v>332.42752617837863</c:v>
                </c:pt>
                <c:pt idx="192">
                  <c:v>331.75956578643184</c:v>
                </c:pt>
                <c:pt idx="193">
                  <c:v>331.14675570994899</c:v>
                </c:pt>
                <c:pt idx="194">
                  <c:v>330.65516474678617</c:v>
                </c:pt>
                <c:pt idx="195">
                  <c:v>329.95205126332229</c:v>
                </c:pt>
                <c:pt idx="196">
                  <c:v>329.34793910725728</c:v>
                </c:pt>
                <c:pt idx="197">
                  <c:v>328.77084850612891</c:v>
                </c:pt>
                <c:pt idx="198">
                  <c:v>328.16438489692734</c:v>
                </c:pt>
                <c:pt idx="199">
                  <c:v>327.65330787201384</c:v>
                </c:pt>
                <c:pt idx="200">
                  <c:v>327.19399211122061</c:v>
                </c:pt>
                <c:pt idx="201">
                  <c:v>326.68800243019882</c:v>
                </c:pt>
                <c:pt idx="202">
                  <c:v>326.1252244603125</c:v>
                </c:pt>
                <c:pt idx="203">
                  <c:v>325.6171130301567</c:v>
                </c:pt>
                <c:pt idx="204">
                  <c:v>325.12309829927881</c:v>
                </c:pt>
                <c:pt idx="205">
                  <c:v>324.60230364280613</c:v>
                </c:pt>
                <c:pt idx="206">
                  <c:v>324.04856714625168</c:v>
                </c:pt>
                <c:pt idx="207">
                  <c:v>323.56033425387182</c:v>
                </c:pt>
                <c:pt idx="208">
                  <c:v>323.10678905921145</c:v>
                </c:pt>
                <c:pt idx="209">
                  <c:v>322.64917300500582</c:v>
                </c:pt>
                <c:pt idx="210">
                  <c:v>322.20725616680591</c:v>
                </c:pt>
                <c:pt idx="211">
                  <c:v>321.7414763082532</c:v>
                </c:pt>
                <c:pt idx="212">
                  <c:v>321.13809404475199</c:v>
                </c:pt>
                <c:pt idx="213">
                  <c:v>320.5542951735963</c:v>
                </c:pt>
                <c:pt idx="214">
                  <c:v>319.99283368032394</c:v>
                </c:pt>
                <c:pt idx="215">
                  <c:v>319.48517277521046</c:v>
                </c:pt>
                <c:pt idx="216">
                  <c:v>318.87740086070517</c:v>
                </c:pt>
                <c:pt idx="217">
                  <c:v>318.23353200856076</c:v>
                </c:pt>
                <c:pt idx="218">
                  <c:v>317.55625322015914</c:v>
                </c:pt>
                <c:pt idx="219">
                  <c:v>316.83537482776296</c:v>
                </c:pt>
                <c:pt idx="220">
                  <c:v>315.85643676670321</c:v>
                </c:pt>
                <c:pt idx="221">
                  <c:v>315.11234067838893</c:v>
                </c:pt>
                <c:pt idx="222">
                  <c:v>314.28153331756181</c:v>
                </c:pt>
                <c:pt idx="223">
                  <c:v>313.44834222350113</c:v>
                </c:pt>
                <c:pt idx="224">
                  <c:v>312.49619787532231</c:v>
                </c:pt>
                <c:pt idx="225">
                  <c:v>311.53002366938512</c:v>
                </c:pt>
                <c:pt idx="226">
                  <c:v>310.59885604628749</c:v>
                </c:pt>
                <c:pt idx="227">
                  <c:v>309.51980338395072</c:v>
                </c:pt>
                <c:pt idx="228">
                  <c:v>308.55749868470349</c:v>
                </c:pt>
                <c:pt idx="229">
                  <c:v>307.60574524248779</c:v>
                </c:pt>
                <c:pt idx="230">
                  <c:v>306.63320203817432</c:v>
                </c:pt>
                <c:pt idx="231">
                  <c:v>305.6756164162897</c:v>
                </c:pt>
                <c:pt idx="232">
                  <c:v>304.59203896666418</c:v>
                </c:pt>
                <c:pt idx="233">
                  <c:v>303.59839742637831</c:v>
                </c:pt>
                <c:pt idx="234">
                  <c:v>302.53952491780439</c:v>
                </c:pt>
                <c:pt idx="235">
                  <c:v>301.40870476840132</c:v>
                </c:pt>
                <c:pt idx="236">
                  <c:v>299.94974792670916</c:v>
                </c:pt>
                <c:pt idx="237">
                  <c:v>298.37410990204074</c:v>
                </c:pt>
                <c:pt idx="238">
                  <c:v>296.73014267345877</c:v>
                </c:pt>
                <c:pt idx="239">
                  <c:v>294.98870840202676</c:v>
                </c:pt>
                <c:pt idx="240">
                  <c:v>293.23872911353578</c:v>
                </c:pt>
                <c:pt idx="241">
                  <c:v>291.52539418866536</c:v>
                </c:pt>
                <c:pt idx="242">
                  <c:v>289.81087396872414</c:v>
                </c:pt>
                <c:pt idx="243">
                  <c:v>288.22967145707304</c:v>
                </c:pt>
                <c:pt idx="244">
                  <c:v>286.62934171602524</c:v>
                </c:pt>
                <c:pt idx="245">
                  <c:v>285.0978324004584</c:v>
                </c:pt>
                <c:pt idx="246">
                  <c:v>283.61874555044034</c:v>
                </c:pt>
                <c:pt idx="247">
                  <c:v>282.14544959179022</c:v>
                </c:pt>
                <c:pt idx="248">
                  <c:v>280.60297550365033</c:v>
                </c:pt>
                <c:pt idx="249">
                  <c:v>278.98453673676028</c:v>
                </c:pt>
                <c:pt idx="250">
                  <c:v>277.37577576242103</c:v>
                </c:pt>
                <c:pt idx="251">
                  <c:v>275.86649226505307</c:v>
                </c:pt>
                <c:pt idx="252">
                  <c:v>274.3231864743687</c:v>
                </c:pt>
                <c:pt idx="253">
                  <c:v>272.80357328094703</c:v>
                </c:pt>
                <c:pt idx="254">
                  <c:v>271.25324302310349</c:v>
                </c:pt>
                <c:pt idx="255">
                  <c:v>269.82210113526043</c:v>
                </c:pt>
                <c:pt idx="256">
                  <c:v>268.41361680976888</c:v>
                </c:pt>
                <c:pt idx="257">
                  <c:v>266.99695904180589</c:v>
                </c:pt>
                <c:pt idx="258">
                  <c:v>265.64683557636926</c:v>
                </c:pt>
                <c:pt idx="259">
                  <c:v>263.85158156904788</c:v>
                </c:pt>
                <c:pt idx="260">
                  <c:v>262.00505163133278</c:v>
                </c:pt>
                <c:pt idx="261">
                  <c:v>260.15099045195285</c:v>
                </c:pt>
                <c:pt idx="262">
                  <c:v>258.24771270592657</c:v>
                </c:pt>
                <c:pt idx="263">
                  <c:v>256.39600814058082</c:v>
                </c:pt>
                <c:pt idx="264">
                  <c:v>254.36953405449196</c:v>
                </c:pt>
                <c:pt idx="265">
                  <c:v>252.53621567252037</c:v>
                </c:pt>
                <c:pt idx="266">
                  <c:v>250.8721367122493</c:v>
                </c:pt>
                <c:pt idx="267">
                  <c:v>249.19072059996134</c:v>
                </c:pt>
                <c:pt idx="268">
                  <c:v>247.58972487853134</c:v>
                </c:pt>
                <c:pt idx="269">
                  <c:v>245.91512359757326</c:v>
                </c:pt>
                <c:pt idx="270">
                  <c:v>244.28755049283535</c:v>
                </c:pt>
                <c:pt idx="271">
                  <c:v>242.65421843661812</c:v>
                </c:pt>
                <c:pt idx="272">
                  <c:v>241.23313712767373</c:v>
                </c:pt>
                <c:pt idx="273">
                  <c:v>239.83084728619477</c:v>
                </c:pt>
                <c:pt idx="274">
                  <c:v>238.58214627753483</c:v>
                </c:pt>
                <c:pt idx="275">
                  <c:v>237.23397248134634</c:v>
                </c:pt>
                <c:pt idx="276">
                  <c:v>235.82481284902724</c:v>
                </c:pt>
                <c:pt idx="277">
                  <c:v>234.38638459554565</c:v>
                </c:pt>
                <c:pt idx="278">
                  <c:v>233.10518628643203</c:v>
                </c:pt>
                <c:pt idx="279">
                  <c:v>231.77366607919421</c:v>
                </c:pt>
                <c:pt idx="280">
                  <c:v>230.45791407965368</c:v>
                </c:pt>
                <c:pt idx="281">
                  <c:v>229.05585933530875</c:v>
                </c:pt>
                <c:pt idx="282">
                  <c:v>227.67951341867274</c:v>
                </c:pt>
                <c:pt idx="283">
                  <c:v>226.23308687410923</c:v>
                </c:pt>
                <c:pt idx="284">
                  <c:v>224.90437300778075</c:v>
                </c:pt>
                <c:pt idx="285">
                  <c:v>223.65711501272449</c:v>
                </c:pt>
                <c:pt idx="286">
                  <c:v>222.43182992270403</c:v>
                </c:pt>
                <c:pt idx="287">
                  <c:v>221.17143600009547</c:v>
                </c:pt>
                <c:pt idx="288">
                  <c:v>219.94342284042193</c:v>
                </c:pt>
                <c:pt idx="289">
                  <c:v>218.66433206674185</c:v>
                </c:pt>
                <c:pt idx="290">
                  <c:v>217.46277208632409</c:v>
                </c:pt>
                <c:pt idx="291">
                  <c:v>216.31041361638609</c:v>
                </c:pt>
                <c:pt idx="292">
                  <c:v>215.17493390048855</c:v>
                </c:pt>
                <c:pt idx="293">
                  <c:v>214.03351653679783</c:v>
                </c:pt>
                <c:pt idx="294">
                  <c:v>212.89672566783224</c:v>
                </c:pt>
                <c:pt idx="295">
                  <c:v>211.71936088311884</c:v>
                </c:pt>
                <c:pt idx="296">
                  <c:v>210.56963103924085</c:v>
                </c:pt>
                <c:pt idx="297">
                  <c:v>209.42831897108493</c:v>
                </c:pt>
                <c:pt idx="298">
                  <c:v>208.44735050321333</c:v>
                </c:pt>
                <c:pt idx="299">
                  <c:v>207.40478010303673</c:v>
                </c:pt>
                <c:pt idx="300">
                  <c:v>206.28820206351585</c:v>
                </c:pt>
                <c:pt idx="301">
                  <c:v>205.21307159363775</c:v>
                </c:pt>
                <c:pt idx="302">
                  <c:v>204.16751739309015</c:v>
                </c:pt>
                <c:pt idx="303">
                  <c:v>203.16090112243302</c:v>
                </c:pt>
                <c:pt idx="304">
                  <c:v>202.22020672567504</c:v>
                </c:pt>
                <c:pt idx="305">
                  <c:v>201.18792944642212</c:v>
                </c:pt>
                <c:pt idx="306">
                  <c:v>200.15310613933332</c:v>
                </c:pt>
                <c:pt idx="307">
                  <c:v>199.16877869370751</c:v>
                </c:pt>
                <c:pt idx="308">
                  <c:v>198.26092495403242</c:v>
                </c:pt>
                <c:pt idx="309">
                  <c:v>197.26075668839002</c:v>
                </c:pt>
                <c:pt idx="310">
                  <c:v>196.33834483690947</c:v>
                </c:pt>
                <c:pt idx="311">
                  <c:v>195.42926719904273</c:v>
                </c:pt>
                <c:pt idx="312">
                  <c:v>194.47914664912452</c:v>
                </c:pt>
                <c:pt idx="313">
                  <c:v>193.60350450179359</c:v>
                </c:pt>
                <c:pt idx="314">
                  <c:v>192.70747636895962</c:v>
                </c:pt>
                <c:pt idx="315">
                  <c:v>191.91101364130031</c:v>
                </c:pt>
                <c:pt idx="316">
                  <c:v>191.02937387319361</c:v>
                </c:pt>
                <c:pt idx="317">
                  <c:v>190.09301337658081</c:v>
                </c:pt>
                <c:pt idx="318">
                  <c:v>189.28702543380848</c:v>
                </c:pt>
                <c:pt idx="319">
                  <c:v>188.49498724944644</c:v>
                </c:pt>
                <c:pt idx="320">
                  <c:v>187.69133347492766</c:v>
                </c:pt>
                <c:pt idx="321">
                  <c:v>186.94184394630921</c:v>
                </c:pt>
                <c:pt idx="322">
                  <c:v>186.22129936299996</c:v>
                </c:pt>
                <c:pt idx="323">
                  <c:v>185.43182551248174</c:v>
                </c:pt>
                <c:pt idx="324">
                  <c:v>184.58184504781678</c:v>
                </c:pt>
                <c:pt idx="325">
                  <c:v>183.78713077803212</c:v>
                </c:pt>
                <c:pt idx="326">
                  <c:v>183.09929608214125</c:v>
                </c:pt>
                <c:pt idx="327">
                  <c:v>182.23776968417224</c:v>
                </c:pt>
                <c:pt idx="328">
                  <c:v>181.54796036656978</c:v>
                </c:pt>
                <c:pt idx="329">
                  <c:v>180.78386566284368</c:v>
                </c:pt>
                <c:pt idx="330">
                  <c:v>180.05458269972621</c:v>
                </c:pt>
                <c:pt idx="331">
                  <c:v>179.42181039871889</c:v>
                </c:pt>
                <c:pt idx="332">
                  <c:v>178.69411422104943</c:v>
                </c:pt>
                <c:pt idx="333">
                  <c:v>177.93128013770541</c:v>
                </c:pt>
                <c:pt idx="334">
                  <c:v>177.27188617145981</c:v>
                </c:pt>
                <c:pt idx="335">
                  <c:v>176.54363217629441</c:v>
                </c:pt>
                <c:pt idx="336">
                  <c:v>175.88409038283794</c:v>
                </c:pt>
                <c:pt idx="337">
                  <c:v>175.25210505020436</c:v>
                </c:pt>
                <c:pt idx="338">
                  <c:v>174.56792748705979</c:v>
                </c:pt>
                <c:pt idx="339">
                  <c:v>173.97717297336814</c:v>
                </c:pt>
                <c:pt idx="340">
                  <c:v>173.34502208968217</c:v>
                </c:pt>
                <c:pt idx="341">
                  <c:v>172.66990698727545</c:v>
                </c:pt>
                <c:pt idx="342">
                  <c:v>172.04708631856249</c:v>
                </c:pt>
                <c:pt idx="343">
                  <c:v>171.47456015443072</c:v>
                </c:pt>
                <c:pt idx="344">
                  <c:v>170.94640855167754</c:v>
                </c:pt>
                <c:pt idx="345">
                  <c:v>170.39431981305182</c:v>
                </c:pt>
                <c:pt idx="346">
                  <c:v>169.80550106755339</c:v>
                </c:pt>
                <c:pt idx="347">
                  <c:v>169.21224676684085</c:v>
                </c:pt>
                <c:pt idx="348">
                  <c:v>168.80136401163375</c:v>
                </c:pt>
                <c:pt idx="349">
                  <c:v>168.24839825541574</c:v>
                </c:pt>
                <c:pt idx="350">
                  <c:v>167.79664930481684</c:v>
                </c:pt>
                <c:pt idx="351">
                  <c:v>167.27640604730357</c:v>
                </c:pt>
                <c:pt idx="352">
                  <c:v>166.66703982519931</c:v>
                </c:pt>
                <c:pt idx="353">
                  <c:v>166.27833093165034</c:v>
                </c:pt>
                <c:pt idx="354">
                  <c:v>165.77095226823513</c:v>
                </c:pt>
                <c:pt idx="355">
                  <c:v>165.26091105526839</c:v>
                </c:pt>
                <c:pt idx="356">
                  <c:v>164.71754261463775</c:v>
                </c:pt>
                <c:pt idx="357">
                  <c:v>164.08325522517046</c:v>
                </c:pt>
                <c:pt idx="358">
                  <c:v>163.65226405385079</c:v>
                </c:pt>
                <c:pt idx="359">
                  <c:v>163.14637710854132</c:v>
                </c:pt>
                <c:pt idx="360">
                  <c:v>162.63516915071551</c:v>
                </c:pt>
                <c:pt idx="361">
                  <c:v>162.03230655135857</c:v>
                </c:pt>
                <c:pt idx="362">
                  <c:v>161.39710883172091</c:v>
                </c:pt>
                <c:pt idx="363">
                  <c:v>160.76222479927571</c:v>
                </c:pt>
                <c:pt idx="364">
                  <c:v>160.14289001573601</c:v>
                </c:pt>
                <c:pt idx="365">
                  <c:v>159.41499112207535</c:v>
                </c:pt>
                <c:pt idx="366">
                  <c:v>158.72644485291201</c:v>
                </c:pt>
                <c:pt idx="367">
                  <c:v>158.06589467493342</c:v>
                </c:pt>
                <c:pt idx="368">
                  <c:v>157.3449813557628</c:v>
                </c:pt>
                <c:pt idx="369">
                  <c:v>156.71598758468468</c:v>
                </c:pt>
                <c:pt idx="370">
                  <c:v>155.98845999679315</c:v>
                </c:pt>
                <c:pt idx="371">
                  <c:v>155.30609795827954</c:v>
                </c:pt>
                <c:pt idx="372">
                  <c:v>154.64905948974618</c:v>
                </c:pt>
                <c:pt idx="373">
                  <c:v>153.87429658616352</c:v>
                </c:pt>
                <c:pt idx="374">
                  <c:v>153.17980145721941</c:v>
                </c:pt>
                <c:pt idx="375">
                  <c:v>152.43761184852605</c:v>
                </c:pt>
                <c:pt idx="376">
                  <c:v>151.78502368399822</c:v>
                </c:pt>
                <c:pt idx="377">
                  <c:v>151.07826042917947</c:v>
                </c:pt>
                <c:pt idx="378">
                  <c:v>150.38195215035151</c:v>
                </c:pt>
                <c:pt idx="379">
                  <c:v>149.61746074074011</c:v>
                </c:pt>
                <c:pt idx="380">
                  <c:v>148.93230210723141</c:v>
                </c:pt>
                <c:pt idx="381">
                  <c:v>148.20436849879385</c:v>
                </c:pt>
                <c:pt idx="382">
                  <c:v>147.46987994534794</c:v>
                </c:pt>
                <c:pt idx="383">
                  <c:v>146.74963257755141</c:v>
                </c:pt>
                <c:pt idx="384">
                  <c:v>146.12175421601066</c:v>
                </c:pt>
                <c:pt idx="385">
                  <c:v>145.40210714665264</c:v>
                </c:pt>
                <c:pt idx="386">
                  <c:v>144.68503317739845</c:v>
                </c:pt>
                <c:pt idx="387">
                  <c:v>143.9046656585023</c:v>
                </c:pt>
                <c:pt idx="388">
                  <c:v>143.06923690908638</c:v>
                </c:pt>
                <c:pt idx="389">
                  <c:v>142.24411343582179</c:v>
                </c:pt>
                <c:pt idx="390">
                  <c:v>141.60832876147475</c:v>
                </c:pt>
                <c:pt idx="391">
                  <c:v>140.81710420988634</c:v>
                </c:pt>
                <c:pt idx="392">
                  <c:v>140.04484271051174</c:v>
                </c:pt>
                <c:pt idx="393">
                  <c:v>139.30712236367359</c:v>
                </c:pt>
                <c:pt idx="394">
                  <c:v>138.55668472014679</c:v>
                </c:pt>
                <c:pt idx="395">
                  <c:v>137.90653715445515</c:v>
                </c:pt>
                <c:pt idx="396">
                  <c:v>137.20622794665783</c:v>
                </c:pt>
                <c:pt idx="397">
                  <c:v>136.55634466748498</c:v>
                </c:pt>
                <c:pt idx="398">
                  <c:v>135.93534548377698</c:v>
                </c:pt>
                <c:pt idx="399">
                  <c:v>135.24395411405607</c:v>
                </c:pt>
                <c:pt idx="400">
                  <c:v>134.57440731041714</c:v>
                </c:pt>
                <c:pt idx="401">
                  <c:v>133.93779383009178</c:v>
                </c:pt>
                <c:pt idx="402">
                  <c:v>133.41551147360022</c:v>
                </c:pt>
                <c:pt idx="403">
                  <c:v>132.70129540757671</c:v>
                </c:pt>
                <c:pt idx="404">
                  <c:v>132.03646325001648</c:v>
                </c:pt>
                <c:pt idx="405">
                  <c:v>131.30596417466083</c:v>
                </c:pt>
                <c:pt idx="406">
                  <c:v>130.70953389503984</c:v>
                </c:pt>
                <c:pt idx="407">
                  <c:v>129.96966414594701</c:v>
                </c:pt>
                <c:pt idx="408">
                  <c:v>129.42549962857433</c:v>
                </c:pt>
                <c:pt idx="409">
                  <c:v>128.69090441568406</c:v>
                </c:pt>
                <c:pt idx="410">
                  <c:v>127.88897148856347</c:v>
                </c:pt>
                <c:pt idx="411">
                  <c:v>127.14564762752144</c:v>
                </c:pt>
                <c:pt idx="412">
                  <c:v>126.49643410842125</c:v>
                </c:pt>
                <c:pt idx="413">
                  <c:v>125.86051120208658</c:v>
                </c:pt>
                <c:pt idx="414">
                  <c:v>125.33047822177991</c:v>
                </c:pt>
                <c:pt idx="415">
                  <c:v>124.85837701992901</c:v>
                </c:pt>
                <c:pt idx="416">
                  <c:v>124.46117484762252</c:v>
                </c:pt>
                <c:pt idx="417">
                  <c:v>124.08879795817052</c:v>
                </c:pt>
                <c:pt idx="418">
                  <c:v>123.53866608084533</c:v>
                </c:pt>
                <c:pt idx="419">
                  <c:v>123.03262212674292</c:v>
                </c:pt>
                <c:pt idx="420">
                  <c:v>122.52172577137532</c:v>
                </c:pt>
                <c:pt idx="421">
                  <c:v>121.93376222914561</c:v>
                </c:pt>
                <c:pt idx="422">
                  <c:v>121.46642718800551</c:v>
                </c:pt>
                <c:pt idx="423">
                  <c:v>120.96633645122938</c:v>
                </c:pt>
                <c:pt idx="424">
                  <c:v>120.43132136325721</c:v>
                </c:pt>
                <c:pt idx="425">
                  <c:v>119.92627987160367</c:v>
                </c:pt>
                <c:pt idx="426">
                  <c:v>119.50977846506177</c:v>
                </c:pt>
                <c:pt idx="427">
                  <c:v>119.14997800363268</c:v>
                </c:pt>
                <c:pt idx="428">
                  <c:v>118.64540869015153</c:v>
                </c:pt>
                <c:pt idx="429">
                  <c:v>118.18541013972404</c:v>
                </c:pt>
                <c:pt idx="430">
                  <c:v>117.71399368981716</c:v>
                </c:pt>
                <c:pt idx="431">
                  <c:v>117.25145411702911</c:v>
                </c:pt>
                <c:pt idx="432">
                  <c:v>116.76598234507675</c:v>
                </c:pt>
                <c:pt idx="433">
                  <c:v>116.43414940058234</c:v>
                </c:pt>
                <c:pt idx="434">
                  <c:v>116.00439868209213</c:v>
                </c:pt>
                <c:pt idx="435">
                  <c:v>115.57113523063363</c:v>
                </c:pt>
                <c:pt idx="436">
                  <c:v>115.05228881540162</c:v>
                </c:pt>
                <c:pt idx="437">
                  <c:v>114.50511883848814</c:v>
                </c:pt>
                <c:pt idx="438">
                  <c:v>114.15698492973208</c:v>
                </c:pt>
                <c:pt idx="439">
                  <c:v>113.78116472928235</c:v>
                </c:pt>
                <c:pt idx="440">
                  <c:v>113.2930521636309</c:v>
                </c:pt>
                <c:pt idx="441">
                  <c:v>112.91000456565227</c:v>
                </c:pt>
                <c:pt idx="442">
                  <c:v>112.51558606495577</c:v>
                </c:pt>
                <c:pt idx="443">
                  <c:v>112.12074357979336</c:v>
                </c:pt>
                <c:pt idx="444">
                  <c:v>111.66794451320392</c:v>
                </c:pt>
                <c:pt idx="445">
                  <c:v>111.15091822046845</c:v>
                </c:pt>
                <c:pt idx="446">
                  <c:v>110.783447773264</c:v>
                </c:pt>
                <c:pt idx="447">
                  <c:v>110.37808694083091</c:v>
                </c:pt>
                <c:pt idx="448">
                  <c:v>109.96276367548494</c:v>
                </c:pt>
                <c:pt idx="449">
                  <c:v>109.60501925864054</c:v>
                </c:pt>
                <c:pt idx="450">
                  <c:v>109.21021741732726</c:v>
                </c:pt>
                <c:pt idx="451">
                  <c:v>108.77247336754667</c:v>
                </c:pt>
                <c:pt idx="452">
                  <c:v>108.41472248990183</c:v>
                </c:pt>
                <c:pt idx="453">
                  <c:v>108.00513612648223</c:v>
                </c:pt>
                <c:pt idx="454">
                  <c:v>107.70485651650492</c:v>
                </c:pt>
                <c:pt idx="455">
                  <c:v>107.36290205187174</c:v>
                </c:pt>
                <c:pt idx="456">
                  <c:v>106.94146017316149</c:v>
                </c:pt>
                <c:pt idx="457">
                  <c:v>106.57613199293081</c:v>
                </c:pt>
                <c:pt idx="458">
                  <c:v>106.20318176163282</c:v>
                </c:pt>
                <c:pt idx="459">
                  <c:v>105.88005165546713</c:v>
                </c:pt>
                <c:pt idx="460">
                  <c:v>105.54678983344172</c:v>
                </c:pt>
                <c:pt idx="461">
                  <c:v>105.1962252012306</c:v>
                </c:pt>
                <c:pt idx="462">
                  <c:v>104.93435977126013</c:v>
                </c:pt>
                <c:pt idx="463">
                  <c:v>104.71457836436913</c:v>
                </c:pt>
                <c:pt idx="464">
                  <c:v>104.49989233098046</c:v>
                </c:pt>
                <c:pt idx="465">
                  <c:v>104.30064982665932</c:v>
                </c:pt>
                <c:pt idx="466">
                  <c:v>104.12664364363772</c:v>
                </c:pt>
                <c:pt idx="467">
                  <c:v>103.95976347650502</c:v>
                </c:pt>
                <c:pt idx="468">
                  <c:v>103.69616844622948</c:v>
                </c:pt>
                <c:pt idx="469">
                  <c:v>103.46239141499927</c:v>
                </c:pt>
                <c:pt idx="470">
                  <c:v>103.28426787309438</c:v>
                </c:pt>
                <c:pt idx="471">
                  <c:v>103.16633320195797</c:v>
                </c:pt>
                <c:pt idx="472">
                  <c:v>103.07220461675509</c:v>
                </c:pt>
                <c:pt idx="473">
                  <c:v>102.97162385017172</c:v>
                </c:pt>
                <c:pt idx="474">
                  <c:v>102.91122379163841</c:v>
                </c:pt>
                <c:pt idx="475">
                  <c:v>102.84568223641007</c:v>
                </c:pt>
                <c:pt idx="476">
                  <c:v>102.82066455861946</c:v>
                </c:pt>
                <c:pt idx="477">
                  <c:v>102.79929135573698</c:v>
                </c:pt>
                <c:pt idx="478">
                  <c:v>102.77771879247766</c:v>
                </c:pt>
                <c:pt idx="479">
                  <c:v>102.76932765346859</c:v>
                </c:pt>
                <c:pt idx="480">
                  <c:v>102.77010181218479</c:v>
                </c:pt>
                <c:pt idx="481">
                  <c:v>102.77330143779095</c:v>
                </c:pt>
                <c:pt idx="482">
                  <c:v>102.76427778627017</c:v>
                </c:pt>
                <c:pt idx="483">
                  <c:v>102.75654715581733</c:v>
                </c:pt>
                <c:pt idx="484">
                  <c:v>102.73840348226807</c:v>
                </c:pt>
                <c:pt idx="485">
                  <c:v>102.72906095546179</c:v>
                </c:pt>
                <c:pt idx="486">
                  <c:v>102.67105356925249</c:v>
                </c:pt>
                <c:pt idx="487">
                  <c:v>102.56797223308162</c:v>
                </c:pt>
                <c:pt idx="488">
                  <c:v>102.47073108295564</c:v>
                </c:pt>
                <c:pt idx="489">
                  <c:v>102.37667543923247</c:v>
                </c:pt>
                <c:pt idx="490">
                  <c:v>102.29704820717301</c:v>
                </c:pt>
                <c:pt idx="491">
                  <c:v>102.22600320839463</c:v>
                </c:pt>
                <c:pt idx="492">
                  <c:v>102.16252703463677</c:v>
                </c:pt>
                <c:pt idx="493">
                  <c:v>102.11300737386146</c:v>
                </c:pt>
                <c:pt idx="494">
                  <c:v>102.08380594280733</c:v>
                </c:pt>
                <c:pt idx="495">
                  <c:v>102.07385294361963</c:v>
                </c:pt>
                <c:pt idx="496">
                  <c:v>102.06606258798433</c:v>
                </c:pt>
                <c:pt idx="497">
                  <c:v>102.0244640504505</c:v>
                </c:pt>
                <c:pt idx="498">
                  <c:v>101.98296729426629</c:v>
                </c:pt>
                <c:pt idx="499">
                  <c:v>101.9426932992326</c:v>
                </c:pt>
                <c:pt idx="500">
                  <c:v>101.82785681773989</c:v>
                </c:pt>
                <c:pt idx="501">
                  <c:v>101.66912528600874</c:v>
                </c:pt>
                <c:pt idx="502">
                  <c:v>101.50803035556831</c:v>
                </c:pt>
                <c:pt idx="503">
                  <c:v>101.31333159502138</c:v>
                </c:pt>
                <c:pt idx="504">
                  <c:v>101.10021031782087</c:v>
                </c:pt>
                <c:pt idx="505">
                  <c:v>100.75213859765353</c:v>
                </c:pt>
                <c:pt idx="506">
                  <c:v>100.56655503463337</c:v>
                </c:pt>
                <c:pt idx="507">
                  <c:v>100.37197394150067</c:v>
                </c:pt>
                <c:pt idx="508">
                  <c:v>100.16323730257061</c:v>
                </c:pt>
                <c:pt idx="509">
                  <c:v>99.959879193533581</c:v>
                </c:pt>
                <c:pt idx="510">
                  <c:v>99.806418088512558</c:v>
                </c:pt>
                <c:pt idx="511">
                  <c:v>99.677859143330679</c:v>
                </c:pt>
                <c:pt idx="512">
                  <c:v>99.520103872485393</c:v>
                </c:pt>
                <c:pt idx="513">
                  <c:v>99.366688536312068</c:v>
                </c:pt>
                <c:pt idx="514">
                  <c:v>99.259728186829875</c:v>
                </c:pt>
                <c:pt idx="515">
                  <c:v>99.142280342536424</c:v>
                </c:pt>
                <c:pt idx="516">
                  <c:v>99.016532035047078</c:v>
                </c:pt>
                <c:pt idx="517">
                  <c:v>98.875890166083011</c:v>
                </c:pt>
                <c:pt idx="518">
                  <c:v>98.745113613734844</c:v>
                </c:pt>
                <c:pt idx="519">
                  <c:v>98.649734323647181</c:v>
                </c:pt>
                <c:pt idx="520">
                  <c:v>98.614548729360536</c:v>
                </c:pt>
                <c:pt idx="521">
                  <c:v>98.576900873875616</c:v>
                </c:pt>
                <c:pt idx="522">
                  <c:v>98.545270659529905</c:v>
                </c:pt>
                <c:pt idx="523">
                  <c:v>98.532837884526145</c:v>
                </c:pt>
                <c:pt idx="524">
                  <c:v>98.5425534287874</c:v>
                </c:pt>
                <c:pt idx="525">
                  <c:v>98.498415651354634</c:v>
                </c:pt>
                <c:pt idx="526">
                  <c:v>98.409454747148487</c:v>
                </c:pt>
                <c:pt idx="527">
                  <c:v>98.331419866585549</c:v>
                </c:pt>
                <c:pt idx="528">
                  <c:v>98.233031998748871</c:v>
                </c:pt>
                <c:pt idx="529">
                  <c:v>98.122380327447502</c:v>
                </c:pt>
                <c:pt idx="530">
                  <c:v>98.042335695734067</c:v>
                </c:pt>
                <c:pt idx="531">
                  <c:v>97.983447164901889</c:v>
                </c:pt>
                <c:pt idx="532">
                  <c:v>97.937961930951715</c:v>
                </c:pt>
                <c:pt idx="533">
                  <c:v>97.889149692990969</c:v>
                </c:pt>
                <c:pt idx="534">
                  <c:v>97.799386738598258</c:v>
                </c:pt>
                <c:pt idx="535">
                  <c:v>97.575037311444362</c:v>
                </c:pt>
                <c:pt idx="536">
                  <c:v>97.485441969268663</c:v>
                </c:pt>
                <c:pt idx="537">
                  <c:v>97.434848967875993</c:v>
                </c:pt>
                <c:pt idx="538">
                  <c:v>97.380674192402211</c:v>
                </c:pt>
                <c:pt idx="539">
                  <c:v>97.313218704733771</c:v>
                </c:pt>
                <c:pt idx="540">
                  <c:v>97.220870806130435</c:v>
                </c:pt>
                <c:pt idx="541">
                  <c:v>97.114010906992178</c:v>
                </c:pt>
                <c:pt idx="542">
                  <c:v>97.010453122542359</c:v>
                </c:pt>
                <c:pt idx="543">
                  <c:v>96.912600199399833</c:v>
                </c:pt>
                <c:pt idx="544">
                  <c:v>96.82123618049819</c:v>
                </c:pt>
                <c:pt idx="545">
                  <c:v>96.699668620761969</c:v>
                </c:pt>
                <c:pt idx="546">
                  <c:v>96.541517495658212</c:v>
                </c:pt>
                <c:pt idx="547">
                  <c:v>96.384148673298355</c:v>
                </c:pt>
                <c:pt idx="548">
                  <c:v>96.187518248807223</c:v>
                </c:pt>
                <c:pt idx="549">
                  <c:v>95.973014517297813</c:v>
                </c:pt>
                <c:pt idx="550">
                  <c:v>95.741050727911173</c:v>
                </c:pt>
                <c:pt idx="551">
                  <c:v>95.576087338611643</c:v>
                </c:pt>
                <c:pt idx="552">
                  <c:v>95.379019471978452</c:v>
                </c:pt>
                <c:pt idx="553">
                  <c:v>95.187133456250237</c:v>
                </c:pt>
                <c:pt idx="554">
                  <c:v>94.768894886844009</c:v>
                </c:pt>
                <c:pt idx="555">
                  <c:v>94.265523162970979</c:v>
                </c:pt>
                <c:pt idx="556">
                  <c:v>93.780207786071571</c:v>
                </c:pt>
                <c:pt idx="557">
                  <c:v>93.483508432349595</c:v>
                </c:pt>
                <c:pt idx="558">
                  <c:v>93.294699849788316</c:v>
                </c:pt>
                <c:pt idx="559">
                  <c:v>93.11138649985638</c:v>
                </c:pt>
                <c:pt idx="560">
                  <c:v>92.921243076984112</c:v>
                </c:pt>
                <c:pt idx="561">
                  <c:v>92.710882382929938</c:v>
                </c:pt>
                <c:pt idx="562">
                  <c:v>92.519739169965888</c:v>
                </c:pt>
                <c:pt idx="563">
                  <c:v>92.427067334700524</c:v>
                </c:pt>
                <c:pt idx="564">
                  <c:v>92.355376396779249</c:v>
                </c:pt>
                <c:pt idx="565">
                  <c:v>92.320733948917933</c:v>
                </c:pt>
                <c:pt idx="566">
                  <c:v>92.300427168089413</c:v>
                </c:pt>
                <c:pt idx="567">
                  <c:v>92.291868208740226</c:v>
                </c:pt>
                <c:pt idx="568">
                  <c:v>92.285237557430037</c:v>
                </c:pt>
                <c:pt idx="569">
                  <c:v>92.285094022703575</c:v>
                </c:pt>
                <c:pt idx="570">
                  <c:v>92.310537111802589</c:v>
                </c:pt>
                <c:pt idx="571">
                  <c:v>92.354180805990055</c:v>
                </c:pt>
                <c:pt idx="572">
                  <c:v>92.40127693828498</c:v>
                </c:pt>
                <c:pt idx="573">
                  <c:v>92.460946738169753</c:v>
                </c:pt>
                <c:pt idx="574">
                  <c:v>92.543651158370693</c:v>
                </c:pt>
                <c:pt idx="575">
                  <c:v>92.656504912092842</c:v>
                </c:pt>
                <c:pt idx="576">
                  <c:v>92.757638055401017</c:v>
                </c:pt>
                <c:pt idx="577">
                  <c:v>92.861128869403913</c:v>
                </c:pt>
                <c:pt idx="578">
                  <c:v>93.006691438049202</c:v>
                </c:pt>
                <c:pt idx="579">
                  <c:v>93.16551503519311</c:v>
                </c:pt>
                <c:pt idx="580">
                  <c:v>93.26726883317292</c:v>
                </c:pt>
                <c:pt idx="581">
                  <c:v>93.380518489991942</c:v>
                </c:pt>
                <c:pt idx="582">
                  <c:v>93.537638811810666</c:v>
                </c:pt>
                <c:pt idx="583">
                  <c:v>93.654767106379083</c:v>
                </c:pt>
                <c:pt idx="584">
                  <c:v>93.751140773549423</c:v>
                </c:pt>
                <c:pt idx="585">
                  <c:v>93.926785132210298</c:v>
                </c:pt>
                <c:pt idx="586">
                  <c:v>94.013572101493438</c:v>
                </c:pt>
                <c:pt idx="587">
                  <c:v>94.103813252840254</c:v>
                </c:pt>
                <c:pt idx="588">
                  <c:v>94.121034280298716</c:v>
                </c:pt>
                <c:pt idx="589">
                  <c:v>94.214194866386052</c:v>
                </c:pt>
                <c:pt idx="590">
                  <c:v>94.310712283008101</c:v>
                </c:pt>
                <c:pt idx="591">
                  <c:v>94.378133619496637</c:v>
                </c:pt>
                <c:pt idx="592">
                  <c:v>94.451527299785596</c:v>
                </c:pt>
                <c:pt idx="593">
                  <c:v>94.533981882848821</c:v>
                </c:pt>
                <c:pt idx="594">
                  <c:v>94.636229181984191</c:v>
                </c:pt>
                <c:pt idx="595">
                  <c:v>94.827154108077124</c:v>
                </c:pt>
                <c:pt idx="596">
                  <c:v>94.939959271016875</c:v>
                </c:pt>
                <c:pt idx="597">
                  <c:v>95.011788905843702</c:v>
                </c:pt>
                <c:pt idx="598">
                  <c:v>95.081479331763077</c:v>
                </c:pt>
                <c:pt idx="599">
                  <c:v>109.1070664047258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15-4C9B-8C30-2F80E8E8AE15}"/>
            </c:ext>
          </c:extLst>
        </c:ser>
        <c:ser>
          <c:idx val="2"/>
          <c:order val="5"/>
          <c:tx>
            <c:strRef>
              <c:f>'REVAP Mesmos Parametros'!$AD$32</c:f>
              <c:strCache>
                <c:ptCount val="1"/>
                <c:pt idx="0">
                  <c:v>M-Dp</c:v>
                </c:pt>
              </c:strCache>
            </c:strRef>
          </c:tx>
          <c:spPr>
            <a:ln w="12700">
              <a:prstDash val="sysDot"/>
            </a:ln>
          </c:spPr>
          <c:marker>
            <c:symbol val="none"/>
          </c:marker>
          <c:xVal>
            <c:numRef>
              <c:f>'REVAP Mesmos Parametros'!$Z$32:$Z$631</c:f>
              <c:numCache>
                <c:formatCode>General</c:formatCode>
                <c:ptCount val="6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</c:numCache>
            </c:numRef>
          </c:xVal>
          <c:yVal>
            <c:numRef>
              <c:f>'REVAP Mesmos Parametros'!$AD$33:$AD$632</c:f>
              <c:numCache>
                <c:formatCode>0.0000</c:formatCode>
                <c:ptCount val="600"/>
                <c:pt idx="0">
                  <c:v>335.03929469601076</c:v>
                </c:pt>
                <c:pt idx="1">
                  <c:v>335.02176674500436</c:v>
                </c:pt>
                <c:pt idx="2">
                  <c:v>334.99196953746434</c:v>
                </c:pt>
                <c:pt idx="3">
                  <c:v>334.9560079165272</c:v>
                </c:pt>
                <c:pt idx="4">
                  <c:v>334.93427529203217</c:v>
                </c:pt>
                <c:pt idx="5">
                  <c:v>334.93810022893581</c:v>
                </c:pt>
                <c:pt idx="6">
                  <c:v>334.91577880715937</c:v>
                </c:pt>
                <c:pt idx="7">
                  <c:v>334.89159277060304</c:v>
                </c:pt>
                <c:pt idx="8">
                  <c:v>334.89591393504855</c:v>
                </c:pt>
                <c:pt idx="9">
                  <c:v>334.85721645369114</c:v>
                </c:pt>
                <c:pt idx="10">
                  <c:v>334.80482587774162</c:v>
                </c:pt>
                <c:pt idx="11">
                  <c:v>334.75478137949506</c:v>
                </c:pt>
                <c:pt idx="12">
                  <c:v>334.71267720892303</c:v>
                </c:pt>
                <c:pt idx="13">
                  <c:v>334.68809853701856</c:v>
                </c:pt>
                <c:pt idx="14">
                  <c:v>334.66936047145589</c:v>
                </c:pt>
                <c:pt idx="15">
                  <c:v>334.55559302891595</c:v>
                </c:pt>
                <c:pt idx="16">
                  <c:v>334.43264098965591</c:v>
                </c:pt>
                <c:pt idx="17">
                  <c:v>334.32412584119322</c:v>
                </c:pt>
                <c:pt idx="18">
                  <c:v>334.2753976922998</c:v>
                </c:pt>
                <c:pt idx="19">
                  <c:v>334.23352476550906</c:v>
                </c:pt>
                <c:pt idx="20">
                  <c:v>334.19124738133337</c:v>
                </c:pt>
                <c:pt idx="21">
                  <c:v>334.14808360458602</c:v>
                </c:pt>
                <c:pt idx="22">
                  <c:v>334.10587527888754</c:v>
                </c:pt>
                <c:pt idx="23">
                  <c:v>334.07313331618082</c:v>
                </c:pt>
                <c:pt idx="24">
                  <c:v>334.02794450325302</c:v>
                </c:pt>
                <c:pt idx="25">
                  <c:v>333.88479063313667</c:v>
                </c:pt>
                <c:pt idx="26">
                  <c:v>333.73245276517309</c:v>
                </c:pt>
                <c:pt idx="27">
                  <c:v>333.63153567076142</c:v>
                </c:pt>
                <c:pt idx="28">
                  <c:v>333.56253821785339</c:v>
                </c:pt>
                <c:pt idx="29">
                  <c:v>333.49318860046111</c:v>
                </c:pt>
                <c:pt idx="30">
                  <c:v>333.42345775918369</c:v>
                </c:pt>
                <c:pt idx="31">
                  <c:v>333.35122946040497</c:v>
                </c:pt>
                <c:pt idx="32">
                  <c:v>333.30603758417004</c:v>
                </c:pt>
                <c:pt idx="33">
                  <c:v>333.27415144843633</c:v>
                </c:pt>
                <c:pt idx="34">
                  <c:v>333.24519464324629</c:v>
                </c:pt>
                <c:pt idx="35">
                  <c:v>333.21639726455294</c:v>
                </c:pt>
                <c:pt idx="36">
                  <c:v>333.19187514846396</c:v>
                </c:pt>
                <c:pt idx="37">
                  <c:v>333.17381729473027</c:v>
                </c:pt>
                <c:pt idx="38">
                  <c:v>333.15613224202667</c:v>
                </c:pt>
                <c:pt idx="39">
                  <c:v>333.140689450651</c:v>
                </c:pt>
                <c:pt idx="40">
                  <c:v>333.12832477118297</c:v>
                </c:pt>
                <c:pt idx="41">
                  <c:v>333.11351132087555</c:v>
                </c:pt>
                <c:pt idx="42">
                  <c:v>333.09790081524091</c:v>
                </c:pt>
                <c:pt idx="43">
                  <c:v>333.08222789066133</c:v>
                </c:pt>
                <c:pt idx="44">
                  <c:v>333.0660145155374</c:v>
                </c:pt>
                <c:pt idx="45">
                  <c:v>333.04542528722573</c:v>
                </c:pt>
                <c:pt idx="46">
                  <c:v>333.02370835685502</c:v>
                </c:pt>
                <c:pt idx="47">
                  <c:v>333.00387464445748</c:v>
                </c:pt>
                <c:pt idx="48">
                  <c:v>332.9836672944578</c:v>
                </c:pt>
                <c:pt idx="49">
                  <c:v>332.96501265750317</c:v>
                </c:pt>
                <c:pt idx="50">
                  <c:v>332.96204260733589</c:v>
                </c:pt>
                <c:pt idx="51">
                  <c:v>332.96053937945231</c:v>
                </c:pt>
                <c:pt idx="52">
                  <c:v>332.95934661869967</c:v>
                </c:pt>
                <c:pt idx="53">
                  <c:v>332.94702795387752</c:v>
                </c:pt>
                <c:pt idx="54">
                  <c:v>332.90030839568584</c:v>
                </c:pt>
                <c:pt idx="55">
                  <c:v>332.81340794983856</c:v>
                </c:pt>
                <c:pt idx="56">
                  <c:v>332.74613175027309</c:v>
                </c:pt>
                <c:pt idx="57">
                  <c:v>332.67701213298363</c:v>
                </c:pt>
                <c:pt idx="58">
                  <c:v>332.60368313870089</c:v>
                </c:pt>
                <c:pt idx="59">
                  <c:v>332.63481239638423</c:v>
                </c:pt>
                <c:pt idx="60">
                  <c:v>332.5971012222243</c:v>
                </c:pt>
                <c:pt idx="61">
                  <c:v>332.47881658706171</c:v>
                </c:pt>
                <c:pt idx="62">
                  <c:v>332.43887128490616</c:v>
                </c:pt>
                <c:pt idx="63">
                  <c:v>332.45268485881951</c:v>
                </c:pt>
                <c:pt idx="64">
                  <c:v>332.31298004089376</c:v>
                </c:pt>
                <c:pt idx="65">
                  <c:v>332.11377618035249</c:v>
                </c:pt>
                <c:pt idx="66">
                  <c:v>331.91212153381861</c:v>
                </c:pt>
                <c:pt idx="67">
                  <c:v>331.75957372514642</c:v>
                </c:pt>
                <c:pt idx="68">
                  <c:v>331.67282071092995</c:v>
                </c:pt>
                <c:pt idx="69">
                  <c:v>331.56860949032773</c:v>
                </c:pt>
                <c:pt idx="70">
                  <c:v>331.49343036220301</c:v>
                </c:pt>
                <c:pt idx="71">
                  <c:v>331.43780834210372</c:v>
                </c:pt>
                <c:pt idx="72">
                  <c:v>331.38271514682759</c:v>
                </c:pt>
                <c:pt idx="73">
                  <c:v>331.15412516094347</c:v>
                </c:pt>
                <c:pt idx="74">
                  <c:v>331.01280265269497</c:v>
                </c:pt>
                <c:pt idx="75">
                  <c:v>330.90746793228823</c:v>
                </c:pt>
                <c:pt idx="76">
                  <c:v>330.78620032879991</c:v>
                </c:pt>
                <c:pt idx="77">
                  <c:v>330.62311652743324</c:v>
                </c:pt>
                <c:pt idx="78">
                  <c:v>330.42476271781368</c:v>
                </c:pt>
                <c:pt idx="79">
                  <c:v>330.1900768623787</c:v>
                </c:pt>
                <c:pt idx="80">
                  <c:v>329.94085168277763</c:v>
                </c:pt>
                <c:pt idx="81">
                  <c:v>329.67806699420981</c:v>
                </c:pt>
                <c:pt idx="82">
                  <c:v>329.41750587048818</c:v>
                </c:pt>
                <c:pt idx="83">
                  <c:v>329.17754334433675</c:v>
                </c:pt>
                <c:pt idx="84">
                  <c:v>328.94971389104961</c:v>
                </c:pt>
                <c:pt idx="85">
                  <c:v>328.63271390885069</c:v>
                </c:pt>
                <c:pt idx="86">
                  <c:v>328.32186490122336</c:v>
                </c:pt>
                <c:pt idx="87">
                  <c:v>328.13701187365456</c:v>
                </c:pt>
                <c:pt idx="88">
                  <c:v>327.96833218199856</c:v>
                </c:pt>
                <c:pt idx="89">
                  <c:v>327.79740233124522</c:v>
                </c:pt>
                <c:pt idx="90">
                  <c:v>327.66096913468891</c:v>
                </c:pt>
                <c:pt idx="91">
                  <c:v>327.49503650768332</c:v>
                </c:pt>
                <c:pt idx="92">
                  <c:v>327.3509253373108</c:v>
                </c:pt>
                <c:pt idx="93">
                  <c:v>327.26418153152986</c:v>
                </c:pt>
                <c:pt idx="94">
                  <c:v>327.11755706098842</c:v>
                </c:pt>
                <c:pt idx="95">
                  <c:v>326.93420668147724</c:v>
                </c:pt>
                <c:pt idx="96">
                  <c:v>326.89172945613097</c:v>
                </c:pt>
                <c:pt idx="97">
                  <c:v>326.7050453092142</c:v>
                </c:pt>
                <c:pt idx="98">
                  <c:v>326.52573209596289</c:v>
                </c:pt>
                <c:pt idx="99">
                  <c:v>326.38839682976851</c:v>
                </c:pt>
                <c:pt idx="100">
                  <c:v>326.28656913021689</c:v>
                </c:pt>
                <c:pt idx="101">
                  <c:v>326.17802728731436</c:v>
                </c:pt>
                <c:pt idx="102">
                  <c:v>325.99094808342181</c:v>
                </c:pt>
                <c:pt idx="103">
                  <c:v>325.82844774765687</c:v>
                </c:pt>
                <c:pt idx="104">
                  <c:v>325.65881967337197</c:v>
                </c:pt>
                <c:pt idx="105">
                  <c:v>325.39932343136064</c:v>
                </c:pt>
                <c:pt idx="106">
                  <c:v>325.12785345781845</c:v>
                </c:pt>
                <c:pt idx="107">
                  <c:v>324.84474736856737</c:v>
                </c:pt>
                <c:pt idx="108">
                  <c:v>324.59494933278546</c:v>
                </c:pt>
                <c:pt idx="109">
                  <c:v>324.36523380931629</c:v>
                </c:pt>
                <c:pt idx="110">
                  <c:v>324.11915977533454</c:v>
                </c:pt>
                <c:pt idx="111">
                  <c:v>323.88700910787622</c:v>
                </c:pt>
                <c:pt idx="112">
                  <c:v>323.66980569316382</c:v>
                </c:pt>
                <c:pt idx="113">
                  <c:v>323.50981838077553</c:v>
                </c:pt>
                <c:pt idx="114">
                  <c:v>323.12810050765711</c:v>
                </c:pt>
                <c:pt idx="115">
                  <c:v>322.48558335474917</c:v>
                </c:pt>
                <c:pt idx="116">
                  <c:v>321.58270915741252</c:v>
                </c:pt>
                <c:pt idx="117">
                  <c:v>320.4205872169465</c:v>
                </c:pt>
                <c:pt idx="118">
                  <c:v>319.0385458485257</c:v>
                </c:pt>
                <c:pt idx="119">
                  <c:v>317.56276395000179</c:v>
                </c:pt>
                <c:pt idx="120">
                  <c:v>316.15757470833535</c:v>
                </c:pt>
                <c:pt idx="121">
                  <c:v>314.72319663017487</c:v>
                </c:pt>
                <c:pt idx="122">
                  <c:v>313.3109300745312</c:v>
                </c:pt>
                <c:pt idx="123">
                  <c:v>311.95236306915075</c:v>
                </c:pt>
                <c:pt idx="124">
                  <c:v>310.75541870449149</c:v>
                </c:pt>
                <c:pt idx="125">
                  <c:v>309.55383798132459</c:v>
                </c:pt>
                <c:pt idx="126">
                  <c:v>308.53084519687036</c:v>
                </c:pt>
                <c:pt idx="127">
                  <c:v>307.56296516759289</c:v>
                </c:pt>
                <c:pt idx="128">
                  <c:v>306.51141589445979</c:v>
                </c:pt>
                <c:pt idx="129">
                  <c:v>305.67024852496775</c:v>
                </c:pt>
                <c:pt idx="130">
                  <c:v>304.80070763898937</c:v>
                </c:pt>
                <c:pt idx="131">
                  <c:v>303.94149165232466</c:v>
                </c:pt>
                <c:pt idx="132">
                  <c:v>303.23611087405328</c:v>
                </c:pt>
                <c:pt idx="133">
                  <c:v>302.56233305647049</c:v>
                </c:pt>
                <c:pt idx="134">
                  <c:v>301.86283872881029</c:v>
                </c:pt>
                <c:pt idx="135">
                  <c:v>301.05158046627923</c:v>
                </c:pt>
                <c:pt idx="136">
                  <c:v>300.38478148526656</c:v>
                </c:pt>
                <c:pt idx="137">
                  <c:v>299.72081760560269</c:v>
                </c:pt>
                <c:pt idx="138">
                  <c:v>299.23626413799508</c:v>
                </c:pt>
                <c:pt idx="139">
                  <c:v>298.6150529147373</c:v>
                </c:pt>
                <c:pt idx="140">
                  <c:v>298.03984191294956</c:v>
                </c:pt>
                <c:pt idx="141">
                  <c:v>297.583462971335</c:v>
                </c:pt>
                <c:pt idx="142">
                  <c:v>297.1234462805462</c:v>
                </c:pt>
                <c:pt idx="143">
                  <c:v>296.645504094025</c:v>
                </c:pt>
                <c:pt idx="144">
                  <c:v>296.17588129954277</c:v>
                </c:pt>
                <c:pt idx="145">
                  <c:v>295.77438256337518</c:v>
                </c:pt>
                <c:pt idx="146">
                  <c:v>295.34241437460634</c:v>
                </c:pt>
                <c:pt idx="147">
                  <c:v>294.98768910629792</c:v>
                </c:pt>
                <c:pt idx="148">
                  <c:v>294.50145553276326</c:v>
                </c:pt>
                <c:pt idx="149">
                  <c:v>294.17154673930941</c:v>
                </c:pt>
                <c:pt idx="150">
                  <c:v>293.91026732053155</c:v>
                </c:pt>
                <c:pt idx="151">
                  <c:v>293.55386623337233</c:v>
                </c:pt>
                <c:pt idx="152">
                  <c:v>293.0360410935458</c:v>
                </c:pt>
                <c:pt idx="153">
                  <c:v>292.47949249408396</c:v>
                </c:pt>
                <c:pt idx="154">
                  <c:v>291.9330413144562</c:v>
                </c:pt>
                <c:pt idx="155">
                  <c:v>291.25693237559273</c:v>
                </c:pt>
                <c:pt idx="156">
                  <c:v>290.60481967943264</c:v>
                </c:pt>
                <c:pt idx="157">
                  <c:v>289.92481430432855</c:v>
                </c:pt>
                <c:pt idx="158">
                  <c:v>289.12518456033388</c:v>
                </c:pt>
                <c:pt idx="159">
                  <c:v>288.33862224320433</c:v>
                </c:pt>
                <c:pt idx="160">
                  <c:v>287.37596124651748</c:v>
                </c:pt>
                <c:pt idx="161">
                  <c:v>286.27777973948832</c:v>
                </c:pt>
                <c:pt idx="162">
                  <c:v>285.31316073529723</c:v>
                </c:pt>
                <c:pt idx="163">
                  <c:v>284.35714868852381</c:v>
                </c:pt>
                <c:pt idx="164">
                  <c:v>283.2491608670876</c:v>
                </c:pt>
                <c:pt idx="165">
                  <c:v>282.00094174591004</c:v>
                </c:pt>
                <c:pt idx="166">
                  <c:v>280.78905533255141</c:v>
                </c:pt>
                <c:pt idx="167">
                  <c:v>279.3716549317146</c:v>
                </c:pt>
                <c:pt idx="168">
                  <c:v>277.86026125756888</c:v>
                </c:pt>
                <c:pt idx="169">
                  <c:v>276.29468411030984</c:v>
                </c:pt>
                <c:pt idx="170">
                  <c:v>274.59657282143002</c:v>
                </c:pt>
                <c:pt idx="171">
                  <c:v>272.93650386414492</c:v>
                </c:pt>
                <c:pt idx="172">
                  <c:v>271.18123419080666</c:v>
                </c:pt>
                <c:pt idx="173">
                  <c:v>269.31614322685522</c:v>
                </c:pt>
                <c:pt idx="174">
                  <c:v>267.55463983920032</c:v>
                </c:pt>
                <c:pt idx="175">
                  <c:v>265.63154745417563</c:v>
                </c:pt>
                <c:pt idx="176">
                  <c:v>263.58354055301788</c:v>
                </c:pt>
                <c:pt idx="177">
                  <c:v>261.69991032793223</c:v>
                </c:pt>
                <c:pt idx="178">
                  <c:v>259.6639904327842</c:v>
                </c:pt>
                <c:pt idx="179">
                  <c:v>257.7716976969229</c:v>
                </c:pt>
                <c:pt idx="180">
                  <c:v>255.93013112613085</c:v>
                </c:pt>
                <c:pt idx="181">
                  <c:v>254.0501703886176</c:v>
                </c:pt>
                <c:pt idx="182">
                  <c:v>252.18988063366422</c:v>
                </c:pt>
                <c:pt idx="183">
                  <c:v>250.30489950258064</c:v>
                </c:pt>
                <c:pt idx="184">
                  <c:v>248.59356746992222</c:v>
                </c:pt>
                <c:pt idx="185">
                  <c:v>246.8730432034086</c:v>
                </c:pt>
                <c:pt idx="186">
                  <c:v>245.1803626385506</c:v>
                </c:pt>
                <c:pt idx="187">
                  <c:v>243.44678012117967</c:v>
                </c:pt>
                <c:pt idx="188">
                  <c:v>241.71983646442925</c:v>
                </c:pt>
                <c:pt idx="189">
                  <c:v>240.04215506631516</c:v>
                </c:pt>
                <c:pt idx="190">
                  <c:v>238.3356618168898</c:v>
                </c:pt>
                <c:pt idx="191">
                  <c:v>236.80566321313455</c:v>
                </c:pt>
                <c:pt idx="192">
                  <c:v>235.06648844105214</c:v>
                </c:pt>
                <c:pt idx="193">
                  <c:v>233.425626152956</c:v>
                </c:pt>
                <c:pt idx="194">
                  <c:v>231.93250934717599</c:v>
                </c:pt>
                <c:pt idx="195">
                  <c:v>230.26747124660307</c:v>
                </c:pt>
                <c:pt idx="196">
                  <c:v>228.81657002474506</c:v>
                </c:pt>
                <c:pt idx="197">
                  <c:v>227.25794018806732</c:v>
                </c:pt>
                <c:pt idx="198">
                  <c:v>225.7253275919029</c:v>
                </c:pt>
                <c:pt idx="199">
                  <c:v>224.31718792568</c:v>
                </c:pt>
                <c:pt idx="200">
                  <c:v>222.96515413259092</c:v>
                </c:pt>
                <c:pt idx="201">
                  <c:v>221.51749840811692</c:v>
                </c:pt>
                <c:pt idx="202">
                  <c:v>220.11470415608332</c:v>
                </c:pt>
                <c:pt idx="203">
                  <c:v>218.67286595348787</c:v>
                </c:pt>
                <c:pt idx="204">
                  <c:v>217.29597583211344</c:v>
                </c:pt>
                <c:pt idx="205">
                  <c:v>215.88480689931447</c:v>
                </c:pt>
                <c:pt idx="206">
                  <c:v>214.53148307667107</c:v>
                </c:pt>
                <c:pt idx="207">
                  <c:v>213.08379412362493</c:v>
                </c:pt>
                <c:pt idx="208">
                  <c:v>211.70087697460573</c:v>
                </c:pt>
                <c:pt idx="209">
                  <c:v>210.31351901841293</c:v>
                </c:pt>
                <c:pt idx="210">
                  <c:v>208.93515043080583</c:v>
                </c:pt>
                <c:pt idx="211">
                  <c:v>207.64281122039534</c:v>
                </c:pt>
                <c:pt idx="212">
                  <c:v>206.28190134999153</c:v>
                </c:pt>
                <c:pt idx="213">
                  <c:v>205.04135794964384</c:v>
                </c:pt>
                <c:pt idx="214">
                  <c:v>203.61829919881126</c:v>
                </c:pt>
                <c:pt idx="215">
                  <c:v>202.27218912756567</c:v>
                </c:pt>
                <c:pt idx="216">
                  <c:v>200.94194035278281</c:v>
                </c:pt>
                <c:pt idx="217">
                  <c:v>199.5122174955049</c:v>
                </c:pt>
                <c:pt idx="218">
                  <c:v>198.30470356624932</c:v>
                </c:pt>
                <c:pt idx="219">
                  <c:v>197.01637705718323</c:v>
                </c:pt>
                <c:pt idx="220">
                  <c:v>195.63877516820867</c:v>
                </c:pt>
                <c:pt idx="221">
                  <c:v>194.36919746332993</c:v>
                </c:pt>
                <c:pt idx="222">
                  <c:v>193.10309738735018</c:v>
                </c:pt>
                <c:pt idx="223">
                  <c:v>191.77121043608577</c:v>
                </c:pt>
                <c:pt idx="224">
                  <c:v>190.43988535854521</c:v>
                </c:pt>
                <c:pt idx="225">
                  <c:v>189.23207037437948</c:v>
                </c:pt>
                <c:pt idx="226">
                  <c:v>188.01559003060504</c:v>
                </c:pt>
                <c:pt idx="227">
                  <c:v>186.85344962888391</c:v>
                </c:pt>
                <c:pt idx="228">
                  <c:v>185.67822210270265</c:v>
                </c:pt>
                <c:pt idx="229">
                  <c:v>184.48833946152484</c:v>
                </c:pt>
                <c:pt idx="230">
                  <c:v>183.36667128865616</c:v>
                </c:pt>
                <c:pt idx="231">
                  <c:v>182.25734323290354</c:v>
                </c:pt>
                <c:pt idx="232">
                  <c:v>181.22905160912296</c:v>
                </c:pt>
                <c:pt idx="233">
                  <c:v>180.12805905181526</c:v>
                </c:pt>
                <c:pt idx="234">
                  <c:v>179.23849727027118</c:v>
                </c:pt>
                <c:pt idx="235">
                  <c:v>178.24526000055266</c:v>
                </c:pt>
                <c:pt idx="236">
                  <c:v>177.24772511464806</c:v>
                </c:pt>
                <c:pt idx="237">
                  <c:v>176.29697564059416</c:v>
                </c:pt>
                <c:pt idx="238">
                  <c:v>175.52685667538628</c:v>
                </c:pt>
                <c:pt idx="239">
                  <c:v>174.5408867181911</c:v>
                </c:pt>
                <c:pt idx="240">
                  <c:v>173.57185367323905</c:v>
                </c:pt>
                <c:pt idx="241">
                  <c:v>172.56296759224801</c:v>
                </c:pt>
                <c:pt idx="242">
                  <c:v>171.61148714900821</c:v>
                </c:pt>
                <c:pt idx="243">
                  <c:v>170.69599200727478</c:v>
                </c:pt>
                <c:pt idx="244">
                  <c:v>169.64469447538292</c:v>
                </c:pt>
                <c:pt idx="245">
                  <c:v>168.64973732184188</c:v>
                </c:pt>
                <c:pt idx="246">
                  <c:v>167.71215434567256</c:v>
                </c:pt>
                <c:pt idx="247">
                  <c:v>166.72013319300819</c:v>
                </c:pt>
                <c:pt idx="248">
                  <c:v>165.85912642949998</c:v>
                </c:pt>
                <c:pt idx="249">
                  <c:v>165.05670037963887</c:v>
                </c:pt>
                <c:pt idx="250">
                  <c:v>164.19738846609968</c:v>
                </c:pt>
                <c:pt idx="251">
                  <c:v>163.42892256065434</c:v>
                </c:pt>
                <c:pt idx="252">
                  <c:v>162.57674605562912</c:v>
                </c:pt>
                <c:pt idx="253">
                  <c:v>161.76390928083453</c:v>
                </c:pt>
                <c:pt idx="254">
                  <c:v>161.04907797390331</c:v>
                </c:pt>
                <c:pt idx="255">
                  <c:v>160.19343202789767</c:v>
                </c:pt>
                <c:pt idx="256">
                  <c:v>159.40184606299005</c:v>
                </c:pt>
                <c:pt idx="257">
                  <c:v>158.65263609609565</c:v>
                </c:pt>
                <c:pt idx="258">
                  <c:v>157.93281955341024</c:v>
                </c:pt>
                <c:pt idx="259">
                  <c:v>157.35557997579807</c:v>
                </c:pt>
                <c:pt idx="260">
                  <c:v>156.74239982896515</c:v>
                </c:pt>
                <c:pt idx="261">
                  <c:v>156.13110022180095</c:v>
                </c:pt>
                <c:pt idx="262">
                  <c:v>155.49984226334217</c:v>
                </c:pt>
                <c:pt idx="263">
                  <c:v>154.77449942946441</c:v>
                </c:pt>
                <c:pt idx="264">
                  <c:v>154.14539895660351</c:v>
                </c:pt>
                <c:pt idx="265">
                  <c:v>153.40817158441672</c:v>
                </c:pt>
                <c:pt idx="266">
                  <c:v>152.50345412885559</c:v>
                </c:pt>
                <c:pt idx="267">
                  <c:v>151.72435200876069</c:v>
                </c:pt>
                <c:pt idx="268">
                  <c:v>150.69537899530133</c:v>
                </c:pt>
                <c:pt idx="269">
                  <c:v>149.77454212724047</c:v>
                </c:pt>
                <c:pt idx="270">
                  <c:v>148.76451325117944</c:v>
                </c:pt>
                <c:pt idx="271">
                  <c:v>147.74650573110506</c:v>
                </c:pt>
                <c:pt idx="272">
                  <c:v>146.7497433015451</c:v>
                </c:pt>
                <c:pt idx="273">
                  <c:v>145.77486674694885</c:v>
                </c:pt>
                <c:pt idx="274">
                  <c:v>144.74357722599746</c:v>
                </c:pt>
                <c:pt idx="275">
                  <c:v>143.69356588537821</c:v>
                </c:pt>
                <c:pt idx="276">
                  <c:v>142.74860540137291</c:v>
                </c:pt>
                <c:pt idx="277">
                  <c:v>141.84008789445735</c:v>
                </c:pt>
                <c:pt idx="278">
                  <c:v>140.92276878469548</c:v>
                </c:pt>
                <c:pt idx="279">
                  <c:v>139.99588952595977</c:v>
                </c:pt>
                <c:pt idx="280">
                  <c:v>139.12119096857822</c:v>
                </c:pt>
                <c:pt idx="281">
                  <c:v>138.20107655843134</c:v>
                </c:pt>
                <c:pt idx="282">
                  <c:v>137.27721040412825</c:v>
                </c:pt>
                <c:pt idx="283">
                  <c:v>136.32571725003112</c:v>
                </c:pt>
                <c:pt idx="284">
                  <c:v>135.52408459301483</c:v>
                </c:pt>
                <c:pt idx="285">
                  <c:v>134.59842345351831</c:v>
                </c:pt>
                <c:pt idx="286">
                  <c:v>133.78573469554294</c:v>
                </c:pt>
                <c:pt idx="287">
                  <c:v>133.01806316500534</c:v>
                </c:pt>
                <c:pt idx="288">
                  <c:v>132.26300313890385</c:v>
                </c:pt>
                <c:pt idx="289">
                  <c:v>131.47572048164142</c:v>
                </c:pt>
                <c:pt idx="290">
                  <c:v>130.76571153176974</c:v>
                </c:pt>
                <c:pt idx="291">
                  <c:v>129.98926565682501</c:v>
                </c:pt>
                <c:pt idx="292">
                  <c:v>129.22235175956411</c:v>
                </c:pt>
                <c:pt idx="293">
                  <c:v>128.45902812978994</c:v>
                </c:pt>
                <c:pt idx="294">
                  <c:v>127.70361891891672</c:v>
                </c:pt>
                <c:pt idx="295">
                  <c:v>126.94367719624968</c:v>
                </c:pt>
                <c:pt idx="296">
                  <c:v>126.28569729416269</c:v>
                </c:pt>
                <c:pt idx="297">
                  <c:v>125.47334632842824</c:v>
                </c:pt>
                <c:pt idx="298">
                  <c:v>124.8127696872649</c:v>
                </c:pt>
                <c:pt idx="299">
                  <c:v>124.16690931298517</c:v>
                </c:pt>
                <c:pt idx="300">
                  <c:v>123.50345125284215</c:v>
                </c:pt>
                <c:pt idx="301">
                  <c:v>122.92605270170768</c:v>
                </c:pt>
                <c:pt idx="302">
                  <c:v>122.13660348283199</c:v>
                </c:pt>
                <c:pt idx="303">
                  <c:v>121.47797832161086</c:v>
                </c:pt>
                <c:pt idx="304">
                  <c:v>120.88941815833664</c:v>
                </c:pt>
                <c:pt idx="305">
                  <c:v>120.22592218724702</c:v>
                </c:pt>
                <c:pt idx="306">
                  <c:v>119.61590830780909</c:v>
                </c:pt>
                <c:pt idx="307">
                  <c:v>119.09698348062473</c:v>
                </c:pt>
                <c:pt idx="308">
                  <c:v>118.48809727133204</c:v>
                </c:pt>
                <c:pt idx="309">
                  <c:v>118.02186136873968</c:v>
                </c:pt>
                <c:pt idx="310">
                  <c:v>117.4786425829631</c:v>
                </c:pt>
                <c:pt idx="311">
                  <c:v>116.93837263561373</c:v>
                </c:pt>
                <c:pt idx="312">
                  <c:v>116.4257876868549</c:v>
                </c:pt>
                <c:pt idx="313">
                  <c:v>115.89642620855969</c:v>
                </c:pt>
                <c:pt idx="314">
                  <c:v>115.45355341894205</c:v>
                </c:pt>
                <c:pt idx="315">
                  <c:v>115.02004730750974</c:v>
                </c:pt>
                <c:pt idx="316">
                  <c:v>114.60059649081963</c:v>
                </c:pt>
                <c:pt idx="317">
                  <c:v>114.15395414357658</c:v>
                </c:pt>
                <c:pt idx="318">
                  <c:v>113.72991375569013</c:v>
                </c:pt>
                <c:pt idx="319">
                  <c:v>113.38395658368424</c:v>
                </c:pt>
                <c:pt idx="320">
                  <c:v>112.97213464665772</c:v>
                </c:pt>
                <c:pt idx="321">
                  <c:v>112.59097302159105</c:v>
                </c:pt>
                <c:pt idx="322">
                  <c:v>112.3472698341847</c:v>
                </c:pt>
                <c:pt idx="323">
                  <c:v>111.96798103256458</c:v>
                </c:pt>
                <c:pt idx="324">
                  <c:v>111.5703256226256</c:v>
                </c:pt>
                <c:pt idx="325">
                  <c:v>111.28571634586433</c:v>
                </c:pt>
                <c:pt idx="326">
                  <c:v>110.95563529918351</c:v>
                </c:pt>
                <c:pt idx="327">
                  <c:v>110.62101171631981</c:v>
                </c:pt>
                <c:pt idx="328">
                  <c:v>110.36673343048318</c:v>
                </c:pt>
                <c:pt idx="329">
                  <c:v>110.07010784247532</c:v>
                </c:pt>
                <c:pt idx="330">
                  <c:v>109.71484902320627</c:v>
                </c:pt>
                <c:pt idx="331">
                  <c:v>109.37393489810376</c:v>
                </c:pt>
                <c:pt idx="332">
                  <c:v>109.08951219935514</c:v>
                </c:pt>
                <c:pt idx="333">
                  <c:v>108.8343219978118</c:v>
                </c:pt>
                <c:pt idx="334">
                  <c:v>108.56211655904769</c:v>
                </c:pt>
                <c:pt idx="335">
                  <c:v>108.32392936251536</c:v>
                </c:pt>
                <c:pt idx="336">
                  <c:v>108.03963457703742</c:v>
                </c:pt>
                <c:pt idx="337">
                  <c:v>107.81103355409904</c:v>
                </c:pt>
                <c:pt idx="338">
                  <c:v>107.60175339807662</c:v>
                </c:pt>
                <c:pt idx="339">
                  <c:v>107.35645715367221</c:v>
                </c:pt>
                <c:pt idx="340">
                  <c:v>107.13491601608843</c:v>
                </c:pt>
                <c:pt idx="341">
                  <c:v>106.90337527073012</c:v>
                </c:pt>
                <c:pt idx="342">
                  <c:v>106.67538900631739</c:v>
                </c:pt>
                <c:pt idx="343">
                  <c:v>106.53461102794604</c:v>
                </c:pt>
                <c:pt idx="344">
                  <c:v>106.36645519747063</c:v>
                </c:pt>
                <c:pt idx="345">
                  <c:v>106.10760518708126</c:v>
                </c:pt>
                <c:pt idx="346">
                  <c:v>105.7965500800269</c:v>
                </c:pt>
                <c:pt idx="347">
                  <c:v>105.6165444242705</c:v>
                </c:pt>
                <c:pt idx="348">
                  <c:v>105.45954332503518</c:v>
                </c:pt>
                <c:pt idx="349">
                  <c:v>105.35791913721908</c:v>
                </c:pt>
                <c:pt idx="350">
                  <c:v>105.17822282657508</c:v>
                </c:pt>
                <c:pt idx="351">
                  <c:v>104.99707449032121</c:v>
                </c:pt>
                <c:pt idx="352">
                  <c:v>104.88335698921013</c:v>
                </c:pt>
                <c:pt idx="353">
                  <c:v>104.69260699719824</c:v>
                </c:pt>
                <c:pt idx="354">
                  <c:v>104.51898579059412</c:v>
                </c:pt>
                <c:pt idx="355">
                  <c:v>104.32424614256192</c:v>
                </c:pt>
                <c:pt idx="356">
                  <c:v>104.09200995458001</c:v>
                </c:pt>
                <c:pt idx="357">
                  <c:v>103.8364338202131</c:v>
                </c:pt>
                <c:pt idx="358">
                  <c:v>103.47416883698754</c:v>
                </c:pt>
                <c:pt idx="359">
                  <c:v>103.20936760081329</c:v>
                </c:pt>
                <c:pt idx="360">
                  <c:v>102.941676813127</c:v>
                </c:pt>
                <c:pt idx="361">
                  <c:v>102.65098873923469</c:v>
                </c:pt>
                <c:pt idx="362">
                  <c:v>102.41889493800745</c:v>
                </c:pt>
                <c:pt idx="363">
                  <c:v>102.16482696301215</c:v>
                </c:pt>
                <c:pt idx="364">
                  <c:v>101.7887057506302</c:v>
                </c:pt>
                <c:pt idx="365">
                  <c:v>101.45731752898135</c:v>
                </c:pt>
                <c:pt idx="366">
                  <c:v>101.19357603578979</c:v>
                </c:pt>
                <c:pt idx="367">
                  <c:v>100.87267428832276</c:v>
                </c:pt>
                <c:pt idx="368">
                  <c:v>100.49571368237326</c:v>
                </c:pt>
                <c:pt idx="369">
                  <c:v>100.11735309994162</c:v>
                </c:pt>
                <c:pt idx="370">
                  <c:v>99.772880910508846</c:v>
                </c:pt>
                <c:pt idx="371">
                  <c:v>99.466173248898329</c:v>
                </c:pt>
                <c:pt idx="372">
                  <c:v>99.134538778559545</c:v>
                </c:pt>
                <c:pt idx="373">
                  <c:v>98.768876382516694</c:v>
                </c:pt>
                <c:pt idx="374">
                  <c:v>98.387004597905232</c:v>
                </c:pt>
                <c:pt idx="375">
                  <c:v>98.031224688711376</c:v>
                </c:pt>
                <c:pt idx="376">
                  <c:v>97.702054676721559</c:v>
                </c:pt>
                <c:pt idx="377">
                  <c:v>97.384574032485801</c:v>
                </c:pt>
                <c:pt idx="378">
                  <c:v>96.964581980953938</c:v>
                </c:pt>
                <c:pt idx="379">
                  <c:v>96.551109523174958</c:v>
                </c:pt>
                <c:pt idx="380">
                  <c:v>96.204449259984003</c:v>
                </c:pt>
                <c:pt idx="381">
                  <c:v>95.888742414473882</c:v>
                </c:pt>
                <c:pt idx="382">
                  <c:v>95.568749808997651</c:v>
                </c:pt>
                <c:pt idx="383">
                  <c:v>95.150613466495003</c:v>
                </c:pt>
                <c:pt idx="384">
                  <c:v>94.764043498447407</c:v>
                </c:pt>
                <c:pt idx="385">
                  <c:v>94.44699773252259</c:v>
                </c:pt>
                <c:pt idx="386">
                  <c:v>94.061199857814387</c:v>
                </c:pt>
                <c:pt idx="387">
                  <c:v>93.699258577125079</c:v>
                </c:pt>
                <c:pt idx="388">
                  <c:v>93.382970007811338</c:v>
                </c:pt>
                <c:pt idx="389">
                  <c:v>93.059598745046031</c:v>
                </c:pt>
                <c:pt idx="390">
                  <c:v>92.686570731653021</c:v>
                </c:pt>
                <c:pt idx="391">
                  <c:v>92.273172686838976</c:v>
                </c:pt>
                <c:pt idx="392">
                  <c:v>91.910871765641275</c:v>
                </c:pt>
                <c:pt idx="393">
                  <c:v>91.599804584221317</c:v>
                </c:pt>
                <c:pt idx="394">
                  <c:v>91.26148558867115</c:v>
                </c:pt>
                <c:pt idx="395">
                  <c:v>91.054993253167879</c:v>
                </c:pt>
                <c:pt idx="396">
                  <c:v>90.863587754368382</c:v>
                </c:pt>
                <c:pt idx="397">
                  <c:v>90.567269097632547</c:v>
                </c:pt>
                <c:pt idx="398">
                  <c:v>90.279227616675627</c:v>
                </c:pt>
                <c:pt idx="399">
                  <c:v>90.121046433152202</c:v>
                </c:pt>
                <c:pt idx="400">
                  <c:v>89.922969088115607</c:v>
                </c:pt>
                <c:pt idx="401">
                  <c:v>89.721717293720062</c:v>
                </c:pt>
                <c:pt idx="402">
                  <c:v>89.521360708963002</c:v>
                </c:pt>
                <c:pt idx="403">
                  <c:v>89.336697723905829</c:v>
                </c:pt>
                <c:pt idx="404">
                  <c:v>89.173741044737071</c:v>
                </c:pt>
                <c:pt idx="405">
                  <c:v>89.05210485522025</c:v>
                </c:pt>
                <c:pt idx="406">
                  <c:v>88.809534355374694</c:v>
                </c:pt>
                <c:pt idx="407">
                  <c:v>88.584589112833569</c:v>
                </c:pt>
                <c:pt idx="408">
                  <c:v>88.362952387425764</c:v>
                </c:pt>
                <c:pt idx="409">
                  <c:v>88.137158427017525</c:v>
                </c:pt>
                <c:pt idx="410">
                  <c:v>87.851034841060454</c:v>
                </c:pt>
                <c:pt idx="411">
                  <c:v>87.630315466283861</c:v>
                </c:pt>
                <c:pt idx="412">
                  <c:v>87.44376746306574</c:v>
                </c:pt>
                <c:pt idx="413">
                  <c:v>87.266586813386837</c:v>
                </c:pt>
                <c:pt idx="414">
                  <c:v>87.056221783611932</c:v>
                </c:pt>
                <c:pt idx="415">
                  <c:v>86.771294074518721</c:v>
                </c:pt>
                <c:pt idx="416">
                  <c:v>86.549027370724019</c:v>
                </c:pt>
                <c:pt idx="417">
                  <c:v>86.330809885612325</c:v>
                </c:pt>
                <c:pt idx="418">
                  <c:v>86.08332230532838</c:v>
                </c:pt>
                <c:pt idx="419">
                  <c:v>85.908418659244973</c:v>
                </c:pt>
                <c:pt idx="420">
                  <c:v>85.732620921361843</c:v>
                </c:pt>
                <c:pt idx="421">
                  <c:v>85.455768432623998</c:v>
                </c:pt>
                <c:pt idx="422">
                  <c:v>85.124669519278015</c:v>
                </c:pt>
                <c:pt idx="423">
                  <c:v>84.897992085862228</c:v>
                </c:pt>
                <c:pt idx="424">
                  <c:v>84.69235922373386</c:v>
                </c:pt>
                <c:pt idx="425">
                  <c:v>84.496448148792695</c:v>
                </c:pt>
                <c:pt idx="426">
                  <c:v>84.342793512108358</c:v>
                </c:pt>
                <c:pt idx="427">
                  <c:v>84.103726823746214</c:v>
                </c:pt>
                <c:pt idx="428">
                  <c:v>83.85122263121545</c:v>
                </c:pt>
                <c:pt idx="429">
                  <c:v>83.606382642948574</c:v>
                </c:pt>
                <c:pt idx="430">
                  <c:v>83.345709324480083</c:v>
                </c:pt>
                <c:pt idx="431">
                  <c:v>83.055487720898299</c:v>
                </c:pt>
                <c:pt idx="432">
                  <c:v>82.83130391323887</c:v>
                </c:pt>
                <c:pt idx="433">
                  <c:v>82.575910330949526</c:v>
                </c:pt>
                <c:pt idx="434">
                  <c:v>82.261081476103215</c:v>
                </c:pt>
                <c:pt idx="435">
                  <c:v>81.944033906493772</c:v>
                </c:pt>
                <c:pt idx="436">
                  <c:v>81.68457839528449</c:v>
                </c:pt>
                <c:pt idx="437">
                  <c:v>81.428832101202786</c:v>
                </c:pt>
                <c:pt idx="438">
                  <c:v>81.176299186831884</c:v>
                </c:pt>
                <c:pt idx="439">
                  <c:v>80.856883337362518</c:v>
                </c:pt>
                <c:pt idx="440">
                  <c:v>80.480872688581769</c:v>
                </c:pt>
                <c:pt idx="441">
                  <c:v>80.147147263607096</c:v>
                </c:pt>
                <c:pt idx="442">
                  <c:v>79.851631649843924</c:v>
                </c:pt>
                <c:pt idx="443">
                  <c:v>79.540068569110019</c:v>
                </c:pt>
                <c:pt idx="444">
                  <c:v>79.215021249304201</c:v>
                </c:pt>
                <c:pt idx="445">
                  <c:v>78.921128432878575</c:v>
                </c:pt>
                <c:pt idx="446">
                  <c:v>78.62356268949533</c:v>
                </c:pt>
                <c:pt idx="447">
                  <c:v>78.347176388676786</c:v>
                </c:pt>
                <c:pt idx="448">
                  <c:v>78.063826182928054</c:v>
                </c:pt>
                <c:pt idx="449">
                  <c:v>77.750460498794325</c:v>
                </c:pt>
                <c:pt idx="450">
                  <c:v>77.377326023413318</c:v>
                </c:pt>
                <c:pt idx="451">
                  <c:v>77.019847530181266</c:v>
                </c:pt>
                <c:pt idx="452">
                  <c:v>76.976787681113365</c:v>
                </c:pt>
                <c:pt idx="453">
                  <c:v>77.262299026830618</c:v>
                </c:pt>
                <c:pt idx="454">
                  <c:v>77.516019815235069</c:v>
                </c:pt>
                <c:pt idx="455">
                  <c:v>77.786165013532582</c:v>
                </c:pt>
                <c:pt idx="456">
                  <c:v>78.221549994768054</c:v>
                </c:pt>
                <c:pt idx="457">
                  <c:v>78.820912596808597</c:v>
                </c:pt>
                <c:pt idx="458">
                  <c:v>79.646199494759159</c:v>
                </c:pt>
                <c:pt idx="459">
                  <c:v>80.45757941255286</c:v>
                </c:pt>
                <c:pt idx="460">
                  <c:v>81.465988524266351</c:v>
                </c:pt>
                <c:pt idx="461">
                  <c:v>82.478267373759806</c:v>
                </c:pt>
                <c:pt idx="462">
                  <c:v>83.490699013790348</c:v>
                </c:pt>
                <c:pt idx="463">
                  <c:v>84.549169253027586</c:v>
                </c:pt>
                <c:pt idx="464">
                  <c:v>85.517999100766843</c:v>
                </c:pt>
                <c:pt idx="465">
                  <c:v>86.396878669969752</c:v>
                </c:pt>
                <c:pt idx="466">
                  <c:v>87.252610522610667</c:v>
                </c:pt>
                <c:pt idx="467">
                  <c:v>88.121413556298123</c:v>
                </c:pt>
                <c:pt idx="468">
                  <c:v>88.925544666455437</c:v>
                </c:pt>
                <c:pt idx="469">
                  <c:v>89.696797213566441</c:v>
                </c:pt>
                <c:pt idx="470">
                  <c:v>90.319220903727725</c:v>
                </c:pt>
                <c:pt idx="471">
                  <c:v>90.970350067590715</c:v>
                </c:pt>
                <c:pt idx="472">
                  <c:v>91.55405506311719</c:v>
                </c:pt>
                <c:pt idx="473">
                  <c:v>92.096854067835565</c:v>
                </c:pt>
                <c:pt idx="474">
                  <c:v>92.524149096340778</c:v>
                </c:pt>
                <c:pt idx="475">
                  <c:v>93.066322271333874</c:v>
                </c:pt>
                <c:pt idx="476">
                  <c:v>93.458409873493991</c:v>
                </c:pt>
                <c:pt idx="477">
                  <c:v>93.846171090023176</c:v>
                </c:pt>
                <c:pt idx="478">
                  <c:v>94.189359602987025</c:v>
                </c:pt>
                <c:pt idx="479">
                  <c:v>94.52967813574142</c:v>
                </c:pt>
                <c:pt idx="480">
                  <c:v>94.917373225663979</c:v>
                </c:pt>
                <c:pt idx="481">
                  <c:v>95.174419686365624</c:v>
                </c:pt>
                <c:pt idx="482">
                  <c:v>95.392270131382432</c:v>
                </c:pt>
                <c:pt idx="483">
                  <c:v>95.645720388350824</c:v>
                </c:pt>
                <c:pt idx="484">
                  <c:v>95.788194805468919</c:v>
                </c:pt>
                <c:pt idx="485">
                  <c:v>95.922403004059674</c:v>
                </c:pt>
                <c:pt idx="486">
                  <c:v>96.029392063154901</c:v>
                </c:pt>
                <c:pt idx="487">
                  <c:v>96.056822251324419</c:v>
                </c:pt>
                <c:pt idx="488">
                  <c:v>96.065551016689</c:v>
                </c:pt>
                <c:pt idx="489">
                  <c:v>96.047734830262684</c:v>
                </c:pt>
                <c:pt idx="490">
                  <c:v>95.99770845217931</c:v>
                </c:pt>
                <c:pt idx="491">
                  <c:v>95.93890849426252</c:v>
                </c:pt>
                <c:pt idx="492">
                  <c:v>95.878063513324278</c:v>
                </c:pt>
                <c:pt idx="493">
                  <c:v>95.812091898652724</c:v>
                </c:pt>
                <c:pt idx="494">
                  <c:v>95.72703352351057</c:v>
                </c:pt>
                <c:pt idx="495">
                  <c:v>95.581818493994788</c:v>
                </c:pt>
                <c:pt idx="496">
                  <c:v>95.40975779948613</c:v>
                </c:pt>
                <c:pt idx="497">
                  <c:v>95.246151653721128</c:v>
                </c:pt>
                <c:pt idx="498">
                  <c:v>95.075161538661789</c:v>
                </c:pt>
                <c:pt idx="499">
                  <c:v>94.883668517419196</c:v>
                </c:pt>
                <c:pt idx="500">
                  <c:v>94.711369802624361</c:v>
                </c:pt>
                <c:pt idx="501">
                  <c:v>94.512204754871888</c:v>
                </c:pt>
                <c:pt idx="502">
                  <c:v>94.176244683997083</c:v>
                </c:pt>
                <c:pt idx="503">
                  <c:v>93.801110477455168</c:v>
                </c:pt>
                <c:pt idx="504">
                  <c:v>93.446519419441941</c:v>
                </c:pt>
                <c:pt idx="505">
                  <c:v>93.076981470435896</c:v>
                </c:pt>
                <c:pt idx="506">
                  <c:v>92.646933177491789</c:v>
                </c:pt>
                <c:pt idx="507">
                  <c:v>92.156193626638895</c:v>
                </c:pt>
                <c:pt idx="508">
                  <c:v>91.647875580565923</c:v>
                </c:pt>
                <c:pt idx="509">
                  <c:v>91.045281855939706</c:v>
                </c:pt>
                <c:pt idx="510">
                  <c:v>90.531190186875321</c:v>
                </c:pt>
                <c:pt idx="511">
                  <c:v>90.077811943983747</c:v>
                </c:pt>
                <c:pt idx="512">
                  <c:v>89.461127232820772</c:v>
                </c:pt>
                <c:pt idx="513">
                  <c:v>88.840176565493437</c:v>
                </c:pt>
                <c:pt idx="514">
                  <c:v>88.349844168557382</c:v>
                </c:pt>
                <c:pt idx="515">
                  <c:v>87.907389646556112</c:v>
                </c:pt>
                <c:pt idx="516">
                  <c:v>87.316424136618082</c:v>
                </c:pt>
                <c:pt idx="517">
                  <c:v>86.681409513648035</c:v>
                </c:pt>
                <c:pt idx="518">
                  <c:v>86.314400121575545</c:v>
                </c:pt>
                <c:pt idx="519">
                  <c:v>86.050945136061415</c:v>
                </c:pt>
                <c:pt idx="520">
                  <c:v>85.674078409758721</c:v>
                </c:pt>
                <c:pt idx="521">
                  <c:v>85.329064891821758</c:v>
                </c:pt>
                <c:pt idx="522">
                  <c:v>85.074414892745551</c:v>
                </c:pt>
                <c:pt idx="523">
                  <c:v>84.723491260137592</c:v>
                </c:pt>
                <c:pt idx="524">
                  <c:v>84.280626203079819</c:v>
                </c:pt>
                <c:pt idx="525">
                  <c:v>83.942590507450404</c:v>
                </c:pt>
                <c:pt idx="526">
                  <c:v>83.704136502845472</c:v>
                </c:pt>
                <c:pt idx="527">
                  <c:v>83.392329495370632</c:v>
                </c:pt>
                <c:pt idx="528">
                  <c:v>82.93589693406237</c:v>
                </c:pt>
                <c:pt idx="529">
                  <c:v>82.479527925957399</c:v>
                </c:pt>
                <c:pt idx="530">
                  <c:v>82.163037109068483</c:v>
                </c:pt>
                <c:pt idx="531">
                  <c:v>81.897102782594686</c:v>
                </c:pt>
                <c:pt idx="532">
                  <c:v>81.588354278884808</c:v>
                </c:pt>
                <c:pt idx="533">
                  <c:v>81.261602133758828</c:v>
                </c:pt>
                <c:pt idx="534">
                  <c:v>80.922182925850308</c:v>
                </c:pt>
                <c:pt idx="535">
                  <c:v>80.601667708581061</c:v>
                </c:pt>
                <c:pt idx="536">
                  <c:v>80.323903532877097</c:v>
                </c:pt>
                <c:pt idx="537">
                  <c:v>80.010715148597527</c:v>
                </c:pt>
                <c:pt idx="538">
                  <c:v>79.653384512017283</c:v>
                </c:pt>
                <c:pt idx="539">
                  <c:v>79.29283998263071</c:v>
                </c:pt>
                <c:pt idx="540">
                  <c:v>78.967240089447941</c:v>
                </c:pt>
                <c:pt idx="541">
                  <c:v>78.698364191657362</c:v>
                </c:pt>
                <c:pt idx="542">
                  <c:v>78.367063170183727</c:v>
                </c:pt>
                <c:pt idx="543">
                  <c:v>77.942565977889728</c:v>
                </c:pt>
                <c:pt idx="544">
                  <c:v>77.458839358043619</c:v>
                </c:pt>
                <c:pt idx="545">
                  <c:v>77.086003534622932</c:v>
                </c:pt>
                <c:pt idx="546">
                  <c:v>76.834813812282533</c:v>
                </c:pt>
                <c:pt idx="547">
                  <c:v>76.591439413935873</c:v>
                </c:pt>
                <c:pt idx="548">
                  <c:v>76.329401094770546</c:v>
                </c:pt>
                <c:pt idx="549">
                  <c:v>75.966493463233135</c:v>
                </c:pt>
                <c:pt idx="550">
                  <c:v>75.571052496013195</c:v>
                </c:pt>
                <c:pt idx="551">
                  <c:v>75.255526735810207</c:v>
                </c:pt>
                <c:pt idx="552">
                  <c:v>75.018987763821983</c:v>
                </c:pt>
                <c:pt idx="553">
                  <c:v>74.836947784472144</c:v>
                </c:pt>
                <c:pt idx="554">
                  <c:v>74.652166869377851</c:v>
                </c:pt>
                <c:pt idx="555">
                  <c:v>74.420212770279946</c:v>
                </c:pt>
                <c:pt idx="556">
                  <c:v>74.282732684930153</c:v>
                </c:pt>
                <c:pt idx="557">
                  <c:v>74.395599322326916</c:v>
                </c:pt>
                <c:pt idx="558">
                  <c:v>74.63553619142192</c:v>
                </c:pt>
                <c:pt idx="559">
                  <c:v>74.946949272414585</c:v>
                </c:pt>
                <c:pt idx="560">
                  <c:v>75.297457434874545</c:v>
                </c:pt>
                <c:pt idx="561">
                  <c:v>75.645805304068958</c:v>
                </c:pt>
                <c:pt idx="562">
                  <c:v>76.114826921114556</c:v>
                </c:pt>
                <c:pt idx="563">
                  <c:v>76.665202147880564</c:v>
                </c:pt>
                <c:pt idx="564">
                  <c:v>77.119164597573118</c:v>
                </c:pt>
                <c:pt idx="565">
                  <c:v>77.498553155560899</c:v>
                </c:pt>
                <c:pt idx="566">
                  <c:v>78.019801156350411</c:v>
                </c:pt>
                <c:pt idx="567">
                  <c:v>78.484838200711977</c:v>
                </c:pt>
                <c:pt idx="568">
                  <c:v>78.948584140904245</c:v>
                </c:pt>
                <c:pt idx="569">
                  <c:v>79.422517911281219</c:v>
                </c:pt>
                <c:pt idx="570">
                  <c:v>79.747718842569114</c:v>
                </c:pt>
                <c:pt idx="571">
                  <c:v>80.125321062360015</c:v>
                </c:pt>
                <c:pt idx="572">
                  <c:v>80.531604424789435</c:v>
                </c:pt>
                <c:pt idx="573">
                  <c:v>80.917595122410773</c:v>
                </c:pt>
                <c:pt idx="574">
                  <c:v>81.325230543988766</c:v>
                </c:pt>
                <c:pt idx="575">
                  <c:v>81.703146403478073</c:v>
                </c:pt>
                <c:pt idx="576">
                  <c:v>82.055661587095742</c:v>
                </c:pt>
                <c:pt idx="577">
                  <c:v>82.415237025866546</c:v>
                </c:pt>
                <c:pt idx="578">
                  <c:v>82.751038944999962</c:v>
                </c:pt>
                <c:pt idx="579">
                  <c:v>83.067155113564027</c:v>
                </c:pt>
                <c:pt idx="580">
                  <c:v>83.316536131484696</c:v>
                </c:pt>
                <c:pt idx="581">
                  <c:v>83.585522324407947</c:v>
                </c:pt>
                <c:pt idx="582">
                  <c:v>83.932309165046377</c:v>
                </c:pt>
                <c:pt idx="583">
                  <c:v>84.203359526028564</c:v>
                </c:pt>
                <c:pt idx="584">
                  <c:v>84.261331752830785</c:v>
                </c:pt>
                <c:pt idx="585">
                  <c:v>84.489313637946978</c:v>
                </c:pt>
                <c:pt idx="586">
                  <c:v>84.682252700240142</c:v>
                </c:pt>
                <c:pt idx="587">
                  <c:v>84.89043958523358</c:v>
                </c:pt>
                <c:pt idx="588">
                  <c:v>85.074686504960994</c:v>
                </c:pt>
                <c:pt idx="589">
                  <c:v>85.271058660833418</c:v>
                </c:pt>
                <c:pt idx="590">
                  <c:v>85.457347448906077</c:v>
                </c:pt>
                <c:pt idx="591">
                  <c:v>85.623879561934828</c:v>
                </c:pt>
                <c:pt idx="592">
                  <c:v>85.774791153930721</c:v>
                </c:pt>
                <c:pt idx="593">
                  <c:v>85.938023182389543</c:v>
                </c:pt>
                <c:pt idx="594">
                  <c:v>86.111184454943213</c:v>
                </c:pt>
                <c:pt idx="595">
                  <c:v>86.299702735495359</c:v>
                </c:pt>
                <c:pt idx="596">
                  <c:v>86.340288607275369</c:v>
                </c:pt>
                <c:pt idx="597">
                  <c:v>86.553324935252306</c:v>
                </c:pt>
                <c:pt idx="598">
                  <c:v>86.686713026327723</c:v>
                </c:pt>
                <c:pt idx="599">
                  <c:v>82.208214422234931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15-4C9B-8C30-2F80E8E8A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24128"/>
        <c:axId val="243826048"/>
      </c:scatterChart>
      <c:scatterChart>
        <c:scatterStyle val="smoothMarker"/>
        <c:varyColors val="0"/>
        <c:ser>
          <c:idx val="16"/>
          <c:order val="3"/>
          <c:tx>
            <c:strRef>
              <c:f>'REVAP Mesmos Parametros'!$AA$32</c:f>
              <c:strCache>
                <c:ptCount val="1"/>
                <c:pt idx="0">
                  <c:v>média</c:v>
                </c:pt>
              </c:strCache>
            </c:strRef>
          </c:tx>
          <c:spPr>
            <a:ln w="12700"/>
            <a:effectLst/>
          </c:spPr>
          <c:marker>
            <c:symbol val="none"/>
          </c:marker>
          <c:xVal>
            <c:numRef>
              <c:f>'REVAP Mesmos Parametros'!$W$32:$W$631</c:f>
              <c:numCache>
                <c:formatCode>General</c:formatCode>
                <c:ptCount val="60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</c:numCache>
            </c:numRef>
          </c:xVal>
          <c:yVal>
            <c:numRef>
              <c:f>'REVAP Mesmos Parametros'!$X$32:$X$631</c:f>
              <c:numCache>
                <c:formatCode>0.0</c:formatCode>
                <c:ptCount val="600"/>
                <c:pt idx="0">
                  <c:v>370.1</c:v>
                </c:pt>
                <c:pt idx="1">
                  <c:v>370</c:v>
                </c:pt>
                <c:pt idx="2">
                  <c:v>369.9</c:v>
                </c:pt>
                <c:pt idx="3">
                  <c:v>369.7</c:v>
                </c:pt>
                <c:pt idx="4">
                  <c:v>369.2</c:v>
                </c:pt>
                <c:pt idx="5">
                  <c:v>368.9</c:v>
                </c:pt>
                <c:pt idx="6">
                  <c:v>368.2</c:v>
                </c:pt>
                <c:pt idx="7">
                  <c:v>367.8</c:v>
                </c:pt>
                <c:pt idx="8">
                  <c:v>367.5</c:v>
                </c:pt>
                <c:pt idx="9">
                  <c:v>367.4</c:v>
                </c:pt>
                <c:pt idx="10">
                  <c:v>367.2</c:v>
                </c:pt>
                <c:pt idx="11">
                  <c:v>367.2</c:v>
                </c:pt>
                <c:pt idx="12">
                  <c:v>366.5</c:v>
                </c:pt>
                <c:pt idx="13">
                  <c:v>365.6</c:v>
                </c:pt>
                <c:pt idx="14">
                  <c:v>364.6</c:v>
                </c:pt>
                <c:pt idx="15">
                  <c:v>363.5</c:v>
                </c:pt>
                <c:pt idx="16">
                  <c:v>360.7</c:v>
                </c:pt>
                <c:pt idx="17">
                  <c:v>358.4</c:v>
                </c:pt>
                <c:pt idx="18">
                  <c:v>357</c:v>
                </c:pt>
                <c:pt idx="19">
                  <c:v>356</c:v>
                </c:pt>
                <c:pt idx="20">
                  <c:v>354.7</c:v>
                </c:pt>
                <c:pt idx="21">
                  <c:v>353.5</c:v>
                </c:pt>
                <c:pt idx="22">
                  <c:v>351.8</c:v>
                </c:pt>
                <c:pt idx="23">
                  <c:v>349.7</c:v>
                </c:pt>
                <c:pt idx="24">
                  <c:v>345.6</c:v>
                </c:pt>
                <c:pt idx="25">
                  <c:v>342.5</c:v>
                </c:pt>
                <c:pt idx="26">
                  <c:v>340.5</c:v>
                </c:pt>
                <c:pt idx="27">
                  <c:v>338.9</c:v>
                </c:pt>
                <c:pt idx="28">
                  <c:v>337.2</c:v>
                </c:pt>
                <c:pt idx="29">
                  <c:v>336</c:v>
                </c:pt>
                <c:pt idx="30">
                  <c:v>335.1</c:v>
                </c:pt>
                <c:pt idx="31">
                  <c:v>333.2</c:v>
                </c:pt>
                <c:pt idx="32">
                  <c:v>328</c:v>
                </c:pt>
                <c:pt idx="33">
                  <c:v>321.2</c:v>
                </c:pt>
                <c:pt idx="34">
                  <c:v>314</c:v>
                </c:pt>
                <c:pt idx="35">
                  <c:v>306.60000000000002</c:v>
                </c:pt>
                <c:pt idx="36">
                  <c:v>299.39999999999998</c:v>
                </c:pt>
                <c:pt idx="37">
                  <c:v>292.89999999999998</c:v>
                </c:pt>
                <c:pt idx="38">
                  <c:v>286.8</c:v>
                </c:pt>
                <c:pt idx="39">
                  <c:v>281.2</c:v>
                </c:pt>
                <c:pt idx="40">
                  <c:v>275.89999999999998</c:v>
                </c:pt>
                <c:pt idx="41">
                  <c:v>271.2</c:v>
                </c:pt>
                <c:pt idx="42">
                  <c:v>266.39999999999998</c:v>
                </c:pt>
                <c:pt idx="43">
                  <c:v>261.8</c:v>
                </c:pt>
                <c:pt idx="44">
                  <c:v>256.89999999999998</c:v>
                </c:pt>
                <c:pt idx="45">
                  <c:v>251.4</c:v>
                </c:pt>
                <c:pt idx="46">
                  <c:v>246</c:v>
                </c:pt>
                <c:pt idx="47">
                  <c:v>240.8</c:v>
                </c:pt>
                <c:pt idx="48">
                  <c:v>234.7</c:v>
                </c:pt>
                <c:pt idx="49">
                  <c:v>228.1</c:v>
                </c:pt>
                <c:pt idx="50">
                  <c:v>222</c:v>
                </c:pt>
                <c:pt idx="51">
                  <c:v>216.1</c:v>
                </c:pt>
                <c:pt idx="52">
                  <c:v>210.6</c:v>
                </c:pt>
                <c:pt idx="53">
                  <c:v>204.2</c:v>
                </c:pt>
                <c:pt idx="54">
                  <c:v>197.8</c:v>
                </c:pt>
                <c:pt idx="55">
                  <c:v>191.6</c:v>
                </c:pt>
                <c:pt idx="56">
                  <c:v>185.8</c:v>
                </c:pt>
                <c:pt idx="57">
                  <c:v>180.2</c:v>
                </c:pt>
                <c:pt idx="58">
                  <c:v>175</c:v>
                </c:pt>
                <c:pt idx="59">
                  <c:v>170.3</c:v>
                </c:pt>
                <c:pt idx="60">
                  <c:v>165.7</c:v>
                </c:pt>
                <c:pt idx="61">
                  <c:v>161.5</c:v>
                </c:pt>
                <c:pt idx="62">
                  <c:v>157.6</c:v>
                </c:pt>
                <c:pt idx="63">
                  <c:v>154</c:v>
                </c:pt>
                <c:pt idx="64">
                  <c:v>150.9</c:v>
                </c:pt>
                <c:pt idx="65">
                  <c:v>148</c:v>
                </c:pt>
                <c:pt idx="66">
                  <c:v>145.4</c:v>
                </c:pt>
                <c:pt idx="67">
                  <c:v>142.9</c:v>
                </c:pt>
                <c:pt idx="68">
                  <c:v>140.6</c:v>
                </c:pt>
                <c:pt idx="69">
                  <c:v>138.6</c:v>
                </c:pt>
                <c:pt idx="70">
                  <c:v>136.80000000000001</c:v>
                </c:pt>
                <c:pt idx="71">
                  <c:v>135.1</c:v>
                </c:pt>
                <c:pt idx="72">
                  <c:v>133.1</c:v>
                </c:pt>
                <c:pt idx="73">
                  <c:v>130.9</c:v>
                </c:pt>
                <c:pt idx="74">
                  <c:v>128.4</c:v>
                </c:pt>
                <c:pt idx="75">
                  <c:v>125.7</c:v>
                </c:pt>
                <c:pt idx="76">
                  <c:v>123</c:v>
                </c:pt>
                <c:pt idx="77">
                  <c:v>120.4</c:v>
                </c:pt>
                <c:pt idx="78">
                  <c:v>117.6</c:v>
                </c:pt>
                <c:pt idx="79">
                  <c:v>114.9</c:v>
                </c:pt>
                <c:pt idx="80">
                  <c:v>112.6</c:v>
                </c:pt>
                <c:pt idx="81">
                  <c:v>110.6</c:v>
                </c:pt>
                <c:pt idx="82">
                  <c:v>108.4</c:v>
                </c:pt>
                <c:pt idx="83">
                  <c:v>106.1</c:v>
                </c:pt>
                <c:pt idx="84">
                  <c:v>104.4</c:v>
                </c:pt>
                <c:pt idx="85">
                  <c:v>102.5</c:v>
                </c:pt>
                <c:pt idx="86">
                  <c:v>100.8</c:v>
                </c:pt>
                <c:pt idx="87">
                  <c:v>99.1</c:v>
                </c:pt>
                <c:pt idx="88">
                  <c:v>97.3</c:v>
                </c:pt>
                <c:pt idx="89">
                  <c:v>95.4</c:v>
                </c:pt>
                <c:pt idx="90">
                  <c:v>93.6</c:v>
                </c:pt>
                <c:pt idx="91">
                  <c:v>92.6</c:v>
                </c:pt>
                <c:pt idx="92">
                  <c:v>93.1</c:v>
                </c:pt>
                <c:pt idx="93">
                  <c:v>95</c:v>
                </c:pt>
                <c:pt idx="94">
                  <c:v>96.5</c:v>
                </c:pt>
                <c:pt idx="95">
                  <c:v>97.7</c:v>
                </c:pt>
                <c:pt idx="96">
                  <c:v>98.6</c:v>
                </c:pt>
                <c:pt idx="97">
                  <c:v>99.2</c:v>
                </c:pt>
                <c:pt idx="98">
                  <c:v>99.2</c:v>
                </c:pt>
                <c:pt idx="99">
                  <c:v>98.9</c:v>
                </c:pt>
                <c:pt idx="100">
                  <c:v>98.4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15-4C9B-8C30-2F80E8E8A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24128"/>
        <c:axId val="243826048"/>
      </c:scatterChart>
      <c:scatterChart>
        <c:scatterStyle val="lineMarker"/>
        <c:varyColors val="0"/>
        <c:ser>
          <c:idx val="7"/>
          <c:order val="1"/>
          <c:tx>
            <c:strRef>
              <c:f>'REVAP Mesmos Parametros'!$F$32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'REVAP Mesmos Parametros'!$A$33:$A$133</c:f>
              <c:numCache>
                <c:formatCode>0</c:formatCode>
                <c:ptCount val="10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</c:numCache>
            </c:numRef>
          </c:xVal>
          <c:yVal>
            <c:numRef>
              <c:f>'REVAP Mesmos Parametros'!$F$33:$F$133</c:f>
              <c:numCache>
                <c:formatCode>0.0</c:formatCode>
                <c:ptCount val="10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5.3803400000000003</c:v>
                </c:pt>
                <c:pt idx="28">
                  <c:v>3.8989600000000002</c:v>
                </c:pt>
                <c:pt idx="29">
                  <c:v>0.94645800000000002</c:v>
                </c:pt>
                <c:pt idx="30">
                  <c:v>6.1491800000000003</c:v>
                </c:pt>
                <c:pt idx="31">
                  <c:v>5.8478000000000003</c:v>
                </c:pt>
                <c:pt idx="32">
                  <c:v>6.5175799999999997</c:v>
                </c:pt>
                <c:pt idx="33">
                  <c:v>7.6840700000000002</c:v>
                </c:pt>
                <c:pt idx="34">
                  <c:v>8.8825500000000002</c:v>
                </c:pt>
                <c:pt idx="35">
                  <c:v>2.2432500000000002</c:v>
                </c:pt>
                <c:pt idx="36">
                  <c:v>0.48902899999999999</c:v>
                </c:pt>
                <c:pt idx="37">
                  <c:v>6.3695500000000003</c:v>
                </c:pt>
                <c:pt idx="38">
                  <c:v>5.7133599999999998</c:v>
                </c:pt>
                <c:pt idx="39">
                  <c:v>8.4408600000000007</c:v>
                </c:pt>
                <c:pt idx="40">
                  <c:v>8.8653700000000004</c:v>
                </c:pt>
                <c:pt idx="41">
                  <c:v>8.1971799999999997E-2</c:v>
                </c:pt>
                <c:pt idx="42">
                  <c:v>1.7527299999999999</c:v>
                </c:pt>
                <c:pt idx="43">
                  <c:v>5.0583099999999996</c:v>
                </c:pt>
                <c:pt idx="44">
                  <c:v>9.3862500000000001E-2</c:v>
                </c:pt>
                <c:pt idx="45">
                  <c:v>5.04718</c:v>
                </c:pt>
                <c:pt idx="46">
                  <c:v>3.6208300000000002</c:v>
                </c:pt>
                <c:pt idx="47">
                  <c:v>5.3183400000000001</c:v>
                </c:pt>
                <c:pt idx="48">
                  <c:v>4.4361600000000001</c:v>
                </c:pt>
                <c:pt idx="49">
                  <c:v>4.8574799999999998</c:v>
                </c:pt>
                <c:pt idx="50">
                  <c:v>6.8959299999999999</c:v>
                </c:pt>
                <c:pt idx="51">
                  <c:v>7.3180100000000001</c:v>
                </c:pt>
                <c:pt idx="52">
                  <c:v>7.2135300000000004</c:v>
                </c:pt>
                <c:pt idx="53">
                  <c:v>8.9488199999999996</c:v>
                </c:pt>
                <c:pt idx="54">
                  <c:v>4.3882300000000001</c:v>
                </c:pt>
                <c:pt idx="55">
                  <c:v>5.3912899999999997</c:v>
                </c:pt>
                <c:pt idx="56">
                  <c:v>3.5309200000000001</c:v>
                </c:pt>
                <c:pt idx="57">
                  <c:v>4.9636100000000001</c:v>
                </c:pt>
                <c:pt idx="58">
                  <c:v>4.9601699999999997</c:v>
                </c:pt>
                <c:pt idx="59">
                  <c:v>6.9909499999999998</c:v>
                </c:pt>
                <c:pt idx="60">
                  <c:v>6.9873799999999999</c:v>
                </c:pt>
                <c:pt idx="61">
                  <c:v>7.2373999999999994E-2</c:v>
                </c:pt>
                <c:pt idx="62">
                  <c:v>6.6444100000000006E-2</c:v>
                </c:pt>
                <c:pt idx="63">
                  <c:v>6.01813E-2</c:v>
                </c:pt>
                <c:pt idx="64">
                  <c:v>6.0164200000000001E-2</c:v>
                </c:pt>
                <c:pt idx="65">
                  <c:v>5.3410399999999997E-2</c:v>
                </c:pt>
                <c:pt idx="66">
                  <c:v>4.6014600000000003E-2</c:v>
                </c:pt>
                <c:pt idx="67">
                  <c:v>4.6000600000000003E-2</c:v>
                </c:pt>
                <c:pt idx="68">
                  <c:v>3.77363E-2</c:v>
                </c:pt>
                <c:pt idx="69">
                  <c:v>4.25624E-2</c:v>
                </c:pt>
                <c:pt idx="70">
                  <c:v>2.8192499999999999E-2</c:v>
                </c:pt>
                <c:pt idx="71">
                  <c:v>2.8184899999999999E-2</c:v>
                </c:pt>
                <c:pt idx="72">
                  <c:v>0.142647</c:v>
                </c:pt>
                <c:pt idx="73">
                  <c:v>0.14283999999999999</c:v>
                </c:pt>
                <c:pt idx="74">
                  <c:v>0.13971600000000001</c:v>
                </c:pt>
                <c:pt idx="75">
                  <c:v>0.14348900000000001</c:v>
                </c:pt>
                <c:pt idx="76">
                  <c:v>0.14380499999999999</c:v>
                </c:pt>
                <c:pt idx="77">
                  <c:v>0.37238300000000002</c:v>
                </c:pt>
                <c:pt idx="78">
                  <c:v>0.372693</c:v>
                </c:pt>
                <c:pt idx="79">
                  <c:v>0.34020800000000001</c:v>
                </c:pt>
                <c:pt idx="80">
                  <c:v>0.39511200000000002</c:v>
                </c:pt>
                <c:pt idx="81">
                  <c:v>0.39511200000000002</c:v>
                </c:pt>
                <c:pt idx="82">
                  <c:v>0.39511200000000002</c:v>
                </c:pt>
                <c:pt idx="83">
                  <c:v>0.39511200000000002</c:v>
                </c:pt>
                <c:pt idx="84">
                  <c:v>0.39511200000000002</c:v>
                </c:pt>
                <c:pt idx="85">
                  <c:v>0.39511200000000002</c:v>
                </c:pt>
                <c:pt idx="86">
                  <c:v>0.39511200000000002</c:v>
                </c:pt>
                <c:pt idx="87">
                  <c:v>0.39511200000000002</c:v>
                </c:pt>
                <c:pt idx="88">
                  <c:v>0.39511200000000002</c:v>
                </c:pt>
                <c:pt idx="89">
                  <c:v>0.39511200000000002</c:v>
                </c:pt>
                <c:pt idx="90">
                  <c:v>0.39511200000000002</c:v>
                </c:pt>
                <c:pt idx="91">
                  <c:v>0.39511200000000002</c:v>
                </c:pt>
                <c:pt idx="92">
                  <c:v>1.7405799999999999E-4</c:v>
                </c:pt>
                <c:pt idx="93">
                  <c:v>1.7405799999999999E-4</c:v>
                </c:pt>
                <c:pt idx="94">
                  <c:v>1.7405799999999999E-4</c:v>
                </c:pt>
                <c:pt idx="95">
                  <c:v>1.7405799999999999E-4</c:v>
                </c:pt>
                <c:pt idx="96">
                  <c:v>1.7405799999999999E-4</c:v>
                </c:pt>
                <c:pt idx="97">
                  <c:v>1.7405799999999999E-4</c:v>
                </c:pt>
                <c:pt idx="98">
                  <c:v>1.7405799999999999E-4</c:v>
                </c:pt>
                <c:pt idx="99">
                  <c:v>1.7405799999999999E-4</c:v>
                </c:pt>
                <c:pt idx="100">
                  <c:v>1.7405799999999999E-4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B15-4C9B-8C30-2F80E8E8AE15}"/>
            </c:ext>
          </c:extLst>
        </c:ser>
        <c:ser>
          <c:idx val="6"/>
          <c:order val="2"/>
          <c:tx>
            <c:strRef>
              <c:f>'REVAP Mesmos Parametros'!$G$32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'REVAP Mesmos Parametros'!$A$33:$A$133</c:f>
              <c:numCache>
                <c:formatCode>0</c:formatCode>
                <c:ptCount val="10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</c:numCache>
            </c:numRef>
          </c:xVal>
          <c:yVal>
            <c:numRef>
              <c:f>'REVAP Mesmos Parametros'!$G$33:$G$133</c:f>
              <c:numCache>
                <c:formatCode>0.0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0.12622</c:v>
                </c:pt>
                <c:pt idx="28">
                  <c:v>1.29521</c:v>
                </c:pt>
                <c:pt idx="29">
                  <c:v>1.97356</c:v>
                </c:pt>
                <c:pt idx="30">
                  <c:v>2.4616699999999998</c:v>
                </c:pt>
                <c:pt idx="31">
                  <c:v>2.8591500000000001</c:v>
                </c:pt>
                <c:pt idx="32">
                  <c:v>3.2075300000000002</c:v>
                </c:pt>
                <c:pt idx="33">
                  <c:v>3.50956</c:v>
                </c:pt>
                <c:pt idx="34">
                  <c:v>3.7794300000000001</c:v>
                </c:pt>
                <c:pt idx="35">
                  <c:v>4.0613200000000003</c:v>
                </c:pt>
                <c:pt idx="36">
                  <c:v>4.3428000000000004</c:v>
                </c:pt>
                <c:pt idx="37">
                  <c:v>4.6151299999999997</c:v>
                </c:pt>
                <c:pt idx="38">
                  <c:v>4.8625499999999997</c:v>
                </c:pt>
                <c:pt idx="39">
                  <c:v>5.08826</c:v>
                </c:pt>
                <c:pt idx="40">
                  <c:v>5.2985600000000002</c:v>
                </c:pt>
                <c:pt idx="41">
                  <c:v>5.5275299999999996</c:v>
                </c:pt>
                <c:pt idx="42">
                  <c:v>5.7932600000000001</c:v>
                </c:pt>
                <c:pt idx="43">
                  <c:v>6.0500499999999997</c:v>
                </c:pt>
                <c:pt idx="44">
                  <c:v>6.30206</c:v>
                </c:pt>
                <c:pt idx="45">
                  <c:v>6.5457400000000003</c:v>
                </c:pt>
                <c:pt idx="46">
                  <c:v>6.77163</c:v>
                </c:pt>
                <c:pt idx="47">
                  <c:v>6.9887199999999998</c:v>
                </c:pt>
                <c:pt idx="48">
                  <c:v>7.19733</c:v>
                </c:pt>
                <c:pt idx="49">
                  <c:v>7.3946699999999996</c:v>
                </c:pt>
                <c:pt idx="50">
                  <c:v>7.5816699999999999</c:v>
                </c:pt>
                <c:pt idx="51">
                  <c:v>7.7589399999999999</c:v>
                </c:pt>
                <c:pt idx="52">
                  <c:v>7.9289699999999996</c:v>
                </c:pt>
                <c:pt idx="53">
                  <c:v>8.0918399999999995</c:v>
                </c:pt>
                <c:pt idx="54">
                  <c:v>8.2474100000000004</c:v>
                </c:pt>
                <c:pt idx="55">
                  <c:v>8.4043600000000005</c:v>
                </c:pt>
                <c:pt idx="56">
                  <c:v>8.5595700000000008</c:v>
                </c:pt>
                <c:pt idx="57">
                  <c:v>8.7084899999999994</c:v>
                </c:pt>
                <c:pt idx="58">
                  <c:v>8.8483800000000006</c:v>
                </c:pt>
                <c:pt idx="59">
                  <c:v>8.9782299999999999</c:v>
                </c:pt>
                <c:pt idx="60">
                  <c:v>9.1085200000000004</c:v>
                </c:pt>
                <c:pt idx="61">
                  <c:v>9.2414100000000001</c:v>
                </c:pt>
                <c:pt idx="62">
                  <c:v>9.4367900000000002</c:v>
                </c:pt>
                <c:pt idx="63">
                  <c:v>9.6163399999999992</c:v>
                </c:pt>
                <c:pt idx="64">
                  <c:v>9.7799999999999994</c:v>
                </c:pt>
                <c:pt idx="65">
                  <c:v>9.92774</c:v>
                </c:pt>
                <c:pt idx="66">
                  <c:v>10.063599999999999</c:v>
                </c:pt>
                <c:pt idx="67">
                  <c:v>10.188700000000001</c:v>
                </c:pt>
                <c:pt idx="68">
                  <c:v>10.295299999999999</c:v>
                </c:pt>
                <c:pt idx="69">
                  <c:v>10.3979</c:v>
                </c:pt>
                <c:pt idx="70">
                  <c:v>10.4772</c:v>
                </c:pt>
                <c:pt idx="71">
                  <c:v>10.553800000000001</c:v>
                </c:pt>
                <c:pt idx="72">
                  <c:v>10.735099999999999</c:v>
                </c:pt>
                <c:pt idx="73">
                  <c:v>11.1233</c:v>
                </c:pt>
                <c:pt idx="74">
                  <c:v>11.5122</c:v>
                </c:pt>
                <c:pt idx="75">
                  <c:v>11.901999999999999</c:v>
                </c:pt>
                <c:pt idx="76">
                  <c:v>12.2926</c:v>
                </c:pt>
                <c:pt idx="77">
                  <c:v>12.684100000000001</c:v>
                </c:pt>
                <c:pt idx="78">
                  <c:v>13.6966</c:v>
                </c:pt>
                <c:pt idx="79">
                  <c:v>14.698399999999999</c:v>
                </c:pt>
                <c:pt idx="80">
                  <c:v>15.4895</c:v>
                </c:pt>
                <c:pt idx="81">
                  <c:v>15.8871</c:v>
                </c:pt>
                <c:pt idx="82">
                  <c:v>16.284700000000001</c:v>
                </c:pt>
                <c:pt idx="83">
                  <c:v>16.682300000000001</c:v>
                </c:pt>
                <c:pt idx="84">
                  <c:v>17.079899999999999</c:v>
                </c:pt>
                <c:pt idx="85">
                  <c:v>17.477499999999999</c:v>
                </c:pt>
                <c:pt idx="86">
                  <c:v>17.8751</c:v>
                </c:pt>
                <c:pt idx="87">
                  <c:v>18.2727</c:v>
                </c:pt>
                <c:pt idx="88">
                  <c:v>18.670300000000001</c:v>
                </c:pt>
                <c:pt idx="89">
                  <c:v>19.067900000000002</c:v>
                </c:pt>
                <c:pt idx="90">
                  <c:v>19.465499999999999</c:v>
                </c:pt>
                <c:pt idx="91">
                  <c:v>19.863099999999999</c:v>
                </c:pt>
                <c:pt idx="92">
                  <c:v>19.942699999999999</c:v>
                </c:pt>
                <c:pt idx="93">
                  <c:v>19.942900000000002</c:v>
                </c:pt>
                <c:pt idx="94">
                  <c:v>19.943000000000001</c:v>
                </c:pt>
                <c:pt idx="95">
                  <c:v>19.943200000000001</c:v>
                </c:pt>
                <c:pt idx="96">
                  <c:v>19.9434</c:v>
                </c:pt>
                <c:pt idx="97">
                  <c:v>19.9436</c:v>
                </c:pt>
                <c:pt idx="98">
                  <c:v>19.9437</c:v>
                </c:pt>
                <c:pt idx="99">
                  <c:v>19.943899999999999</c:v>
                </c:pt>
                <c:pt idx="100">
                  <c:v>19.944099999999999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B15-4C9B-8C30-2F80E8E8AE15}"/>
            </c:ext>
          </c:extLst>
        </c:ser>
        <c:ser>
          <c:idx val="0"/>
          <c:order val="6"/>
          <c:tx>
            <c:strRef>
              <c:f>'REVAP Mesmos Parametros'!$AI$29</c:f>
              <c:strCache>
                <c:ptCount val="1"/>
                <c:pt idx="0">
                  <c:v>Água gerada no BLD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'REVAP Mesmos Parametros'!$Z$33:$Z$631</c:f>
              <c:numCache>
                <c:formatCode>General</c:formatCode>
                <c:ptCount val="5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</c:numCache>
            </c:numRef>
          </c:xVal>
          <c:yVal>
            <c:numRef>
              <c:f>'REVAP Mesmos Parametros'!$AI$33:$AI$632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0.12892818030856007</c:v>
                </c:pt>
                <c:pt idx="155">
                  <c:v>1.343020340561691</c:v>
                </c:pt>
                <c:pt idx="156">
                  <c:v>2.8022438841051667</c:v>
                </c:pt>
                <c:pt idx="157">
                  <c:v>4.2614674276486433</c:v>
                </c:pt>
                <c:pt idx="158">
                  <c:v>5.7206909711921181</c:v>
                </c:pt>
                <c:pt idx="159">
                  <c:v>6.8580408356998195</c:v>
                </c:pt>
                <c:pt idx="160">
                  <c:v>7.9760995601102298</c:v>
                </c:pt>
                <c:pt idx="161">
                  <c:v>11.623059375217204</c:v>
                </c:pt>
                <c:pt idx="162">
                  <c:v>8.0186325065053818</c:v>
                </c:pt>
                <c:pt idx="163">
                  <c:v>6.0093046365416001</c:v>
                </c:pt>
                <c:pt idx="164">
                  <c:v>5.6547906143645843</c:v>
                </c:pt>
                <c:pt idx="165">
                  <c:v>4.4641926843188913E-2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1.3401555874300908E-2</c:v>
                </c:pt>
                <c:pt idx="185">
                  <c:v>0.13990088554433422</c:v>
                </c:pt>
                <c:pt idx="186">
                  <c:v>0.2920028963640402</c:v>
                </c:pt>
                <c:pt idx="187">
                  <c:v>0.44410490718374612</c:v>
                </c:pt>
                <c:pt idx="188">
                  <c:v>0.59620691800345205</c:v>
                </c:pt>
                <c:pt idx="189">
                  <c:v>0.74830892882315803</c:v>
                </c:pt>
                <c:pt idx="190">
                  <c:v>0.90041093964286389</c:v>
                </c:pt>
                <c:pt idx="191">
                  <c:v>1.0525129504625699</c:v>
                </c:pt>
                <c:pt idx="192">
                  <c:v>1.2046149612822759</c:v>
                </c:pt>
                <c:pt idx="193">
                  <c:v>1.446618041142725</c:v>
                </c:pt>
                <c:pt idx="194">
                  <c:v>2.8397881884670833</c:v>
                </c:pt>
                <c:pt idx="195">
                  <c:v>3.2845245714824158</c:v>
                </c:pt>
                <c:pt idx="196">
                  <c:v>4.2854787864805131</c:v>
                </c:pt>
                <c:pt idx="197">
                  <c:v>7.1656911150498486</c:v>
                </c:pt>
                <c:pt idx="198">
                  <c:v>7.539053665975981</c:v>
                </c:pt>
                <c:pt idx="199">
                  <c:v>8.0138875951639914</c:v>
                </c:pt>
                <c:pt idx="200">
                  <c:v>8.0426018769465788</c:v>
                </c:pt>
                <c:pt idx="201">
                  <c:v>6.8764299013151007</c:v>
                </c:pt>
                <c:pt idx="202">
                  <c:v>8.0193777166339348</c:v>
                </c:pt>
                <c:pt idx="203">
                  <c:v>8.342016079015881</c:v>
                </c:pt>
                <c:pt idx="204">
                  <c:v>7.5490256267853599</c:v>
                </c:pt>
                <c:pt idx="205">
                  <c:v>9.3256447750970946</c:v>
                </c:pt>
                <c:pt idx="206">
                  <c:v>7.8060205745069213</c:v>
                </c:pt>
                <c:pt idx="207">
                  <c:v>8.0658269203534054</c:v>
                </c:pt>
                <c:pt idx="208">
                  <c:v>6.6286640510150523</c:v>
                </c:pt>
                <c:pt idx="209">
                  <c:v>7.1388944467678694</c:v>
                </c:pt>
                <c:pt idx="210">
                  <c:v>5.4206988659470596</c:v>
                </c:pt>
                <c:pt idx="211">
                  <c:v>3.8436012769216896</c:v>
                </c:pt>
                <c:pt idx="212">
                  <c:v>6.3838990630755861</c:v>
                </c:pt>
                <c:pt idx="213">
                  <c:v>6.6099743874979477</c:v>
                </c:pt>
                <c:pt idx="214">
                  <c:v>7.3295068843051752</c:v>
                </c:pt>
                <c:pt idx="215">
                  <c:v>7.3695014775605046</c:v>
                </c:pt>
                <c:pt idx="216">
                  <c:v>7.3060155958019344</c:v>
                </c:pt>
                <c:pt idx="217">
                  <c:v>5.4909389208862525</c:v>
                </c:pt>
                <c:pt idx="218">
                  <c:v>0.64653857006469384</c:v>
                </c:pt>
                <c:pt idx="219">
                  <c:v>1.4025637694844539</c:v>
                </c:pt>
                <c:pt idx="220">
                  <c:v>1.6064336999947426</c:v>
                </c:pt>
                <c:pt idx="221">
                  <c:v>1.4924965765092375</c:v>
                </c:pt>
                <c:pt idx="222">
                  <c:v>1.3785594530237328</c:v>
                </c:pt>
                <c:pt idx="223">
                  <c:v>1.2646223295382277</c:v>
                </c:pt>
                <c:pt idx="224">
                  <c:v>1.1506852060527228</c:v>
                </c:pt>
                <c:pt idx="225">
                  <c:v>1.036748082567218</c:v>
                </c:pt>
                <c:pt idx="226">
                  <c:v>0.92281095908171307</c:v>
                </c:pt>
                <c:pt idx="227">
                  <c:v>0.80887383559620807</c:v>
                </c:pt>
                <c:pt idx="228">
                  <c:v>0.69493671211070329</c:v>
                </c:pt>
                <c:pt idx="229">
                  <c:v>0.58099958862519829</c:v>
                </c:pt>
                <c:pt idx="230">
                  <c:v>0.46706246513969329</c:v>
                </c:pt>
                <c:pt idx="231">
                  <c:v>0.3531253416541883</c:v>
                </c:pt>
                <c:pt idx="232">
                  <c:v>0.23918821816868341</c:v>
                </c:pt>
                <c:pt idx="233">
                  <c:v>0.12525109468317852</c:v>
                </c:pt>
                <c:pt idx="234">
                  <c:v>2.0460865441076045E-2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0.78158792230899343</c:v>
                </c:pt>
                <c:pt idx="255">
                  <c:v>1.482561938046606</c:v>
                </c:pt>
                <c:pt idx="256">
                  <c:v>3.4528896504743369</c:v>
                </c:pt>
                <c:pt idx="257">
                  <c:v>6.2990296675942083</c:v>
                </c:pt>
                <c:pt idx="258">
                  <c:v>9.1451696847140802</c:v>
                </c:pt>
                <c:pt idx="259">
                  <c:v>12.888322228611768</c:v>
                </c:pt>
                <c:pt idx="260">
                  <c:v>15.109242100271661</c:v>
                </c:pt>
                <c:pt idx="261">
                  <c:v>14.133921336047147</c:v>
                </c:pt>
                <c:pt idx="262">
                  <c:v>17.689804352051524</c:v>
                </c:pt>
                <c:pt idx="263">
                  <c:v>17.187211173995554</c:v>
                </c:pt>
                <c:pt idx="264">
                  <c:v>16.628422454409378</c:v>
                </c:pt>
                <c:pt idx="265">
                  <c:v>20.144474240018546</c:v>
                </c:pt>
                <c:pt idx="266">
                  <c:v>17.539235417426791</c:v>
                </c:pt>
                <c:pt idx="267">
                  <c:v>18.333755815581906</c:v>
                </c:pt>
                <c:pt idx="268">
                  <c:v>17.923063673819914</c:v>
                </c:pt>
                <c:pt idx="269">
                  <c:v>16.278159681035905</c:v>
                </c:pt>
                <c:pt idx="270">
                  <c:v>16.357754267570485</c:v>
                </c:pt>
                <c:pt idx="271">
                  <c:v>18.158041524284954</c:v>
                </c:pt>
                <c:pt idx="272">
                  <c:v>18.598624025373336</c:v>
                </c:pt>
                <c:pt idx="273">
                  <c:v>20.189318787572368</c:v>
                </c:pt>
                <c:pt idx="274">
                  <c:v>18.352389561451307</c:v>
                </c:pt>
                <c:pt idx="275">
                  <c:v>17.457463712014107</c:v>
                </c:pt>
                <c:pt idx="276">
                  <c:v>16.663833257879084</c:v>
                </c:pt>
                <c:pt idx="277">
                  <c:v>16.604772493785237</c:v>
                </c:pt>
                <c:pt idx="278">
                  <c:v>15.244161164661845</c:v>
                </c:pt>
                <c:pt idx="279">
                  <c:v>14.02231856086277</c:v>
                </c:pt>
                <c:pt idx="280">
                  <c:v>11.856349628696613</c:v>
                </c:pt>
                <c:pt idx="281">
                  <c:v>13.003672345827782</c:v>
                </c:pt>
                <c:pt idx="282">
                  <c:v>11.559735196159197</c:v>
                </c:pt>
                <c:pt idx="283">
                  <c:v>9.8346660457616437</c:v>
                </c:pt>
                <c:pt idx="284">
                  <c:v>9.2625307162559984</c:v>
                </c:pt>
                <c:pt idx="285">
                  <c:v>9.5581717362743355</c:v>
                </c:pt>
                <c:pt idx="286">
                  <c:v>3.6748997340355722</c:v>
                </c:pt>
                <c:pt idx="287">
                  <c:v>7.8503000307464141</c:v>
                </c:pt>
                <c:pt idx="288">
                  <c:v>5.0229955464183007</c:v>
                </c:pt>
                <c:pt idx="289">
                  <c:v>4.8974108128985891</c:v>
                </c:pt>
                <c:pt idx="290">
                  <c:v>0.59654587395487535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0.1344281795615663</c:v>
                </c:pt>
                <c:pt idx="365">
                  <c:v>1.5232667586268791</c:v>
                </c:pt>
                <c:pt idx="366">
                  <c:v>3.2192718535557265</c:v>
                </c:pt>
                <c:pt idx="367">
                  <c:v>2.0920036724156699</c:v>
                </c:pt>
                <c:pt idx="368">
                  <c:v>3.2659033922558183</c:v>
                </c:pt>
                <c:pt idx="369">
                  <c:v>2.5196855784220902</c:v>
                </c:pt>
                <c:pt idx="370">
                  <c:v>2.9256689839992842</c:v>
                </c:pt>
                <c:pt idx="371">
                  <c:v>3.0154815754583155</c:v>
                </c:pt>
                <c:pt idx="372">
                  <c:v>4.6383621010798768</c:v>
                </c:pt>
                <c:pt idx="373">
                  <c:v>6.4763405113014922</c:v>
                </c:pt>
                <c:pt idx="374">
                  <c:v>6.2547267743573745</c:v>
                </c:pt>
                <c:pt idx="375">
                  <c:v>6.4304823607898678</c:v>
                </c:pt>
                <c:pt idx="376">
                  <c:v>8.1298767776836449</c:v>
                </c:pt>
                <c:pt idx="377">
                  <c:v>8.4941665559743385</c:v>
                </c:pt>
                <c:pt idx="378">
                  <c:v>8.1219664237877627</c:v>
                </c:pt>
                <c:pt idx="379">
                  <c:v>6.8691868852346278</c:v>
                </c:pt>
                <c:pt idx="380">
                  <c:v>8.3940923967311303</c:v>
                </c:pt>
                <c:pt idx="381">
                  <c:v>8.1619613214264817</c:v>
                </c:pt>
                <c:pt idx="382">
                  <c:v>7.4606236487826756</c:v>
                </c:pt>
                <c:pt idx="383">
                  <c:v>8.7925180674068013</c:v>
                </c:pt>
                <c:pt idx="384">
                  <c:v>8.342812024219473</c:v>
                </c:pt>
                <c:pt idx="385">
                  <c:v>7.0620311269361524</c:v>
                </c:pt>
                <c:pt idx="386">
                  <c:v>6.6506522245469908</c:v>
                </c:pt>
                <c:pt idx="387">
                  <c:v>7.6458168621599301</c:v>
                </c:pt>
                <c:pt idx="388">
                  <c:v>8.1867135708217891</c:v>
                </c:pt>
                <c:pt idx="389">
                  <c:v>7.4694998736712925</c:v>
                </c:pt>
                <c:pt idx="390">
                  <c:v>7.9439011400711328</c:v>
                </c:pt>
                <c:pt idx="391">
                  <c:v>7.2110483273171955</c:v>
                </c:pt>
                <c:pt idx="392">
                  <c:v>7.0424899046208456</c:v>
                </c:pt>
                <c:pt idx="393">
                  <c:v>6.0696080020790681</c:v>
                </c:pt>
                <c:pt idx="394">
                  <c:v>6.7976852239314152</c:v>
                </c:pt>
                <c:pt idx="395">
                  <c:v>6.523504045792559</c:v>
                </c:pt>
                <c:pt idx="396">
                  <c:v>5.7366526691484143</c:v>
                </c:pt>
                <c:pt idx="397">
                  <c:v>4.130417716321122</c:v>
                </c:pt>
                <c:pt idx="398">
                  <c:v>3.0435552175487977</c:v>
                </c:pt>
                <c:pt idx="399">
                  <c:v>2.6206591060878477</c:v>
                </c:pt>
                <c:pt idx="400">
                  <c:v>6.5088217889115339E-3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1.0539800750158781</c:v>
                </c:pt>
                <c:pt idx="415">
                  <c:v>7.7838331137911778</c:v>
                </c:pt>
                <c:pt idx="416">
                  <c:v>7.7184134479214643</c:v>
                </c:pt>
                <c:pt idx="417">
                  <c:v>6.004802413711003</c:v>
                </c:pt>
                <c:pt idx="418">
                  <c:v>3.4970371588041664</c:v>
                </c:pt>
                <c:pt idx="419">
                  <c:v>5.7145581922698723</c:v>
                </c:pt>
                <c:pt idx="420">
                  <c:v>0.9501491010086115</c:v>
                </c:pt>
                <c:pt idx="421">
                  <c:v>2.8255635708585602</c:v>
                </c:pt>
                <c:pt idx="422">
                  <c:v>0.48671498011753794</c:v>
                </c:pt>
                <c:pt idx="423">
                  <c:v>1.2193701783696536</c:v>
                </c:pt>
                <c:pt idx="424">
                  <c:v>1.9520253766217692</c:v>
                </c:pt>
                <c:pt idx="425">
                  <c:v>1.9877635535853961</c:v>
                </c:pt>
                <c:pt idx="426">
                  <c:v>0.62892781064852188</c:v>
                </c:pt>
                <c:pt idx="427">
                  <c:v>3.2587566103215342</c:v>
                </c:pt>
                <c:pt idx="428">
                  <c:v>4.9248160177548632</c:v>
                </c:pt>
                <c:pt idx="429">
                  <c:v>1.0621468264805736</c:v>
                </c:pt>
                <c:pt idx="430">
                  <c:v>1.5348408721026827</c:v>
                </c:pt>
                <c:pt idx="431">
                  <c:v>1.2161708347081239</c:v>
                </c:pt>
                <c:pt idx="432">
                  <c:v>2.3545174884978737</c:v>
                </c:pt>
                <c:pt idx="433">
                  <c:v>0.23521708813820563</c:v>
                </c:pt>
                <c:pt idx="434">
                  <c:v>0.72595636561135046</c:v>
                </c:pt>
                <c:pt idx="435">
                  <c:v>1.2210391577448232</c:v>
                </c:pt>
                <c:pt idx="436">
                  <c:v>1.7161219498782958</c:v>
                </c:pt>
                <c:pt idx="437">
                  <c:v>2.2112047420117684</c:v>
                </c:pt>
                <c:pt idx="438">
                  <c:v>2.6503826022030679</c:v>
                </c:pt>
                <c:pt idx="439">
                  <c:v>2.5729687835784318</c:v>
                </c:pt>
                <c:pt idx="440">
                  <c:v>2.369995498977421</c:v>
                </c:pt>
                <c:pt idx="441">
                  <c:v>2.1670222143764102</c:v>
                </c:pt>
                <c:pt idx="442">
                  <c:v>1.9640489297753989</c:v>
                </c:pt>
                <c:pt idx="443">
                  <c:v>1.7610756451743881</c:v>
                </c:pt>
                <c:pt idx="444">
                  <c:v>1.7509218294642459</c:v>
                </c:pt>
                <c:pt idx="445">
                  <c:v>2.0220176580102658</c:v>
                </c:pt>
                <c:pt idx="446">
                  <c:v>2.2955125420156621</c:v>
                </c:pt>
                <c:pt idx="447">
                  <c:v>2.569007426021058</c:v>
                </c:pt>
                <c:pt idx="448">
                  <c:v>2.8425023100264539</c:v>
                </c:pt>
                <c:pt idx="449">
                  <c:v>3.1159971940318503</c:v>
                </c:pt>
                <c:pt idx="450">
                  <c:v>3.3894920780372462</c:v>
                </c:pt>
                <c:pt idx="451">
                  <c:v>3.662986962042643</c:v>
                </c:pt>
                <c:pt idx="452">
                  <c:v>3.9364818460480384</c:v>
                </c:pt>
                <c:pt idx="453">
                  <c:v>1.1720675914097214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9.0405777887957825E-2</c:v>
                </c:pt>
                <c:pt idx="535">
                  <c:v>1.0311430605831737</c:v>
                </c:pt>
                <c:pt idx="536">
                  <c:v>2.181352201874375</c:v>
                </c:pt>
                <c:pt idx="537">
                  <c:v>3.3315613431655757</c:v>
                </c:pt>
                <c:pt idx="538">
                  <c:v>4.4817704844567769</c:v>
                </c:pt>
                <c:pt idx="539">
                  <c:v>5.6319796257479782</c:v>
                </c:pt>
                <c:pt idx="540">
                  <c:v>6.8017659798103542</c:v>
                </c:pt>
                <c:pt idx="541">
                  <c:v>8.7933600063314845</c:v>
                </c:pt>
                <c:pt idx="542">
                  <c:v>7.6284265664086375</c:v>
                </c:pt>
                <c:pt idx="543">
                  <c:v>1.8048393999400167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B15-4C9B-8C30-2F80E8E8A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30144"/>
        <c:axId val="243828224"/>
      </c:scatterChart>
      <c:valAx>
        <c:axId val="243824128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3826048"/>
        <c:crosses val="autoZero"/>
        <c:crossBetween val="midCat"/>
      </c:valAx>
      <c:valAx>
        <c:axId val="243826048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3824128"/>
        <c:crosses val="autoZero"/>
        <c:crossBetween val="midCat"/>
      </c:valAx>
      <c:valAx>
        <c:axId val="243828224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3830144"/>
        <c:crosses val="max"/>
        <c:crossBetween val="midCat"/>
      </c:valAx>
      <c:valAx>
        <c:axId val="24383014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3828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'REVAP Mesmos Parametros'!$AL$31:$AL$50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'REVAP Mesmos Parametros'!$AM$31:$AM$50</c:f>
              <c:numCache>
                <c:formatCode>General</c:formatCode>
                <c:ptCount val="20"/>
                <c:pt idx="0">
                  <c:v>236.92500000000001</c:v>
                </c:pt>
                <c:pt idx="1">
                  <c:v>159.36799999999999</c:v>
                </c:pt>
                <c:pt idx="2">
                  <c:v>157.09700000000001</c:v>
                </c:pt>
                <c:pt idx="3">
                  <c:v>157.09700000000001</c:v>
                </c:pt>
                <c:pt idx="4">
                  <c:v>157.09700000000001</c:v>
                </c:pt>
                <c:pt idx="5">
                  <c:v>155.209</c:v>
                </c:pt>
                <c:pt idx="6">
                  <c:v>117.759</c:v>
                </c:pt>
                <c:pt idx="7">
                  <c:v>117.759</c:v>
                </c:pt>
                <c:pt idx="8">
                  <c:v>117.759</c:v>
                </c:pt>
                <c:pt idx="9">
                  <c:v>117.759</c:v>
                </c:pt>
                <c:pt idx="10">
                  <c:v>114.79300000000001</c:v>
                </c:pt>
                <c:pt idx="11">
                  <c:v>114.79300000000001</c:v>
                </c:pt>
                <c:pt idx="12">
                  <c:v>114.79300000000001</c:v>
                </c:pt>
                <c:pt idx="13">
                  <c:v>114.79300000000001</c:v>
                </c:pt>
                <c:pt idx="14">
                  <c:v>114.79300000000001</c:v>
                </c:pt>
                <c:pt idx="15">
                  <c:v>114.79300000000001</c:v>
                </c:pt>
                <c:pt idx="16">
                  <c:v>114.79300000000001</c:v>
                </c:pt>
                <c:pt idx="17">
                  <c:v>114.79300000000001</c:v>
                </c:pt>
                <c:pt idx="18">
                  <c:v>114.79300000000001</c:v>
                </c:pt>
                <c:pt idx="19">
                  <c:v>108.7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C5-4C59-9F22-4943C4423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693296"/>
        <c:axId val="574678864"/>
      </c:scatterChart>
      <c:valAx>
        <c:axId val="574693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4678864"/>
        <c:crosses val="autoZero"/>
        <c:crossBetween val="midCat"/>
      </c:valAx>
      <c:valAx>
        <c:axId val="57467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4693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465666</xdr:colOff>
      <xdr:row>29</xdr:row>
      <xdr:rowOff>104775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402166</xdr:colOff>
      <xdr:row>31</xdr:row>
      <xdr:rowOff>157693</xdr:rowOff>
    </xdr:from>
    <xdr:to>
      <xdr:col>26</xdr:col>
      <xdr:colOff>116415</xdr:colOff>
      <xdr:row>55</xdr:row>
      <xdr:rowOff>10583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381001</xdr:colOff>
      <xdr:row>25</xdr:row>
      <xdr:rowOff>136525</xdr:rowOff>
    </xdr:from>
    <xdr:to>
      <xdr:col>51</xdr:col>
      <xdr:colOff>42334</xdr:colOff>
      <xdr:row>40</xdr:row>
      <xdr:rowOff>1058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447675</xdr:colOff>
      <xdr:row>29</xdr:row>
      <xdr:rowOff>104775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447675</xdr:colOff>
      <xdr:row>29</xdr:row>
      <xdr:rowOff>104775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169333</xdr:colOff>
      <xdr:row>14</xdr:row>
      <xdr:rowOff>41275</xdr:rowOff>
    </xdr:from>
    <xdr:to>
      <xdr:col>42</xdr:col>
      <xdr:colOff>444500</xdr:colOff>
      <xdr:row>28</xdr:row>
      <xdr:rowOff>106892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sultados_PS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  <sheetName val="REGAP PSO"/>
      <sheetName val="REFAP PSO"/>
      <sheetName val="REVAP PSO"/>
      <sheetName val="REGAP PSO (2)"/>
      <sheetName val="REGAP PSO (3A)"/>
      <sheetName val="REGAP PSO (4)"/>
      <sheetName val="REGAP PSO (5)"/>
      <sheetName val="REFAP PSO (2)"/>
      <sheetName val="REVAP PSO (2)"/>
      <sheetName val="REGAP PSO (3)"/>
      <sheetName val="REFAP PSO (3)"/>
      <sheetName val="REVAP PSO (3)"/>
      <sheetName val="REGAP BUSCA PARAM"/>
      <sheetName val="REGAP REGAP BUSCA PARAM (2)"/>
      <sheetName val="REGAP REGAP BUSCA PARAM (3)"/>
      <sheetName val="REGAP REGAP BUSCA PARAM (4)"/>
      <sheetName val="REFAP PSO - check"/>
      <sheetName val="MÉDIA TI"/>
      <sheetName val="06-10-17"/>
    </sheetNames>
    <sheetDataSet>
      <sheetData sheetId="0" refreshError="1"/>
      <sheetData sheetId="1">
        <row r="29">
          <cell r="AA29">
            <v>43014.04583333333</v>
          </cell>
        </row>
        <row r="30">
          <cell r="AI30" t="str">
            <v>Água gerada no BLD</v>
          </cell>
          <cell r="AP30">
            <v>0</v>
          </cell>
          <cell r="AQ30">
            <v>1287.95</v>
          </cell>
        </row>
        <row r="31">
          <cell r="AP31">
            <v>1</v>
          </cell>
          <cell r="AQ31">
            <v>545.79600000000005</v>
          </cell>
        </row>
        <row r="32">
          <cell r="D32" t="str">
            <v>TckSld(°C)</v>
          </cell>
          <cell r="F32" t="str">
            <v>Mvap(t/h)</v>
          </cell>
          <cell r="G32" t="str">
            <v>Nivel(m)</v>
          </cell>
          <cell r="Z32">
            <v>0</v>
          </cell>
          <cell r="AA32" t="str">
            <v>média</v>
          </cell>
          <cell r="AC32" t="str">
            <v>M + DP</v>
          </cell>
          <cell r="AD32" t="str">
            <v>M-Dp</v>
          </cell>
          <cell r="AM32">
            <v>1</v>
          </cell>
          <cell r="AN32">
            <v>9.637681716969837E-2</v>
          </cell>
          <cell r="AP32">
            <v>2</v>
          </cell>
          <cell r="AQ32">
            <v>545.79600000000005</v>
          </cell>
        </row>
        <row r="33">
          <cell r="A33">
            <v>0</v>
          </cell>
          <cell r="D33">
            <v>420.25</v>
          </cell>
          <cell r="F33">
            <v>3</v>
          </cell>
          <cell r="G33">
            <v>0</v>
          </cell>
          <cell r="R33">
            <v>1</v>
          </cell>
          <cell r="S33">
            <v>9.2769599999999994E-2</v>
          </cell>
          <cell r="Z33">
            <v>1</v>
          </cell>
          <cell r="AA33">
            <v>420.24524377538449</v>
          </cell>
          <cell r="AC33">
            <v>447.56718941927875</v>
          </cell>
          <cell r="AD33">
            <v>392.92329813149024</v>
          </cell>
          <cell r="AI33">
            <v>4.9140899924889636</v>
          </cell>
          <cell r="AM33">
            <v>2</v>
          </cell>
          <cell r="AN33">
            <v>0.10089354086215963</v>
          </cell>
          <cell r="AP33">
            <v>3</v>
          </cell>
          <cell r="AQ33">
            <v>545.79600000000005</v>
          </cell>
        </row>
        <row r="34">
          <cell r="A34">
            <v>5</v>
          </cell>
          <cell r="D34">
            <v>420.04399999999998</v>
          </cell>
          <cell r="F34">
            <v>3</v>
          </cell>
          <cell r="G34">
            <v>0</v>
          </cell>
          <cell r="R34">
            <v>2</v>
          </cell>
          <cell r="S34">
            <v>9.9977900000000008E-2</v>
          </cell>
          <cell r="Z34">
            <v>2</v>
          </cell>
          <cell r="AA34">
            <v>420.1488669582148</v>
          </cell>
          <cell r="AC34">
            <v>447.39854474823875</v>
          </cell>
          <cell r="AD34">
            <v>392.89918916819084</v>
          </cell>
          <cell r="AI34">
            <v>1.9738475535994358</v>
          </cell>
          <cell r="AM34">
            <v>3</v>
          </cell>
          <cell r="AN34">
            <v>0.10943720321961337</v>
          </cell>
          <cell r="AP34">
            <v>4</v>
          </cell>
          <cell r="AQ34">
            <v>520.41200000000003</v>
          </cell>
        </row>
        <row r="35">
          <cell r="A35">
            <v>10</v>
          </cell>
          <cell r="D35">
            <v>419.85</v>
          </cell>
          <cell r="F35">
            <v>3</v>
          </cell>
          <cell r="G35">
            <v>0</v>
          </cell>
          <cell r="R35">
            <v>3</v>
          </cell>
          <cell r="S35">
            <v>0.16867989999999999</v>
          </cell>
          <cell r="Z35">
            <v>3</v>
          </cell>
          <cell r="AA35">
            <v>420.04797341735264</v>
          </cell>
          <cell r="AC35">
            <v>447.22588120248167</v>
          </cell>
          <cell r="AD35">
            <v>392.8700656322236</v>
          </cell>
          <cell r="AI35">
            <v>0.43290730562661589</v>
          </cell>
          <cell r="AM35">
            <v>4</v>
          </cell>
          <cell r="AN35">
            <v>0.10963960494615321</v>
          </cell>
          <cell r="AP35">
            <v>5</v>
          </cell>
          <cell r="AQ35">
            <v>520.41200000000003</v>
          </cell>
        </row>
        <row r="36">
          <cell r="A36">
            <v>15</v>
          </cell>
          <cell r="D36">
            <v>419.65100000000001</v>
          </cell>
          <cell r="F36">
            <v>3</v>
          </cell>
          <cell r="G36">
            <v>0</v>
          </cell>
          <cell r="R36">
            <v>4</v>
          </cell>
          <cell r="S36">
            <v>9.7342100000000001E-2</v>
          </cell>
          <cell r="Z36">
            <v>4</v>
          </cell>
          <cell r="AA36">
            <v>419.93853621413302</v>
          </cell>
          <cell r="AC36">
            <v>447.04481066386813</v>
          </cell>
          <cell r="AD36">
            <v>392.83226176439791</v>
          </cell>
          <cell r="AI36">
            <v>1.5082468828056126</v>
          </cell>
          <cell r="AM36">
            <v>5</v>
          </cell>
          <cell r="AN36">
            <v>0.1096396049462669</v>
          </cell>
          <cell r="AP36">
            <v>6</v>
          </cell>
          <cell r="AQ36">
            <v>515.54600000000005</v>
          </cell>
        </row>
        <row r="37">
          <cell r="A37">
            <v>20</v>
          </cell>
          <cell r="D37">
            <v>419.47</v>
          </cell>
          <cell r="F37">
            <v>3</v>
          </cell>
          <cell r="G37">
            <v>0</v>
          </cell>
          <cell r="R37">
            <v>5</v>
          </cell>
          <cell r="S37">
            <v>0.15919889999999998</v>
          </cell>
          <cell r="Z37">
            <v>5</v>
          </cell>
          <cell r="AA37">
            <v>419.82889660918687</v>
          </cell>
          <cell r="AC37">
            <v>446.86433757954995</v>
          </cell>
          <cell r="AD37">
            <v>392.79345563882379</v>
          </cell>
          <cell r="AI37">
            <v>1.4729300727673111</v>
          </cell>
          <cell r="AM37">
            <v>6</v>
          </cell>
          <cell r="AN37">
            <v>0.1096396049462669</v>
          </cell>
          <cell r="AP37">
            <v>7</v>
          </cell>
          <cell r="AQ37">
            <v>515.54600000000005</v>
          </cell>
        </row>
        <row r="38">
          <cell r="A38">
            <v>25</v>
          </cell>
          <cell r="D38">
            <v>419.29199999999997</v>
          </cell>
          <cell r="F38">
            <v>3</v>
          </cell>
          <cell r="G38">
            <v>0</v>
          </cell>
          <cell r="R38">
            <v>6</v>
          </cell>
          <cell r="S38">
            <v>9.5750999999999989E-2</v>
          </cell>
          <cell r="Z38">
            <v>6</v>
          </cell>
          <cell r="AA38">
            <v>419.7192570042406</v>
          </cell>
          <cell r="AC38">
            <v>446.68468707622583</v>
          </cell>
          <cell r="AD38">
            <v>392.75382693225538</v>
          </cell>
          <cell r="AI38">
            <v>0.59828955895378788</v>
          </cell>
          <cell r="AM38">
            <v>7</v>
          </cell>
          <cell r="AN38">
            <v>0.10963960494621006</v>
          </cell>
          <cell r="AP38">
            <v>8</v>
          </cell>
          <cell r="AQ38">
            <v>515.54600000000005</v>
          </cell>
        </row>
        <row r="39">
          <cell r="A39">
            <v>30</v>
          </cell>
          <cell r="D39">
            <v>419.12099999999998</v>
          </cell>
          <cell r="F39">
            <v>3</v>
          </cell>
          <cell r="G39">
            <v>0</v>
          </cell>
          <cell r="R39">
            <v>7</v>
          </cell>
          <cell r="S39">
            <v>0.15148200000000001</v>
          </cell>
          <cell r="Z39">
            <v>7</v>
          </cell>
          <cell r="AA39">
            <v>419.60961739929434</v>
          </cell>
          <cell r="AC39">
            <v>446.50586557742849</v>
          </cell>
          <cell r="AD39">
            <v>392.71336922116018</v>
          </cell>
          <cell r="AI39">
            <v>2.1802780161156883</v>
          </cell>
          <cell r="AM39">
            <v>8</v>
          </cell>
          <cell r="AN39">
            <v>0.1096396049462669</v>
          </cell>
          <cell r="AP39">
            <v>9</v>
          </cell>
          <cell r="AQ39">
            <v>515.54600000000005</v>
          </cell>
        </row>
        <row r="40">
          <cell r="A40">
            <v>35</v>
          </cell>
          <cell r="D40">
            <v>418.94600000000003</v>
          </cell>
          <cell r="F40">
            <v>3</v>
          </cell>
          <cell r="G40">
            <v>0</v>
          </cell>
          <cell r="R40">
            <v>8</v>
          </cell>
          <cell r="S40">
            <v>9.4584100000000004E-2</v>
          </cell>
          <cell r="Z40">
            <v>8</v>
          </cell>
          <cell r="AA40">
            <v>419.49997779434813</v>
          </cell>
          <cell r="AC40">
            <v>446.32787949649327</v>
          </cell>
          <cell r="AD40">
            <v>392.67207609220299</v>
          </cell>
          <cell r="AI40">
            <v>2.0953186191701572</v>
          </cell>
          <cell r="AM40">
            <v>9</v>
          </cell>
          <cell r="AN40">
            <v>0.10963960494621006</v>
          </cell>
          <cell r="AP40">
            <v>10</v>
          </cell>
          <cell r="AQ40">
            <v>500.89800000000002</v>
          </cell>
        </row>
        <row r="41">
          <cell r="A41">
            <v>40</v>
          </cell>
          <cell r="D41">
            <v>418.77499999999998</v>
          </cell>
          <cell r="F41">
            <v>3</v>
          </cell>
          <cell r="G41">
            <v>0</v>
          </cell>
          <cell r="R41">
            <v>9</v>
          </cell>
          <cell r="S41">
            <v>0.1447726</v>
          </cell>
          <cell r="Z41">
            <v>9</v>
          </cell>
          <cell r="AA41">
            <v>419.39033818940186</v>
          </cell>
          <cell r="AC41">
            <v>446.15073523443198</v>
          </cell>
          <cell r="AD41">
            <v>392.62994114437174</v>
          </cell>
          <cell r="AI41">
            <v>1.7270532351284373</v>
          </cell>
          <cell r="AM41">
            <v>10</v>
          </cell>
          <cell r="AN41">
            <v>0.10963960494621006</v>
          </cell>
          <cell r="AP41">
            <v>11</v>
          </cell>
          <cell r="AQ41">
            <v>500.89800000000002</v>
          </cell>
        </row>
        <row r="42">
          <cell r="A42">
            <v>45</v>
          </cell>
          <cell r="D42">
            <v>418.60199999999998</v>
          </cell>
          <cell r="F42">
            <v>3</v>
          </cell>
          <cell r="G42">
            <v>0</v>
          </cell>
          <cell r="R42">
            <v>10</v>
          </cell>
          <cell r="S42">
            <v>9.4183300000000011E-2</v>
          </cell>
          <cell r="Z42">
            <v>10</v>
          </cell>
          <cell r="AA42">
            <v>419.28069858445565</v>
          </cell>
          <cell r="AC42">
            <v>445.97443917776457</v>
          </cell>
          <cell r="AD42">
            <v>392.58695799114673</v>
          </cell>
          <cell r="AI42">
            <v>3.9422648664478213</v>
          </cell>
          <cell r="AM42">
            <v>11</v>
          </cell>
          <cell r="AN42">
            <v>0.12854614129105357</v>
          </cell>
          <cell r="AP42">
            <v>12</v>
          </cell>
          <cell r="AQ42">
            <v>494.09199999999998</v>
          </cell>
        </row>
        <row r="43">
          <cell r="A43">
            <v>50</v>
          </cell>
          <cell r="D43">
            <v>418.43200000000002</v>
          </cell>
          <cell r="F43">
            <v>8</v>
          </cell>
          <cell r="G43">
            <v>0</v>
          </cell>
          <cell r="R43">
            <v>11</v>
          </cell>
          <cell r="S43">
            <v>0.14002799999999999</v>
          </cell>
          <cell r="Z43">
            <v>11</v>
          </cell>
          <cell r="AA43">
            <v>419.17105897950944</v>
          </cell>
          <cell r="AC43">
            <v>445.79899769630833</v>
          </cell>
          <cell r="AD43">
            <v>392.54312026271054</v>
          </cell>
          <cell r="AI43">
            <v>3.0507642085221125</v>
          </cell>
          <cell r="AM43">
            <v>12</v>
          </cell>
          <cell r="AN43">
            <v>0.16436699954027745</v>
          </cell>
          <cell r="AP43">
            <v>13</v>
          </cell>
          <cell r="AQ43">
            <v>494.09199999999998</v>
          </cell>
        </row>
        <row r="44">
          <cell r="A44">
            <v>55</v>
          </cell>
          <cell r="D44">
            <v>417.93299999999999</v>
          </cell>
          <cell r="F44">
            <v>8</v>
          </cell>
          <cell r="G44">
            <v>0</v>
          </cell>
          <cell r="R44">
            <v>12</v>
          </cell>
          <cell r="S44">
            <v>9.3783900000000003E-2</v>
          </cell>
          <cell r="Z44">
            <v>12</v>
          </cell>
          <cell r="AA44">
            <v>419.04251283821839</v>
          </cell>
          <cell r="AC44">
            <v>445.59084109055289</v>
          </cell>
          <cell r="AD44">
            <v>392.49418458588389</v>
          </cell>
          <cell r="AI44">
            <v>3.0746258797002688</v>
          </cell>
          <cell r="AM44">
            <v>13</v>
          </cell>
          <cell r="AN44">
            <v>0.16860237969154923</v>
          </cell>
          <cell r="AP44">
            <v>14</v>
          </cell>
          <cell r="AQ44">
            <v>494.09199999999998</v>
          </cell>
        </row>
        <row r="45">
          <cell r="A45">
            <v>60</v>
          </cell>
          <cell r="D45">
            <v>417.37</v>
          </cell>
          <cell r="F45">
            <v>8</v>
          </cell>
          <cell r="G45">
            <v>0</v>
          </cell>
          <cell r="R45">
            <v>13</v>
          </cell>
          <cell r="S45">
            <v>0.13655820000000002</v>
          </cell>
          <cell r="Z45">
            <v>13</v>
          </cell>
          <cell r="AA45">
            <v>418.87814583867811</v>
          </cell>
          <cell r="AC45">
            <v>445.32473007963205</v>
          </cell>
          <cell r="AD45">
            <v>392.43156159772417</v>
          </cell>
          <cell r="AI45">
            <v>1.2408182167296651</v>
          </cell>
          <cell r="AM45">
            <v>14</v>
          </cell>
          <cell r="AN45">
            <v>0.16867067279054027</v>
          </cell>
          <cell r="AP45">
            <v>15</v>
          </cell>
          <cell r="AQ45">
            <v>494.09199999999998</v>
          </cell>
        </row>
        <row r="46">
          <cell r="A46">
            <v>65</v>
          </cell>
          <cell r="D46">
            <v>416.839</v>
          </cell>
          <cell r="F46">
            <v>8</v>
          </cell>
          <cell r="G46">
            <v>0</v>
          </cell>
          <cell r="R46">
            <v>14</v>
          </cell>
          <cell r="S46">
            <v>9.3733300000000006E-2</v>
          </cell>
          <cell r="Z46">
            <v>14</v>
          </cell>
          <cell r="AA46">
            <v>418.70954345898656</v>
          </cell>
          <cell r="AC46">
            <v>445.06051621586334</v>
          </cell>
          <cell r="AD46">
            <v>392.35857070210977</v>
          </cell>
          <cell r="AI46">
            <v>0.64544330644568393</v>
          </cell>
          <cell r="AM46">
            <v>15</v>
          </cell>
          <cell r="AN46">
            <v>0.16867067279048342</v>
          </cell>
          <cell r="AP46">
            <v>16</v>
          </cell>
          <cell r="AQ46">
            <v>494.09199999999998</v>
          </cell>
        </row>
        <row r="47">
          <cell r="A47">
            <v>70</v>
          </cell>
          <cell r="D47">
            <v>416.36799999999999</v>
          </cell>
          <cell r="F47">
            <v>8</v>
          </cell>
          <cell r="G47">
            <v>0</v>
          </cell>
          <cell r="R47">
            <v>15</v>
          </cell>
          <cell r="S47">
            <v>0.13392219999999999</v>
          </cell>
          <cell r="Z47">
            <v>15</v>
          </cell>
          <cell r="AA47">
            <v>418.54087278619602</v>
          </cell>
          <cell r="AC47">
            <v>444.79703109353068</v>
          </cell>
          <cell r="AD47">
            <v>392.28471447886136</v>
          </cell>
          <cell r="AI47">
            <v>2.3701764837806203</v>
          </cell>
          <cell r="AM47">
            <v>16</v>
          </cell>
          <cell r="AN47">
            <v>0.16867067279054027</v>
          </cell>
          <cell r="AP47">
            <v>17</v>
          </cell>
          <cell r="AQ47">
            <v>494.09199999999998</v>
          </cell>
        </row>
        <row r="48">
          <cell r="A48">
            <v>75</v>
          </cell>
          <cell r="D48">
            <v>415.91399999999999</v>
          </cell>
          <cell r="F48">
            <v>8</v>
          </cell>
          <cell r="G48">
            <v>0</v>
          </cell>
          <cell r="R48">
            <v>16</v>
          </cell>
          <cell r="S48">
            <v>9.37254E-2</v>
          </cell>
          <cell r="Z48">
            <v>16</v>
          </cell>
          <cell r="AA48">
            <v>418.37220211340554</v>
          </cell>
          <cell r="AC48">
            <v>444.53423585790119</v>
          </cell>
          <cell r="AD48">
            <v>392.21016836890988</v>
          </cell>
          <cell r="AI48">
            <v>4.1436191910503961</v>
          </cell>
          <cell r="AM48">
            <v>17</v>
          </cell>
          <cell r="AN48">
            <v>0.16867067279042658</v>
          </cell>
          <cell r="AP48">
            <v>18</v>
          </cell>
          <cell r="AQ48">
            <v>494.09199999999998</v>
          </cell>
        </row>
        <row r="49">
          <cell r="A49">
            <v>80</v>
          </cell>
          <cell r="D49">
            <v>415.46600000000001</v>
          </cell>
          <cell r="F49">
            <v>8</v>
          </cell>
          <cell r="G49">
            <v>0</v>
          </cell>
          <cell r="R49">
            <v>17</v>
          </cell>
          <cell r="S49">
            <v>0.1319572</v>
          </cell>
          <cell r="Z49">
            <v>17</v>
          </cell>
          <cell r="AA49">
            <v>418.203531440615</v>
          </cell>
          <cell r="AC49">
            <v>444.27213798179014</v>
          </cell>
          <cell r="AD49">
            <v>392.13492489943985</v>
          </cell>
          <cell r="AI49">
            <v>5.9170618983201715</v>
          </cell>
          <cell r="AM49">
            <v>18</v>
          </cell>
          <cell r="AN49">
            <v>0.16867067279054027</v>
          </cell>
          <cell r="AP49">
            <v>19</v>
          </cell>
          <cell r="AQ49">
            <v>494.09199999999998</v>
          </cell>
        </row>
        <row r="50">
          <cell r="A50">
            <v>85</v>
          </cell>
          <cell r="D50">
            <v>415.036</v>
          </cell>
          <cell r="F50">
            <v>8</v>
          </cell>
          <cell r="G50">
            <v>0</v>
          </cell>
          <cell r="R50">
            <v>18</v>
          </cell>
          <cell r="S50">
            <v>9.3767799999999998E-2</v>
          </cell>
          <cell r="Z50">
            <v>18</v>
          </cell>
          <cell r="AA50">
            <v>418.03486076782457</v>
          </cell>
          <cell r="AC50">
            <v>444.01074498975669</v>
          </cell>
          <cell r="AD50">
            <v>392.05897654589245</v>
          </cell>
          <cell r="AI50">
            <v>7.1728259817980264</v>
          </cell>
          <cell r="AM50">
            <v>19</v>
          </cell>
          <cell r="AN50">
            <v>0.17581088997059169</v>
          </cell>
          <cell r="AP50">
            <v>20</v>
          </cell>
          <cell r="AQ50">
            <v>494.09199999999998</v>
          </cell>
        </row>
        <row r="51">
          <cell r="A51">
            <v>90</v>
          </cell>
          <cell r="D51">
            <v>414.613</v>
          </cell>
          <cell r="F51">
            <v>8</v>
          </cell>
          <cell r="G51">
            <v>0</v>
          </cell>
          <cell r="R51">
            <v>19</v>
          </cell>
          <cell r="S51">
            <v>0.12953600000000001</v>
          </cell>
          <cell r="Z51">
            <v>19</v>
          </cell>
          <cell r="AA51">
            <v>417.86619009503403</v>
          </cell>
          <cell r="AC51">
            <v>443.75006445699927</v>
          </cell>
          <cell r="AD51">
            <v>391.98231573306879</v>
          </cell>
          <cell r="AI51">
            <v>7.4569637689988921</v>
          </cell>
          <cell r="AM51">
            <v>20</v>
          </cell>
          <cell r="AN51">
            <v>0.18928848236572549</v>
          </cell>
          <cell r="AP51">
            <v>21</v>
          </cell>
          <cell r="AQ51">
            <v>494.09199999999998</v>
          </cell>
        </row>
        <row r="52">
          <cell r="A52">
            <v>95</v>
          </cell>
          <cell r="D52">
            <v>414.19099999999997</v>
          </cell>
          <cell r="F52">
            <v>8</v>
          </cell>
          <cell r="G52">
            <v>0</v>
          </cell>
          <cell r="R52">
            <v>20</v>
          </cell>
          <cell r="S52">
            <v>9.37698E-2</v>
          </cell>
          <cell r="Z52">
            <v>20</v>
          </cell>
          <cell r="AA52">
            <v>417.69037920506344</v>
          </cell>
          <cell r="AC52">
            <v>443.48013173656852</v>
          </cell>
          <cell r="AD52">
            <v>391.90062667355835</v>
          </cell>
          <cell r="AI52">
            <v>7.7186253060102459</v>
          </cell>
          <cell r="AM52">
            <v>21</v>
          </cell>
          <cell r="AN52">
            <v>0.18960571783640034</v>
          </cell>
          <cell r="AP52">
            <v>22</v>
          </cell>
          <cell r="AQ52">
            <v>494.09199999999998</v>
          </cell>
        </row>
        <row r="53">
          <cell r="A53">
            <v>100</v>
          </cell>
          <cell r="D53">
            <v>413.77499999999998</v>
          </cell>
          <cell r="F53">
            <v>8</v>
          </cell>
          <cell r="G53">
            <v>0</v>
          </cell>
          <cell r="R53">
            <v>21</v>
          </cell>
          <cell r="S53">
            <v>0.11525920000000001</v>
          </cell>
          <cell r="Z53">
            <v>21</v>
          </cell>
          <cell r="AA53">
            <v>417.50109072269771</v>
          </cell>
          <cell r="AC53">
            <v>443.19198898107618</v>
          </cell>
          <cell r="AD53">
            <v>391.81019246431924</v>
          </cell>
          <cell r="AI53">
            <v>7.9802868430215987</v>
          </cell>
          <cell r="AM53">
            <v>22</v>
          </cell>
          <cell r="AN53">
            <v>0.18960571783640034</v>
          </cell>
          <cell r="AP53">
            <v>23</v>
          </cell>
          <cell r="AQ53">
            <v>494.09199999999998</v>
          </cell>
        </row>
        <row r="54">
          <cell r="A54">
            <v>105</v>
          </cell>
          <cell r="D54">
            <v>413.32900000000001</v>
          </cell>
          <cell r="F54">
            <v>8</v>
          </cell>
          <cell r="G54">
            <v>0</v>
          </cell>
          <cell r="R54">
            <v>22</v>
          </cell>
          <cell r="S54">
            <v>9.5734399999999997E-2</v>
          </cell>
          <cell r="Z54">
            <v>22</v>
          </cell>
          <cell r="AA54">
            <v>417.31148500486131</v>
          </cell>
          <cell r="AC54">
            <v>442.90396726994896</v>
          </cell>
          <cell r="AD54">
            <v>391.71900273977366</v>
          </cell>
          <cell r="AI54">
            <v>8.2419483800329516</v>
          </cell>
          <cell r="AM54">
            <v>23</v>
          </cell>
          <cell r="AN54">
            <v>0.18960571783651403</v>
          </cell>
          <cell r="AP54">
            <v>24</v>
          </cell>
          <cell r="AQ54">
            <v>494.09199999999998</v>
          </cell>
        </row>
        <row r="55">
          <cell r="A55">
            <v>110</v>
          </cell>
          <cell r="D55">
            <v>412.85300000000001</v>
          </cell>
          <cell r="F55">
            <v>8</v>
          </cell>
          <cell r="G55">
            <v>0</v>
          </cell>
          <cell r="R55">
            <v>23</v>
          </cell>
          <cell r="S55">
            <v>0.1144251</v>
          </cell>
          <cell r="Z55">
            <v>23</v>
          </cell>
          <cell r="AA55">
            <v>417.12187928702491</v>
          </cell>
          <cell r="AC55">
            <v>442.61651586497408</v>
          </cell>
          <cell r="AD55">
            <v>391.62724270907574</v>
          </cell>
          <cell r="AI55">
            <v>8.5036099170443062</v>
          </cell>
          <cell r="AM55">
            <v>24</v>
          </cell>
          <cell r="AN55">
            <v>0.18960571783645719</v>
          </cell>
          <cell r="AP55">
            <v>25</v>
          </cell>
          <cell r="AQ55">
            <v>494.09199999999998</v>
          </cell>
        </row>
        <row r="56">
          <cell r="A56">
            <v>115</v>
          </cell>
          <cell r="D56">
            <v>412.41500000000002</v>
          </cell>
          <cell r="F56">
            <v>8</v>
          </cell>
          <cell r="G56">
            <v>0</v>
          </cell>
          <cell r="R56">
            <v>24</v>
          </cell>
          <cell r="S56">
            <v>9.59145E-2</v>
          </cell>
          <cell r="Z56">
            <v>24</v>
          </cell>
          <cell r="AA56">
            <v>416.9322735691884</v>
          </cell>
          <cell r="AC56">
            <v>442.32964135762234</v>
          </cell>
          <cell r="AD56">
            <v>391.53490578075446</v>
          </cell>
          <cell r="AI56">
            <v>8.7652714540556573</v>
          </cell>
          <cell r="AM56">
            <v>25</v>
          </cell>
          <cell r="AN56">
            <v>0.18960571783645719</v>
          </cell>
          <cell r="AP56">
            <v>26</v>
          </cell>
          <cell r="AQ56">
            <v>494.09199999999998</v>
          </cell>
        </row>
        <row r="57">
          <cell r="A57">
            <v>120</v>
          </cell>
          <cell r="D57">
            <v>411.98</v>
          </cell>
          <cell r="F57">
            <v>8</v>
          </cell>
          <cell r="G57">
            <v>0</v>
          </cell>
          <cell r="R57">
            <v>25</v>
          </cell>
          <cell r="S57">
            <v>0.1134848</v>
          </cell>
          <cell r="Z57">
            <v>25</v>
          </cell>
          <cell r="AA57">
            <v>416.74266785135194</v>
          </cell>
          <cell r="AC57">
            <v>442.04335040156514</v>
          </cell>
          <cell r="AD57">
            <v>391.44198530113874</v>
          </cell>
          <cell r="AI57">
            <v>9.026932991067012</v>
          </cell>
          <cell r="AM57">
            <v>26</v>
          </cell>
          <cell r="AN57">
            <v>0.18960571783645719</v>
          </cell>
          <cell r="AP57">
            <v>27</v>
          </cell>
          <cell r="AQ57">
            <v>494.09199999999998</v>
          </cell>
        </row>
        <row r="58">
          <cell r="A58">
            <v>125</v>
          </cell>
          <cell r="D58">
            <v>411.55500000000001</v>
          </cell>
          <cell r="F58">
            <v>8</v>
          </cell>
          <cell r="G58">
            <v>0</v>
          </cell>
          <cell r="R58">
            <v>26</v>
          </cell>
          <cell r="S58">
            <v>9.6292699999999995E-2</v>
          </cell>
          <cell r="Z58">
            <v>26</v>
          </cell>
          <cell r="AA58">
            <v>416.55306213351548</v>
          </cell>
          <cell r="AC58">
            <v>441.75764971234219</v>
          </cell>
          <cell r="AD58">
            <v>391.34847455468878</v>
          </cell>
          <cell r="AI58">
            <v>9.2885945280783648</v>
          </cell>
          <cell r="AM58">
            <v>27</v>
          </cell>
          <cell r="AN58">
            <v>0.18960571783657088</v>
          </cell>
          <cell r="AP58">
            <v>28</v>
          </cell>
          <cell r="AQ58">
            <v>494.09199999999998</v>
          </cell>
        </row>
        <row r="59">
          <cell r="A59">
            <v>130</v>
          </cell>
          <cell r="D59">
            <v>411.14</v>
          </cell>
          <cell r="F59">
            <v>8</v>
          </cell>
          <cell r="G59">
            <v>0</v>
          </cell>
          <cell r="R59">
            <v>27</v>
          </cell>
          <cell r="S59">
            <v>0.1125601</v>
          </cell>
          <cell r="Z59">
            <v>27</v>
          </cell>
          <cell r="AA59">
            <v>416.36345641567902</v>
          </cell>
          <cell r="AC59">
            <v>441.47254606698328</v>
          </cell>
          <cell r="AD59">
            <v>391.25436676437477</v>
          </cell>
          <cell r="AI59">
            <v>9.5502560650897177</v>
          </cell>
          <cell r="AM59">
            <v>28</v>
          </cell>
          <cell r="AN59">
            <v>0.18960571783640034</v>
          </cell>
          <cell r="AP59">
            <v>29</v>
          </cell>
          <cell r="AQ59">
            <v>494.09199999999998</v>
          </cell>
        </row>
        <row r="60">
          <cell r="A60">
            <v>135</v>
          </cell>
          <cell r="D60">
            <v>410.721</v>
          </cell>
          <cell r="F60">
            <v>8</v>
          </cell>
          <cell r="G60">
            <v>0</v>
          </cell>
          <cell r="R60">
            <v>28</v>
          </cell>
          <cell r="S60">
            <v>9.6646599999999999E-2</v>
          </cell>
          <cell r="Z60">
            <v>28</v>
          </cell>
          <cell r="AA60">
            <v>416.17385069784245</v>
          </cell>
          <cell r="AC60">
            <v>441.18804630358051</v>
          </cell>
          <cell r="AD60">
            <v>391.1596550921044</v>
          </cell>
          <cell r="AI60">
            <v>9.344827868103188</v>
          </cell>
          <cell r="AM60">
            <v>29</v>
          </cell>
          <cell r="AN60">
            <v>0.18960571783645719</v>
          </cell>
        </row>
        <row r="61">
          <cell r="A61">
            <v>140</v>
          </cell>
          <cell r="D61">
            <v>410.29</v>
          </cell>
          <cell r="F61">
            <v>5.0426699999999998E-2</v>
          </cell>
          <cell r="G61">
            <v>0</v>
          </cell>
          <cell r="R61">
            <v>29</v>
          </cell>
          <cell r="S61">
            <v>0.1115469</v>
          </cell>
          <cell r="Z61">
            <v>29</v>
          </cell>
          <cell r="AA61">
            <v>415.98424498000605</v>
          </cell>
          <cell r="AC61">
            <v>440.90415732081124</v>
          </cell>
          <cell r="AD61">
            <v>391.06433263920087</v>
          </cell>
          <cell r="AI61">
            <v>8.2831059770623181</v>
          </cell>
          <cell r="AM61">
            <v>30</v>
          </cell>
          <cell r="AN61">
            <v>0.18960571783645719</v>
          </cell>
        </row>
        <row r="62">
          <cell r="A62">
            <v>145</v>
          </cell>
          <cell r="D62">
            <v>410.29</v>
          </cell>
          <cell r="F62">
            <v>0.93556799999999996</v>
          </cell>
          <cell r="G62">
            <v>2.7506499999999998</v>
          </cell>
          <cell r="R62">
            <v>30</v>
          </cell>
          <cell r="S62">
            <v>9.7011500000000001E-2</v>
          </cell>
          <cell r="Z62">
            <v>30</v>
          </cell>
          <cell r="AA62">
            <v>415.7946392621696</v>
          </cell>
          <cell r="AC62">
            <v>440.62088607740753</v>
          </cell>
          <cell r="AD62">
            <v>390.96839244693166</v>
          </cell>
          <cell r="AI62">
            <v>7.2029859899543327</v>
          </cell>
          <cell r="AM62">
            <v>31</v>
          </cell>
          <cell r="AN62">
            <v>0.18960571783640034</v>
          </cell>
        </row>
        <row r="63">
          <cell r="A63">
            <v>150</v>
          </cell>
          <cell r="D63">
            <v>410.29</v>
          </cell>
          <cell r="F63">
            <v>0.135297</v>
          </cell>
          <cell r="G63">
            <v>3.97851</v>
          </cell>
          <cell r="R63">
            <v>31</v>
          </cell>
          <cell r="S63">
            <v>0.1106389</v>
          </cell>
          <cell r="Z63">
            <v>31</v>
          </cell>
          <cell r="AA63">
            <v>415.60503354433314</v>
          </cell>
          <cell r="AC63">
            <v>440.3382395915728</v>
          </cell>
          <cell r="AD63">
            <v>390.87182749709348</v>
          </cell>
          <cell r="AI63">
            <v>6.5081210493766184</v>
          </cell>
          <cell r="AM63">
            <v>32</v>
          </cell>
          <cell r="AN63">
            <v>0.18960571783657088</v>
          </cell>
        </row>
        <row r="64">
          <cell r="A64">
            <v>155</v>
          </cell>
          <cell r="D64">
            <v>397.827</v>
          </cell>
          <cell r="F64">
            <v>15.2</v>
          </cell>
          <cell r="G64">
            <v>4.5868500000000001</v>
          </cell>
          <cell r="R64">
            <v>32</v>
          </cell>
          <cell r="S64">
            <v>9.7363100000000008E-2</v>
          </cell>
          <cell r="Z64">
            <v>32</v>
          </cell>
          <cell r="AA64">
            <v>415.41542782649674</v>
          </cell>
          <cell r="AC64">
            <v>440.05622494034253</v>
          </cell>
          <cell r="AD64">
            <v>390.77463071265095</v>
          </cell>
          <cell r="AI64">
            <v>6.5350138852672588</v>
          </cell>
          <cell r="AM64">
            <v>33</v>
          </cell>
          <cell r="AN64">
            <v>0.1896057178363435</v>
          </cell>
        </row>
        <row r="65">
          <cell r="A65">
            <v>160</v>
          </cell>
          <cell r="D65">
            <v>388.21100000000001</v>
          </cell>
          <cell r="F65">
            <v>0.15528900000000001</v>
          </cell>
          <cell r="G65">
            <v>4.5817300000000003</v>
          </cell>
          <cell r="R65">
            <v>33</v>
          </cell>
          <cell r="S65">
            <v>0.1098259</v>
          </cell>
          <cell r="Z65">
            <v>33</v>
          </cell>
          <cell r="AA65">
            <v>415.22582210866017</v>
          </cell>
          <cell r="AC65">
            <v>439.77484925888785</v>
          </cell>
          <cell r="AD65">
            <v>390.67679495843248</v>
          </cell>
          <cell r="AI65">
            <v>6.5785087811964162</v>
          </cell>
          <cell r="AM65">
            <v>34</v>
          </cell>
          <cell r="AN65">
            <v>0.19477967949444519</v>
          </cell>
        </row>
        <row r="66">
          <cell r="A66">
            <v>165</v>
          </cell>
          <cell r="D66">
            <v>376.654</v>
          </cell>
          <cell r="F66">
            <v>15.2</v>
          </cell>
          <cell r="G66">
            <v>4.5762600000000004</v>
          </cell>
          <cell r="R66">
            <v>34</v>
          </cell>
          <cell r="S66">
            <v>9.7699499999999995E-2</v>
          </cell>
          <cell r="Z66">
            <v>34</v>
          </cell>
          <cell r="AA66">
            <v>415.03621639082382</v>
          </cell>
          <cell r="AC66">
            <v>439.49411973976044</v>
          </cell>
          <cell r="AD66">
            <v>390.57831304188721</v>
          </cell>
          <cell r="AI66">
            <v>6.6220036771255728</v>
          </cell>
          <cell r="AM66">
            <v>35</v>
          </cell>
          <cell r="AN66">
            <v>0.20453410733978217</v>
          </cell>
        </row>
        <row r="67">
          <cell r="A67">
            <v>170</v>
          </cell>
          <cell r="D67">
            <v>361.07299999999998</v>
          </cell>
          <cell r="F67">
            <v>0.34781000000000001</v>
          </cell>
          <cell r="G67">
            <v>4.6869800000000001</v>
          </cell>
          <cell r="R67">
            <v>35</v>
          </cell>
          <cell r="S67">
            <v>0.10895969999999999</v>
          </cell>
          <cell r="Z67">
            <v>35</v>
          </cell>
          <cell r="AA67">
            <v>414.84143671132938</v>
          </cell>
          <cell r="AC67">
            <v>439.204707832027</v>
          </cell>
          <cell r="AD67">
            <v>390.47816559063176</v>
          </cell>
          <cell r="AI67">
            <v>6.6654985730547303</v>
          </cell>
          <cell r="AM67">
            <v>36</v>
          </cell>
          <cell r="AN67">
            <v>0.20476286536398902</v>
          </cell>
        </row>
        <row r="68">
          <cell r="A68">
            <v>175</v>
          </cell>
          <cell r="D68">
            <v>355.976</v>
          </cell>
          <cell r="F68">
            <v>15.2</v>
          </cell>
          <cell r="G68">
            <v>4.9720599999999999</v>
          </cell>
          <cell r="R68">
            <v>36</v>
          </cell>
          <cell r="S68">
            <v>9.8124299999999998E-2</v>
          </cell>
          <cell r="Z68">
            <v>36</v>
          </cell>
          <cell r="AA68">
            <v>414.6369026039896</v>
          </cell>
          <cell r="AC68">
            <v>438.89864042044422</v>
          </cell>
          <cell r="AD68">
            <v>390.37516478753497</v>
          </cell>
          <cell r="AI68">
            <v>6.7089934689838877</v>
          </cell>
          <cell r="AM68">
            <v>37</v>
          </cell>
          <cell r="AN68">
            <v>0.20476286536393218</v>
          </cell>
        </row>
        <row r="69">
          <cell r="A69">
            <v>180</v>
          </cell>
          <cell r="D69">
            <v>350.495</v>
          </cell>
          <cell r="F69">
            <v>0.17977199999999999</v>
          </cell>
          <cell r="G69">
            <v>4.9697800000000001</v>
          </cell>
          <cell r="R69">
            <v>37</v>
          </cell>
          <cell r="S69">
            <v>0.10829040000000001</v>
          </cell>
          <cell r="Z69">
            <v>37</v>
          </cell>
          <cell r="AA69">
            <v>414.43213973862561</v>
          </cell>
          <cell r="AC69">
            <v>438.5932635073342</v>
          </cell>
          <cell r="AD69">
            <v>390.27101596991702</v>
          </cell>
          <cell r="AI69">
            <v>6.2239514484718539</v>
          </cell>
          <cell r="AM69">
            <v>38</v>
          </cell>
          <cell r="AN69">
            <v>0.20476286536404587</v>
          </cell>
        </row>
        <row r="70">
          <cell r="A70">
            <v>185</v>
          </cell>
          <cell r="D70">
            <v>345.09199999999998</v>
          </cell>
          <cell r="F70">
            <v>15.2</v>
          </cell>
          <cell r="G70">
            <v>4.96746</v>
          </cell>
          <cell r="R70">
            <v>38</v>
          </cell>
          <cell r="S70">
            <v>9.8460699999999998E-2</v>
          </cell>
          <cell r="Z70">
            <v>38</v>
          </cell>
          <cell r="AA70">
            <v>414.22737687326168</v>
          </cell>
          <cell r="AC70">
            <v>438.28900352652857</v>
          </cell>
          <cell r="AD70">
            <v>390.16575021999478</v>
          </cell>
          <cell r="AI70">
            <v>6.0308897526454528</v>
          </cell>
          <cell r="AM70">
            <v>39</v>
          </cell>
          <cell r="AN70">
            <v>0.20476286536398902</v>
          </cell>
        </row>
        <row r="71">
          <cell r="A71">
            <v>190</v>
          </cell>
          <cell r="D71">
            <v>339.74900000000002</v>
          </cell>
          <cell r="F71">
            <v>0.1067</v>
          </cell>
          <cell r="G71">
            <v>4.9646800000000004</v>
          </cell>
          <cell r="R71">
            <v>39</v>
          </cell>
          <cell r="S71">
            <v>0.1077379</v>
          </cell>
          <cell r="Z71">
            <v>39</v>
          </cell>
          <cell r="AA71">
            <v>414.02261400789763</v>
          </cell>
          <cell r="AC71">
            <v>437.98587439077193</v>
          </cell>
          <cell r="AD71">
            <v>390.05935362502333</v>
          </cell>
          <cell r="AI71">
            <v>7.351952299095867</v>
          </cell>
          <cell r="AM71">
            <v>40</v>
          </cell>
          <cell r="AN71">
            <v>0.20476286536404587</v>
          </cell>
        </row>
        <row r="72">
          <cell r="A72">
            <v>195</v>
          </cell>
          <cell r="D72">
            <v>334.464</v>
          </cell>
          <cell r="F72">
            <v>15.2</v>
          </cell>
          <cell r="G72">
            <v>4.9624300000000003</v>
          </cell>
          <cell r="R72">
            <v>40</v>
          </cell>
          <cell r="S72">
            <v>9.877240000000001E-2</v>
          </cell>
          <cell r="Z72">
            <v>40</v>
          </cell>
          <cell r="AA72">
            <v>413.81785114253364</v>
          </cell>
          <cell r="AC72">
            <v>437.68389008274193</v>
          </cell>
          <cell r="AD72">
            <v>389.95181220232536</v>
          </cell>
          <cell r="AI72">
            <v>7.4552918968178012</v>
          </cell>
          <cell r="AM72">
            <v>41</v>
          </cell>
          <cell r="AN72">
            <v>0.20476286536387533</v>
          </cell>
        </row>
        <row r="73">
          <cell r="A73">
            <v>200</v>
          </cell>
          <cell r="D73">
            <v>329.25599999999997</v>
          </cell>
          <cell r="F73">
            <v>0.15612899999999999</v>
          </cell>
          <cell r="G73">
            <v>4.9606300000000001</v>
          </cell>
          <cell r="R73">
            <v>41</v>
          </cell>
          <cell r="S73">
            <v>0.1072544</v>
          </cell>
          <cell r="Z73">
            <v>41</v>
          </cell>
          <cell r="AA73">
            <v>413.6130882771696</v>
          </cell>
          <cell r="AC73">
            <v>437.38306464980246</v>
          </cell>
          <cell r="AD73">
            <v>389.84311190453673</v>
          </cell>
          <cell r="AI73">
            <v>7.5344551677427383</v>
          </cell>
          <cell r="AM73">
            <v>42</v>
          </cell>
          <cell r="AN73">
            <v>0.20476286536398902</v>
          </cell>
        </row>
        <row r="74">
          <cell r="A74">
            <v>205</v>
          </cell>
          <cell r="D74">
            <v>324.12599999999998</v>
          </cell>
          <cell r="F74">
            <v>0.80771899999999996</v>
          </cell>
          <cell r="G74">
            <v>5.6073300000000001</v>
          </cell>
          <cell r="R74">
            <v>42</v>
          </cell>
          <cell r="S74">
            <v>9.9010999999999988E-2</v>
          </cell>
          <cell r="Z74">
            <v>42</v>
          </cell>
          <cell r="AA74">
            <v>413.40832541180572</v>
          </cell>
          <cell r="AC74">
            <v>437.08341219849757</v>
          </cell>
          <cell r="AD74">
            <v>389.73323862511387</v>
          </cell>
          <cell r="AI74">
            <v>7.6136184386676744</v>
          </cell>
          <cell r="AM74">
            <v>43</v>
          </cell>
          <cell r="AN74">
            <v>0.20820272955717201</v>
          </cell>
        </row>
        <row r="75">
          <cell r="A75">
            <v>210</v>
          </cell>
          <cell r="D75">
            <v>318.14800000000002</v>
          </cell>
          <cell r="F75">
            <v>0.84748100000000004</v>
          </cell>
          <cell r="G75">
            <v>5.8591899999999999</v>
          </cell>
          <cell r="R75">
            <v>43</v>
          </cell>
          <cell r="S75">
            <v>0.10695979999999999</v>
          </cell>
          <cell r="Z75">
            <v>43</v>
          </cell>
          <cell r="AA75">
            <v>413.20356254644173</v>
          </cell>
          <cell r="AC75">
            <v>436.78494688878123</v>
          </cell>
          <cell r="AD75">
            <v>389.62217820410223</v>
          </cell>
          <cell r="AI75">
            <v>7.6927817095926097</v>
          </cell>
          <cell r="AM75">
            <v>44</v>
          </cell>
          <cell r="AN75">
            <v>0.21450670029878438</v>
          </cell>
        </row>
        <row r="76">
          <cell r="A76">
            <v>215</v>
          </cell>
          <cell r="D76">
            <v>312.35599999999999</v>
          </cell>
          <cell r="F76">
            <v>19.8</v>
          </cell>
          <cell r="G76">
            <v>5.82423</v>
          </cell>
          <cell r="R76">
            <v>44</v>
          </cell>
          <cell r="S76">
            <v>9.9089299999999991E-2</v>
          </cell>
          <cell r="Z76">
            <v>44</v>
          </cell>
          <cell r="AA76">
            <v>412.99535981688456</v>
          </cell>
          <cell r="AC76">
            <v>436.47980572536972</v>
          </cell>
          <cell r="AD76">
            <v>389.5109139083994</v>
          </cell>
          <cell r="AI76">
            <v>7.7719449805175458</v>
          </cell>
          <cell r="AM76">
            <v>45</v>
          </cell>
          <cell r="AN76">
            <v>0.21464199645009785</v>
          </cell>
        </row>
        <row r="77">
          <cell r="A77">
            <v>220</v>
          </cell>
          <cell r="D77">
            <v>306.79599999999999</v>
          </cell>
          <cell r="F77">
            <v>14.3866</v>
          </cell>
          <cell r="G77">
            <v>6.0354700000000001</v>
          </cell>
          <cell r="R77">
            <v>45</v>
          </cell>
          <cell r="S77">
            <v>0.1067881</v>
          </cell>
          <cell r="Z77">
            <v>45</v>
          </cell>
          <cell r="AA77">
            <v>412.78085311658577</v>
          </cell>
          <cell r="AC77">
            <v>436.16133496193765</v>
          </cell>
          <cell r="AD77">
            <v>389.40037127123389</v>
          </cell>
          <cell r="AI77">
            <v>6.8012924006046971</v>
          </cell>
          <cell r="AM77">
            <v>46</v>
          </cell>
          <cell r="AN77">
            <v>0.21464199645009785</v>
          </cell>
        </row>
        <row r="78">
          <cell r="A78">
            <v>225</v>
          </cell>
          <cell r="D78">
            <v>301.34899999999999</v>
          </cell>
          <cell r="F78">
            <v>1.36331</v>
          </cell>
          <cell r="G78">
            <v>6.0328200000000001</v>
          </cell>
          <cell r="R78">
            <v>46</v>
          </cell>
          <cell r="S78">
            <v>9.9144200000000016E-2</v>
          </cell>
          <cell r="Z78">
            <v>46</v>
          </cell>
          <cell r="AA78">
            <v>412.56621112013568</v>
          </cell>
          <cell r="AC78">
            <v>435.8436208092894</v>
          </cell>
          <cell r="AD78">
            <v>389.28880143098195</v>
          </cell>
          <cell r="AI78">
            <v>3.8539201935981819</v>
          </cell>
          <cell r="AM78">
            <v>47</v>
          </cell>
          <cell r="AN78">
            <v>0.21464199645009785</v>
          </cell>
        </row>
        <row r="79">
          <cell r="A79">
            <v>230</v>
          </cell>
          <cell r="D79">
            <v>296.07</v>
          </cell>
          <cell r="F79">
            <v>0.37165399999999998</v>
          </cell>
          <cell r="G79">
            <v>6.0694999999999997</v>
          </cell>
          <cell r="R79">
            <v>47</v>
          </cell>
          <cell r="S79">
            <v>0.1066457</v>
          </cell>
          <cell r="Z79">
            <v>47</v>
          </cell>
          <cell r="AA79">
            <v>412.35156912368558</v>
          </cell>
          <cell r="AC79">
            <v>435.52698725994725</v>
          </cell>
          <cell r="AD79">
            <v>389.17615098742391</v>
          </cell>
          <cell r="AI79">
            <v>2.2896442848156977</v>
          </cell>
          <cell r="AM79">
            <v>48</v>
          </cell>
          <cell r="AN79">
            <v>0.21464199645015469</v>
          </cell>
        </row>
        <row r="80">
          <cell r="A80">
            <v>235</v>
          </cell>
          <cell r="D80">
            <v>291.00900000000001</v>
          </cell>
          <cell r="F80">
            <v>19.8</v>
          </cell>
          <cell r="G80">
            <v>6.3033799999999998</v>
          </cell>
          <cell r="R80">
            <v>48</v>
          </cell>
          <cell r="S80">
            <v>9.9171300000000018E-2</v>
          </cell>
          <cell r="Z80">
            <v>48</v>
          </cell>
          <cell r="AA80">
            <v>412.13692712723548</v>
          </cell>
          <cell r="AC80">
            <v>435.21144864302005</v>
          </cell>
          <cell r="AD80">
            <v>389.06240561145091</v>
          </cell>
          <cell r="AI80">
            <v>3.3735965912248065</v>
          </cell>
          <cell r="AM80">
            <v>49</v>
          </cell>
          <cell r="AN80">
            <v>0.21464199645004101</v>
          </cell>
        </row>
        <row r="81">
          <cell r="A81">
            <v>240</v>
          </cell>
          <cell r="D81">
            <v>286.04000000000002</v>
          </cell>
          <cell r="F81">
            <v>2.0249899999999998</v>
          </cell>
          <cell r="G81">
            <v>6.2620899999999997</v>
          </cell>
          <cell r="R81">
            <v>49</v>
          </cell>
          <cell r="S81">
            <v>0.1065478</v>
          </cell>
          <cell r="Z81">
            <v>49</v>
          </cell>
          <cell r="AA81">
            <v>411.92228513078533</v>
          </cell>
          <cell r="AC81">
            <v>434.89701938413913</v>
          </cell>
          <cell r="AD81">
            <v>388.94755087743152</v>
          </cell>
          <cell r="AI81">
            <v>4.5164001791511694</v>
          </cell>
          <cell r="AM81">
            <v>50</v>
          </cell>
          <cell r="AN81">
            <v>0.21464199645015469</v>
          </cell>
        </row>
        <row r="82">
          <cell r="A82">
            <v>245</v>
          </cell>
          <cell r="D82">
            <v>281.14</v>
          </cell>
          <cell r="F82">
            <v>19.8</v>
          </cell>
          <cell r="G82">
            <v>6.5737500000000004</v>
          </cell>
          <cell r="R82">
            <v>50</v>
          </cell>
          <cell r="S82">
            <v>9.9243200000000004E-2</v>
          </cell>
          <cell r="Z82">
            <v>50</v>
          </cell>
          <cell r="AA82">
            <v>411.70764313433529</v>
          </cell>
          <cell r="AC82">
            <v>434.58371400063641</v>
          </cell>
          <cell r="AD82">
            <v>388.83157226803417</v>
          </cell>
          <cell r="AI82">
            <v>4.5652756736896931</v>
          </cell>
          <cell r="AM82">
            <v>51</v>
          </cell>
          <cell r="AN82">
            <v>0.21464199644998416</v>
          </cell>
        </row>
        <row r="83">
          <cell r="A83">
            <v>250</v>
          </cell>
          <cell r="D83">
            <v>276.32600000000002</v>
          </cell>
          <cell r="F83">
            <v>0.25873099999999999</v>
          </cell>
          <cell r="G83">
            <v>6.56778</v>
          </cell>
          <cell r="R83">
            <v>51</v>
          </cell>
          <cell r="S83">
            <v>0</v>
          </cell>
          <cell r="Z83">
            <v>51</v>
          </cell>
          <cell r="AA83">
            <v>411.49300113788513</v>
          </cell>
          <cell r="AC83">
            <v>434.27154709643594</v>
          </cell>
          <cell r="AD83">
            <v>388.71445517933432</v>
          </cell>
          <cell r="AI83">
            <v>2.6111203909291096</v>
          </cell>
          <cell r="AM83">
            <v>52</v>
          </cell>
          <cell r="AN83">
            <v>0.21464199645015469</v>
          </cell>
        </row>
        <row r="84">
          <cell r="A84">
            <v>255</v>
          </cell>
          <cell r="D84">
            <v>271.60199999999998</v>
          </cell>
          <cell r="F84">
            <v>19.8</v>
          </cell>
          <cell r="G84">
            <v>6.5612300000000001</v>
          </cell>
          <cell r="R84">
            <v>52</v>
          </cell>
          <cell r="S84">
            <v>0.35526220620000004</v>
          </cell>
          <cell r="Z84">
            <v>52</v>
          </cell>
          <cell r="AA84">
            <v>411.27835914143515</v>
          </cell>
          <cell r="AC84">
            <v>433.96053335665488</v>
          </cell>
          <cell r="AD84">
            <v>388.59618492621541</v>
          </cell>
          <cell r="AI84">
            <v>1.5238362641074319</v>
          </cell>
          <cell r="AM84">
            <v>53</v>
          </cell>
          <cell r="AN84">
            <v>0.21446231989290254</v>
          </cell>
        </row>
        <row r="85">
          <cell r="A85">
            <v>260</v>
          </cell>
          <cell r="D85">
            <v>266.96100000000001</v>
          </cell>
          <cell r="F85">
            <v>0.151782</v>
          </cell>
          <cell r="G85">
            <v>6.5580699999999998</v>
          </cell>
          <cell r="R85">
            <v>53</v>
          </cell>
          <cell r="S85">
            <v>0.48720409989000002</v>
          </cell>
          <cell r="Z85">
            <v>53</v>
          </cell>
          <cell r="AA85">
            <v>411.06371714498499</v>
          </cell>
          <cell r="AC85">
            <v>433.65068754190457</v>
          </cell>
          <cell r="AD85">
            <v>388.47674674806541</v>
          </cell>
          <cell r="AI85">
            <v>2.0264388368865465</v>
          </cell>
          <cell r="AM85">
            <v>54</v>
          </cell>
          <cell r="AN85">
            <v>0.21414479554260879</v>
          </cell>
        </row>
        <row r="86">
          <cell r="A86">
            <v>265</v>
          </cell>
          <cell r="D86">
            <v>262.40499999999997</v>
          </cell>
          <cell r="F86">
            <v>19.8</v>
          </cell>
          <cell r="G86">
            <v>6.5547700000000004</v>
          </cell>
          <cell r="R86">
            <v>54</v>
          </cell>
          <cell r="S86">
            <v>0.32988175999999997</v>
          </cell>
          <cell r="Z86">
            <v>54</v>
          </cell>
          <cell r="AA86">
            <v>410.84925482509209</v>
          </cell>
          <cell r="AC86">
            <v>433.34190467883917</v>
          </cell>
          <cell r="AD86">
            <v>388.35660497134501</v>
          </cell>
          <cell r="AI86">
            <v>2.5581593012502877</v>
          </cell>
          <cell r="AM86">
            <v>55</v>
          </cell>
          <cell r="AN86">
            <v>0.21455525050231472</v>
          </cell>
        </row>
        <row r="87">
          <cell r="A87">
            <v>270</v>
          </cell>
          <cell r="D87">
            <v>257.935</v>
          </cell>
          <cell r="F87">
            <v>0.171463</v>
          </cell>
          <cell r="G87">
            <v>6.9432299999999998</v>
          </cell>
          <cell r="R87">
            <v>55</v>
          </cell>
          <cell r="S87">
            <v>0.323990102</v>
          </cell>
          <cell r="Z87">
            <v>55</v>
          </cell>
          <cell r="AA87">
            <v>410.63511002954948</v>
          </cell>
          <cell r="AC87">
            <v>433.03410801789937</v>
          </cell>
          <cell r="AD87">
            <v>388.23611204119959</v>
          </cell>
          <cell r="AI87">
            <v>3.0898797656140289</v>
          </cell>
          <cell r="AM87">
            <v>56</v>
          </cell>
          <cell r="AN87">
            <v>0.21529592499689443</v>
          </cell>
        </row>
        <row r="88">
          <cell r="A88">
            <v>275</v>
          </cell>
          <cell r="D88">
            <v>253.54900000000001</v>
          </cell>
          <cell r="F88">
            <v>19.8</v>
          </cell>
          <cell r="G88">
            <v>6.9395499999999997</v>
          </cell>
          <cell r="R88">
            <v>56</v>
          </cell>
          <cell r="S88">
            <v>0.34266032299999999</v>
          </cell>
          <cell r="Z88">
            <v>56</v>
          </cell>
          <cell r="AA88">
            <v>410.42055477904717</v>
          </cell>
          <cell r="AC88">
            <v>432.72697767088351</v>
          </cell>
          <cell r="AD88">
            <v>388.11413188721082</v>
          </cell>
          <cell r="AI88">
            <v>3.6216002299777692</v>
          </cell>
          <cell r="AM88">
            <v>57</v>
          </cell>
          <cell r="AN88">
            <v>0.2153103250502113</v>
          </cell>
        </row>
        <row r="89">
          <cell r="A89">
            <v>280</v>
          </cell>
          <cell r="D89">
            <v>249.24600000000001</v>
          </cell>
          <cell r="F89">
            <v>8.1185499999999994E-2</v>
          </cell>
          <cell r="G89">
            <v>6.93621</v>
          </cell>
          <cell r="R89">
            <v>57</v>
          </cell>
          <cell r="S89">
            <v>0.34276863300000004</v>
          </cell>
          <cell r="Z89">
            <v>57</v>
          </cell>
          <cell r="AA89">
            <v>410.20525885405027</v>
          </cell>
          <cell r="AC89">
            <v>432.42009997258515</v>
          </cell>
          <cell r="AD89">
            <v>387.99041773551539</v>
          </cell>
          <cell r="AI89">
            <v>3.2309209891177333</v>
          </cell>
          <cell r="AM89">
            <v>58</v>
          </cell>
          <cell r="AN89">
            <v>0.2153103250502113</v>
          </cell>
        </row>
        <row r="90">
          <cell r="A90">
            <v>285</v>
          </cell>
          <cell r="D90">
            <v>245.02600000000001</v>
          </cell>
          <cell r="F90">
            <v>19.8</v>
          </cell>
          <cell r="G90">
            <v>6.93492</v>
          </cell>
          <cell r="R90">
            <v>58</v>
          </cell>
          <cell r="S90">
            <v>0.32157734899999996</v>
          </cell>
          <cell r="Z90">
            <v>58</v>
          </cell>
          <cell r="AA90">
            <v>409.98994852900006</v>
          </cell>
          <cell r="AC90">
            <v>432.11443140564734</v>
          </cell>
          <cell r="AD90">
            <v>387.86546565235278</v>
          </cell>
          <cell r="AI90">
            <v>2.2729593349165973</v>
          </cell>
          <cell r="AM90">
            <v>59</v>
          </cell>
          <cell r="AN90">
            <v>0.2153103250502113</v>
          </cell>
        </row>
        <row r="91">
          <cell r="A91">
            <v>290</v>
          </cell>
          <cell r="D91">
            <v>240.893</v>
          </cell>
          <cell r="F91">
            <v>7.0613400000000007E-2</v>
          </cell>
          <cell r="G91">
            <v>6.9339599999999999</v>
          </cell>
          <cell r="R91">
            <v>59</v>
          </cell>
          <cell r="S91">
            <v>0.34147776899999999</v>
          </cell>
          <cell r="Z91">
            <v>59</v>
          </cell>
          <cell r="AA91">
            <v>409.77463820394985</v>
          </cell>
          <cell r="AC91">
            <v>431.81000584013844</v>
          </cell>
          <cell r="AD91">
            <v>387.73927056776125</v>
          </cell>
          <cell r="AI91">
            <v>2.4004130224122253</v>
          </cell>
          <cell r="AM91">
            <v>60</v>
          </cell>
          <cell r="AN91">
            <v>0.2153103250502113</v>
          </cell>
        </row>
        <row r="92">
          <cell r="A92">
            <v>295</v>
          </cell>
          <cell r="D92">
            <v>236.84299999999999</v>
          </cell>
          <cell r="F92">
            <v>19.8</v>
          </cell>
          <cell r="G92">
            <v>7.1332000000000004</v>
          </cell>
          <cell r="R92">
            <v>60</v>
          </cell>
          <cell r="S92">
            <v>0.34112804200000002</v>
          </cell>
          <cell r="Z92">
            <v>60</v>
          </cell>
          <cell r="AA92">
            <v>409.55932787889964</v>
          </cell>
          <cell r="AC92">
            <v>431.50683841723929</v>
          </cell>
          <cell r="AD92">
            <v>387.61181734055998</v>
          </cell>
          <cell r="AI92">
            <v>2.5085260401688383</v>
          </cell>
          <cell r="AM92">
            <v>61</v>
          </cell>
          <cell r="AN92">
            <v>0.21531032505026815</v>
          </cell>
        </row>
        <row r="93">
          <cell r="A93">
            <v>300</v>
          </cell>
          <cell r="D93">
            <v>232.875</v>
          </cell>
          <cell r="F93">
            <v>6.4000799999999997E-2</v>
          </cell>
          <cell r="G93">
            <v>7.1324199999999998</v>
          </cell>
          <cell r="R93">
            <v>61</v>
          </cell>
          <cell r="S93">
            <v>0.34069348700000002</v>
          </cell>
          <cell r="Z93">
            <v>61</v>
          </cell>
          <cell r="AA93">
            <v>409.34401755384943</v>
          </cell>
          <cell r="AC93">
            <v>431.204944306041</v>
          </cell>
          <cell r="AD93">
            <v>387.48309080165785</v>
          </cell>
          <cell r="AI93">
            <v>7.3281552149410452</v>
          </cell>
          <cell r="AM93">
            <v>62</v>
          </cell>
          <cell r="AN93">
            <v>0.2153103250502113</v>
          </cell>
        </row>
        <row r="94">
          <cell r="A94">
            <v>305</v>
          </cell>
          <cell r="D94">
            <v>229.751</v>
          </cell>
          <cell r="F94">
            <v>0.19079699999999999</v>
          </cell>
          <cell r="G94">
            <v>7.5115499999999997</v>
          </cell>
          <cell r="R94">
            <v>62</v>
          </cell>
          <cell r="S94">
            <v>0.34053532200000003</v>
          </cell>
          <cell r="Z94">
            <v>62</v>
          </cell>
          <cell r="AA94">
            <v>409.12870722879916</v>
          </cell>
          <cell r="AC94">
            <v>430.90433869529073</v>
          </cell>
          <cell r="AD94">
            <v>387.35307576230758</v>
          </cell>
          <cell r="AI94">
            <v>18.28206962831446</v>
          </cell>
          <cell r="AM94">
            <v>63</v>
          </cell>
          <cell r="AN94">
            <v>0.2162351502186084</v>
          </cell>
        </row>
        <row r="95">
          <cell r="A95">
            <v>310</v>
          </cell>
          <cell r="D95">
            <v>225.00399999999999</v>
          </cell>
          <cell r="F95">
            <v>0.45240000000000002</v>
          </cell>
          <cell r="G95">
            <v>9.3441799999999997</v>
          </cell>
          <cell r="R95">
            <v>63</v>
          </cell>
          <cell r="S95">
            <v>0.31954202100000001</v>
          </cell>
          <cell r="Z95">
            <v>63</v>
          </cell>
          <cell r="AA95">
            <v>408.91339690374895</v>
          </cell>
          <cell r="AC95">
            <v>430.60503678481467</v>
          </cell>
          <cell r="AD95">
            <v>387.22175702268322</v>
          </cell>
          <cell r="AI95">
            <v>33.35167399575051</v>
          </cell>
          <cell r="AM95">
            <v>64</v>
          </cell>
          <cell r="AN95">
            <v>0.2179234960411236</v>
          </cell>
        </row>
        <row r="96">
          <cell r="A96">
            <v>315</v>
          </cell>
          <cell r="D96">
            <v>220.44399999999999</v>
          </cell>
          <cell r="F96">
            <v>27.434999999999999</v>
          </cell>
          <cell r="G96">
            <v>9.4754100000000001</v>
          </cell>
          <cell r="R96">
            <v>64</v>
          </cell>
          <cell r="S96">
            <v>0.29425633700000003</v>
          </cell>
          <cell r="Z96">
            <v>64</v>
          </cell>
          <cell r="AA96">
            <v>408.69716175353034</v>
          </cell>
          <cell r="AC96">
            <v>430.30625501920889</v>
          </cell>
          <cell r="AD96">
            <v>387.08806848785179</v>
          </cell>
          <cell r="AI96">
            <v>40.263954644543354</v>
          </cell>
          <cell r="AM96">
            <v>65</v>
          </cell>
          <cell r="AN96">
            <v>0.2179592860422872</v>
          </cell>
        </row>
        <row r="97">
          <cell r="A97">
            <v>320</v>
          </cell>
          <cell r="D97">
            <v>216.001</v>
          </cell>
          <cell r="F97">
            <v>0.58728599999999997</v>
          </cell>
          <cell r="G97">
            <v>9.7291100000000004</v>
          </cell>
          <cell r="R97">
            <v>65</v>
          </cell>
          <cell r="S97">
            <v>0.29653976400000004</v>
          </cell>
          <cell r="Z97">
            <v>65</v>
          </cell>
          <cell r="AA97">
            <v>408.47923825748921</v>
          </cell>
          <cell r="AC97">
            <v>430.00733169112078</v>
          </cell>
          <cell r="AD97">
            <v>386.95114482385765</v>
          </cell>
          <cell r="AI97">
            <v>33.65397600871524</v>
          </cell>
          <cell r="AM97">
            <v>66</v>
          </cell>
          <cell r="AN97">
            <v>0.2179592860422872</v>
          </cell>
        </row>
        <row r="98">
          <cell r="A98">
            <v>325</v>
          </cell>
          <cell r="D98">
            <v>211.68100000000001</v>
          </cell>
          <cell r="F98">
            <v>29.026700000000002</v>
          </cell>
          <cell r="G98">
            <v>9.8167399999999994</v>
          </cell>
          <cell r="R98">
            <v>66</v>
          </cell>
          <cell r="S98">
            <v>0.29635081700000004</v>
          </cell>
          <cell r="Z98">
            <v>66</v>
          </cell>
          <cell r="AA98">
            <v>408.26127897144693</v>
          </cell>
          <cell r="AC98">
            <v>429.70970034179516</v>
          </cell>
          <cell r="AD98">
            <v>386.8128576010987</v>
          </cell>
          <cell r="AI98">
            <v>19.720311370667421</v>
          </cell>
          <cell r="AM98">
            <v>67</v>
          </cell>
          <cell r="AN98">
            <v>0.21822255919039435</v>
          </cell>
        </row>
        <row r="99">
          <cell r="A99">
            <v>330</v>
          </cell>
          <cell r="D99">
            <v>207.482</v>
          </cell>
          <cell r="F99">
            <v>0.73526400000000003</v>
          </cell>
          <cell r="G99">
            <v>10.0558</v>
          </cell>
          <cell r="R99">
            <v>67</v>
          </cell>
          <cell r="S99">
            <v>0.28789375700000003</v>
          </cell>
          <cell r="Z99">
            <v>67</v>
          </cell>
          <cell r="AA99">
            <v>408.04331968540464</v>
          </cell>
          <cell r="AC99">
            <v>429.41340667258953</v>
          </cell>
          <cell r="AD99">
            <v>386.67323269821975</v>
          </cell>
          <cell r="AI99">
            <v>14.994643547707682</v>
          </cell>
          <cell r="AM99">
            <v>68</v>
          </cell>
          <cell r="AN99">
            <v>0.21868964300301741</v>
          </cell>
        </row>
        <row r="100">
          <cell r="A100">
            <v>335</v>
          </cell>
          <cell r="D100">
            <v>203.39400000000001</v>
          </cell>
          <cell r="F100">
            <v>27.728999999999999</v>
          </cell>
          <cell r="G100">
            <v>10.2447</v>
          </cell>
          <cell r="R100">
            <v>68</v>
          </cell>
          <cell r="S100">
            <v>0.28447537000000001</v>
          </cell>
          <cell r="Z100">
            <v>68</v>
          </cell>
          <cell r="AA100">
            <v>407.82509712621425</v>
          </cell>
          <cell r="AC100">
            <v>429.11865277038498</v>
          </cell>
          <cell r="AD100">
            <v>386.53154148204351</v>
          </cell>
          <cell r="AI100">
            <v>13.328911968717577</v>
          </cell>
          <cell r="AM100">
            <v>69</v>
          </cell>
          <cell r="AN100">
            <v>0.21869865166507907</v>
          </cell>
        </row>
        <row r="101">
          <cell r="A101">
            <v>340</v>
          </cell>
          <cell r="D101">
            <v>199.423</v>
          </cell>
          <cell r="F101">
            <v>1.5738300000000001</v>
          </cell>
          <cell r="G101">
            <v>10.432</v>
          </cell>
          <cell r="R101">
            <v>69</v>
          </cell>
          <cell r="S101">
            <v>0.27396991600000004</v>
          </cell>
          <cell r="Z101">
            <v>69</v>
          </cell>
          <cell r="AA101">
            <v>407.60640748321123</v>
          </cell>
          <cell r="AC101">
            <v>428.82559686224522</v>
          </cell>
          <cell r="AD101">
            <v>386.38721810417724</v>
          </cell>
          <cell r="AI101">
            <v>11.721347579392315</v>
          </cell>
          <cell r="AM101">
            <v>70</v>
          </cell>
          <cell r="AN101">
            <v>0.21486385399072105</v>
          </cell>
        </row>
        <row r="102">
          <cell r="A102">
            <v>345</v>
          </cell>
          <cell r="D102">
            <v>195.559</v>
          </cell>
          <cell r="F102">
            <v>35</v>
          </cell>
          <cell r="G102">
            <v>10.5962</v>
          </cell>
          <cell r="R102">
            <v>70</v>
          </cell>
          <cell r="S102">
            <v>0.27244158999999996</v>
          </cell>
          <cell r="Z102">
            <v>70</v>
          </cell>
          <cell r="AA102">
            <v>407.38770883154615</v>
          </cell>
          <cell r="AC102">
            <v>428.53392674119209</v>
          </cell>
          <cell r="AD102">
            <v>386.24149092190021</v>
          </cell>
          <cell r="AI102">
            <v>10.651634690720039</v>
          </cell>
          <cell r="AM102">
            <v>71</v>
          </cell>
          <cell r="AN102">
            <v>0.20787556860619816</v>
          </cell>
        </row>
        <row r="103">
          <cell r="A103">
            <v>350</v>
          </cell>
          <cell r="D103">
            <v>191.80600000000001</v>
          </cell>
          <cell r="F103">
            <v>0.40703699999999998</v>
          </cell>
          <cell r="G103">
            <v>10.695399999999999</v>
          </cell>
          <cell r="R103">
            <v>71</v>
          </cell>
          <cell r="S103">
            <v>0.27236393399999997</v>
          </cell>
          <cell r="Z103">
            <v>71</v>
          </cell>
          <cell r="AA103">
            <v>407.17284497755543</v>
          </cell>
          <cell r="AC103">
            <v>428.25118354716852</v>
          </cell>
          <cell r="AD103">
            <v>386.09450640794233</v>
          </cell>
          <cell r="AI103">
            <v>10.527599490529722</v>
          </cell>
          <cell r="AM103">
            <v>72</v>
          </cell>
          <cell r="AN103">
            <v>0.20772827879790157</v>
          </cell>
        </row>
        <row r="104">
          <cell r="A104">
            <v>355</v>
          </cell>
          <cell r="D104">
            <v>188.15600000000001</v>
          </cell>
          <cell r="F104">
            <v>35</v>
          </cell>
          <cell r="G104">
            <v>11.030900000000001</v>
          </cell>
          <cell r="R104">
            <v>72</v>
          </cell>
          <cell r="S104">
            <v>0.27225455500000001</v>
          </cell>
          <cell r="Z104">
            <v>72</v>
          </cell>
          <cell r="AA104">
            <v>406.96496940894923</v>
          </cell>
          <cell r="AC104">
            <v>427.9835542029424</v>
          </cell>
          <cell r="AD104">
            <v>385.94638461495606</v>
          </cell>
          <cell r="AI104">
            <v>10.421251387720249</v>
          </cell>
          <cell r="AM104">
            <v>73</v>
          </cell>
          <cell r="AN104">
            <v>0.20772827879784472</v>
          </cell>
        </row>
        <row r="105">
          <cell r="A105">
            <v>360</v>
          </cell>
          <cell r="D105">
            <v>184.60599999999999</v>
          </cell>
          <cell r="F105">
            <v>0.35088599999999998</v>
          </cell>
          <cell r="G105">
            <v>11.174300000000001</v>
          </cell>
          <cell r="R105">
            <v>73</v>
          </cell>
          <cell r="S105">
            <v>0.272142202</v>
          </cell>
          <cell r="Z105">
            <v>73</v>
          </cell>
          <cell r="AA105">
            <v>406.75724113015133</v>
          </cell>
          <cell r="AC105">
            <v>427.71760189116952</v>
          </cell>
          <cell r="AD105">
            <v>385.79688036913313</v>
          </cell>
          <cell r="AI105">
            <v>10.314903284910773</v>
          </cell>
          <cell r="AM105">
            <v>74</v>
          </cell>
          <cell r="AN105">
            <v>0.21297010556082796</v>
          </cell>
        </row>
        <row r="106">
          <cell r="A106">
            <v>365</v>
          </cell>
          <cell r="D106">
            <v>181.15700000000001</v>
          </cell>
          <cell r="F106">
            <v>27.4985</v>
          </cell>
          <cell r="G106">
            <v>11.3635</v>
          </cell>
          <cell r="R106">
            <v>74</v>
          </cell>
          <cell r="S106">
            <v>0.27202984200000002</v>
          </cell>
          <cell r="Z106">
            <v>74</v>
          </cell>
          <cell r="AA106">
            <v>406.54951285135348</v>
          </cell>
          <cell r="AC106">
            <v>427.45304877402037</v>
          </cell>
          <cell r="AD106">
            <v>385.64597692868659</v>
          </cell>
          <cell r="AI106">
            <v>10.34030020923956</v>
          </cell>
          <cell r="AM106">
            <v>75</v>
          </cell>
          <cell r="AN106">
            <v>0.22282310171789277</v>
          </cell>
        </row>
        <row r="107">
          <cell r="A107">
            <v>370</v>
          </cell>
          <cell r="D107">
            <v>177.80199999999999</v>
          </cell>
          <cell r="F107">
            <v>0.74527299999999996</v>
          </cell>
          <cell r="G107">
            <v>11.4902</v>
          </cell>
          <cell r="R107">
            <v>75</v>
          </cell>
          <cell r="S107">
            <v>0.27191650000000001</v>
          </cell>
          <cell r="Z107">
            <v>75</v>
          </cell>
          <cell r="AA107">
            <v>406.33654274579266</v>
          </cell>
          <cell r="AC107">
            <v>427.18206847212605</v>
          </cell>
          <cell r="AD107">
            <v>385.49101701945926</v>
          </cell>
          <cell r="AI107">
            <v>10.611795443768687</v>
          </cell>
          <cell r="AM107">
            <v>76</v>
          </cell>
          <cell r="AN107">
            <v>0.22305207316821907</v>
          </cell>
        </row>
        <row r="108">
          <cell r="A108">
            <v>375</v>
          </cell>
          <cell r="D108">
            <v>174.541</v>
          </cell>
          <cell r="F108">
            <v>27.3995</v>
          </cell>
          <cell r="G108">
            <v>11.646000000000001</v>
          </cell>
          <cell r="R108">
            <v>76</v>
          </cell>
          <cell r="S108">
            <v>0.27180911000000002</v>
          </cell>
          <cell r="Z108">
            <v>76</v>
          </cell>
          <cell r="AA108">
            <v>406.11371964407476</v>
          </cell>
          <cell r="AC108">
            <v>426.89780446689775</v>
          </cell>
          <cell r="AD108">
            <v>385.32963482125177</v>
          </cell>
          <cell r="AI108">
            <v>10.888900535516447</v>
          </cell>
          <cell r="AM108">
            <v>77</v>
          </cell>
          <cell r="AN108">
            <v>0.22305207316827591</v>
          </cell>
        </row>
        <row r="109">
          <cell r="A109">
            <v>380</v>
          </cell>
          <cell r="D109">
            <v>171.37</v>
          </cell>
          <cell r="F109">
            <v>1.7643200000000001</v>
          </cell>
          <cell r="G109">
            <v>11.8157</v>
          </cell>
          <cell r="R109">
            <v>77</v>
          </cell>
          <cell r="S109">
            <v>0.27151594099999998</v>
          </cell>
          <cell r="Z109">
            <v>77</v>
          </cell>
          <cell r="AA109">
            <v>405.89066757090654</v>
          </cell>
          <cell r="AC109">
            <v>426.61467487873307</v>
          </cell>
          <cell r="AD109">
            <v>385.16666026308002</v>
          </cell>
          <cell r="AI109">
            <v>11.166005627264207</v>
          </cell>
          <cell r="AM109">
            <v>78</v>
          </cell>
          <cell r="AN109">
            <v>0.22305207316821907</v>
          </cell>
        </row>
        <row r="110">
          <cell r="A110">
            <v>385</v>
          </cell>
          <cell r="D110">
            <v>168.28800000000001</v>
          </cell>
          <cell r="F110">
            <v>31.1128</v>
          </cell>
          <cell r="G110">
            <v>12.010999999999999</v>
          </cell>
          <cell r="R110">
            <v>78</v>
          </cell>
          <cell r="S110">
            <v>0.26603876100000001</v>
          </cell>
          <cell r="Z110">
            <v>78</v>
          </cell>
          <cell r="AA110">
            <v>405.66761549773827</v>
          </cell>
          <cell r="AC110">
            <v>426.33303474064763</v>
          </cell>
          <cell r="AD110">
            <v>385.0021962548289</v>
          </cell>
          <cell r="AI110">
            <v>11.443110719011967</v>
          </cell>
          <cell r="AM110">
            <v>79</v>
          </cell>
          <cell r="AN110">
            <v>0.22305207316821907</v>
          </cell>
        </row>
        <row r="111">
          <cell r="A111">
            <v>390</v>
          </cell>
          <cell r="D111">
            <v>165.28899999999999</v>
          </cell>
          <cell r="F111">
            <v>1.58847</v>
          </cell>
          <cell r="G111">
            <v>12.205399999999999</v>
          </cell>
          <cell r="R111">
            <v>79</v>
          </cell>
          <cell r="S111">
            <v>0.27140023400000002</v>
          </cell>
          <cell r="Z111">
            <v>79</v>
          </cell>
          <cell r="AA111">
            <v>405.44456342457005</v>
          </cell>
          <cell r="AC111">
            <v>426.05289675585595</v>
          </cell>
          <cell r="AD111">
            <v>384.83623009328414</v>
          </cell>
          <cell r="AI111">
            <v>11.720215810759727</v>
          </cell>
          <cell r="AM111">
            <v>80</v>
          </cell>
          <cell r="AN111">
            <v>0.22305207316827591</v>
          </cell>
        </row>
        <row r="112">
          <cell r="A112">
            <v>395</v>
          </cell>
          <cell r="D112">
            <v>162.375</v>
          </cell>
          <cell r="F112">
            <v>34.8339</v>
          </cell>
          <cell r="G112">
            <v>12.3909</v>
          </cell>
          <cell r="R112">
            <v>80</v>
          </cell>
          <cell r="S112">
            <v>0.26347108199999997</v>
          </cell>
          <cell r="Z112">
            <v>80</v>
          </cell>
          <cell r="AA112">
            <v>405.22151135140183</v>
          </cell>
          <cell r="AC112">
            <v>425.77427344118894</v>
          </cell>
          <cell r="AD112">
            <v>384.66874926161472</v>
          </cell>
          <cell r="AI112">
            <v>11.728471070988512</v>
          </cell>
          <cell r="AM112">
            <v>81</v>
          </cell>
          <cell r="AN112">
            <v>0.22305207316827591</v>
          </cell>
        </row>
        <row r="113">
          <cell r="A113">
            <v>400</v>
          </cell>
          <cell r="D113">
            <v>159.54</v>
          </cell>
          <cell r="F113">
            <v>0.34114</v>
          </cell>
          <cell r="G113">
            <v>12.5794</v>
          </cell>
          <cell r="R113">
            <v>81</v>
          </cell>
          <cell r="S113">
            <v>0.26297660499999997</v>
          </cell>
          <cell r="Z113">
            <v>81</v>
          </cell>
          <cell r="AA113">
            <v>404.99845927823355</v>
          </cell>
          <cell r="AC113">
            <v>425.49717711528876</v>
          </cell>
          <cell r="AD113">
            <v>384.49974144117834</v>
          </cell>
          <cell r="AI113">
            <v>11.238196424908841</v>
          </cell>
          <cell r="AM113">
            <v>82</v>
          </cell>
          <cell r="AN113">
            <v>0.22305207316821907</v>
          </cell>
        </row>
        <row r="114">
          <cell r="A114">
            <v>405</v>
          </cell>
          <cell r="D114">
            <v>156.78299999999999</v>
          </cell>
          <cell r="F114">
            <v>35</v>
          </cell>
          <cell r="G114">
            <v>12.78</v>
          </cell>
          <cell r="R114">
            <v>82</v>
          </cell>
          <cell r="S114">
            <v>0.258506281</v>
          </cell>
          <cell r="Z114">
            <v>82</v>
          </cell>
          <cell r="AA114">
            <v>404.77540720506528</v>
          </cell>
          <cell r="AC114">
            <v>425.22161988675373</v>
          </cell>
          <cell r="AD114">
            <v>384.32919452337683</v>
          </cell>
          <cell r="AI114">
            <v>10.736815549547273</v>
          </cell>
          <cell r="AM114">
            <v>83</v>
          </cell>
          <cell r="AN114">
            <v>0.22305207316816222</v>
          </cell>
        </row>
        <row r="115">
          <cell r="A115">
            <v>410</v>
          </cell>
          <cell r="D115">
            <v>154.102</v>
          </cell>
          <cell r="F115">
            <v>0.53007400000000005</v>
          </cell>
          <cell r="G115">
            <v>12.9099</v>
          </cell>
          <cell r="R115">
            <v>83</v>
          </cell>
          <cell r="S115">
            <v>0.262111818</v>
          </cell>
          <cell r="Z115">
            <v>83</v>
          </cell>
          <cell r="AA115">
            <v>404.55235513189706</v>
          </cell>
          <cell r="AC115">
            <v>424.94761364225405</v>
          </cell>
          <cell r="AD115">
            <v>384.15709662154006</v>
          </cell>
          <cell r="AI115">
            <v>10.487503290671038</v>
          </cell>
          <cell r="AM115">
            <v>84</v>
          </cell>
          <cell r="AN115">
            <v>0.22305207316833275</v>
          </cell>
        </row>
        <row r="116">
          <cell r="A116">
            <v>415</v>
          </cell>
          <cell r="D116">
            <v>151.495</v>
          </cell>
          <cell r="F116">
            <v>25.790400000000002</v>
          </cell>
          <cell r="G116">
            <v>13.117800000000001</v>
          </cell>
          <cell r="R116">
            <v>84</v>
          </cell>
          <cell r="S116">
            <v>0.25616009200000001</v>
          </cell>
          <cell r="Z116">
            <v>84</v>
          </cell>
          <cell r="AA116">
            <v>404.3293030587289</v>
          </cell>
          <cell r="AC116">
            <v>424.67517003464218</v>
          </cell>
          <cell r="AD116">
            <v>383.98343608281562</v>
          </cell>
          <cell r="AI116">
            <v>10.68485544495528</v>
          </cell>
          <cell r="AM116">
            <v>85</v>
          </cell>
          <cell r="AN116">
            <v>0.22305207316821907</v>
          </cell>
        </row>
        <row r="117">
          <cell r="A117">
            <v>420</v>
          </cell>
          <cell r="D117">
            <v>148.959</v>
          </cell>
          <cell r="F117">
            <v>0.43924299999999999</v>
          </cell>
          <cell r="G117">
            <v>13.199199999999999</v>
          </cell>
          <cell r="R117">
            <v>85</v>
          </cell>
          <cell r="S117">
            <v>0.25060465900000001</v>
          </cell>
          <cell r="Z117">
            <v>85</v>
          </cell>
          <cell r="AA117">
            <v>404.10625098556056</v>
          </cell>
          <cell r="AC117">
            <v>424.40430047108123</v>
          </cell>
          <cell r="AD117">
            <v>383.8082015000399</v>
          </cell>
          <cell r="AI117">
            <v>10.890787121828316</v>
          </cell>
          <cell r="AM117">
            <v>86</v>
          </cell>
          <cell r="AN117">
            <v>0.22305207316821907</v>
          </cell>
        </row>
        <row r="118">
          <cell r="A118">
            <v>425</v>
          </cell>
          <cell r="D118">
            <v>146.49199999999999</v>
          </cell>
          <cell r="F118">
            <v>31.047999999999998</v>
          </cell>
          <cell r="G118">
            <v>13.408899999999999</v>
          </cell>
          <cell r="R118">
            <v>86</v>
          </cell>
          <cell r="S118">
            <v>0.25545110799999998</v>
          </cell>
          <cell r="Z118">
            <v>86</v>
          </cell>
          <cell r="AA118">
            <v>403.88319891239234</v>
          </cell>
          <cell r="AC118">
            <v>424.13501610121642</v>
          </cell>
          <cell r="AD118">
            <v>383.63138172356827</v>
          </cell>
          <cell r="AI118">
            <v>11.096718798701346</v>
          </cell>
          <cell r="AM118">
            <v>87</v>
          </cell>
          <cell r="AN118">
            <v>0.22305207316827591</v>
          </cell>
        </row>
        <row r="119">
          <cell r="A119">
            <v>430</v>
          </cell>
          <cell r="D119">
            <v>144.21700000000001</v>
          </cell>
          <cell r="F119">
            <v>0.29512899999999997</v>
          </cell>
          <cell r="G119">
            <v>16.741</v>
          </cell>
          <cell r="R119">
            <v>87</v>
          </cell>
          <cell r="S119">
            <v>0.24963301199999999</v>
          </cell>
          <cell r="Z119">
            <v>87</v>
          </cell>
          <cell r="AA119">
            <v>403.66014683922413</v>
          </cell>
          <cell r="AC119">
            <v>423.86732780541217</v>
          </cell>
          <cell r="AD119">
            <v>383.45296587303608</v>
          </cell>
          <cell r="AI119">
            <v>11.30265047557438</v>
          </cell>
          <cell r="AM119">
            <v>88</v>
          </cell>
          <cell r="AN119">
            <v>0.22305207316827591</v>
          </cell>
        </row>
        <row r="120">
          <cell r="A120">
            <v>435</v>
          </cell>
          <cell r="D120">
            <v>141.48400000000001</v>
          </cell>
          <cell r="F120">
            <v>74.75</v>
          </cell>
          <cell r="G120">
            <v>19.5611</v>
          </cell>
          <cell r="R120">
            <v>88</v>
          </cell>
          <cell r="S120">
            <v>0.25501374399999999</v>
          </cell>
          <cell r="Z120">
            <v>88</v>
          </cell>
          <cell r="AA120">
            <v>403.43709476605585</v>
          </cell>
          <cell r="AC120">
            <v>423.60124618308328</v>
          </cell>
          <cell r="AD120">
            <v>383.27294334902842</v>
          </cell>
          <cell r="AI120">
            <v>11.508582152447412</v>
          </cell>
          <cell r="AM120">
            <v>89</v>
          </cell>
          <cell r="AN120">
            <v>0.22305207316821907</v>
          </cell>
        </row>
        <row r="121">
          <cell r="A121">
            <v>440</v>
          </cell>
          <cell r="D121">
            <v>138.93</v>
          </cell>
          <cell r="F121">
            <v>0.68962900000000005</v>
          </cell>
          <cell r="G121">
            <v>19.5642</v>
          </cell>
          <cell r="R121">
            <v>89</v>
          </cell>
          <cell r="S121">
            <v>0.25505660699999999</v>
          </cell>
          <cell r="Z121">
            <v>89</v>
          </cell>
          <cell r="AA121">
            <v>403.21404269288757</v>
          </cell>
          <cell r="AC121">
            <v>423.33678154114494</v>
          </cell>
          <cell r="AD121">
            <v>383.0913038446302</v>
          </cell>
          <cell r="AI121">
            <v>11.714513829320444</v>
          </cell>
          <cell r="AM121">
            <v>90</v>
          </cell>
          <cell r="AN121">
            <v>0.22305207316821907</v>
          </cell>
        </row>
        <row r="122">
          <cell r="A122">
            <v>445</v>
          </cell>
          <cell r="D122">
            <v>136.45400000000001</v>
          </cell>
          <cell r="F122">
            <v>74.75</v>
          </cell>
          <cell r="G122">
            <v>19.576699999999999</v>
          </cell>
          <cell r="R122">
            <v>90</v>
          </cell>
          <cell r="S122">
            <v>0.254963098</v>
          </cell>
          <cell r="Z122">
            <v>90</v>
          </cell>
          <cell r="AA122">
            <v>402.99099061971935</v>
          </cell>
          <cell r="AC122">
            <v>423.0739438826073</v>
          </cell>
          <cell r="AD122">
            <v>382.90803735683141</v>
          </cell>
          <cell r="AI122">
            <v>11.920445506193476</v>
          </cell>
          <cell r="AM122">
            <v>91</v>
          </cell>
          <cell r="AN122">
            <v>0.2254585389439967</v>
          </cell>
        </row>
        <row r="123">
          <cell r="A123">
            <v>450</v>
          </cell>
          <cell r="D123">
            <v>134.048</v>
          </cell>
          <cell r="F123">
            <v>0.50381500000000001</v>
          </cell>
          <cell r="G123">
            <v>20.151199999999999</v>
          </cell>
          <cell r="R123">
            <v>91</v>
          </cell>
          <cell r="S123">
            <v>0.25486565100000003</v>
          </cell>
          <cell r="Z123">
            <v>91</v>
          </cell>
          <cell r="AA123">
            <v>402.76793854655114</v>
          </cell>
          <cell r="AC123">
            <v>422.81274289534269</v>
          </cell>
          <cell r="AD123">
            <v>382.72313419775958</v>
          </cell>
          <cell r="AI123">
            <v>12.126377183066509</v>
          </cell>
          <cell r="AM123">
            <v>92</v>
          </cell>
          <cell r="AN123">
            <v>0.22992726279699127</v>
          </cell>
        </row>
        <row r="124">
          <cell r="A124">
            <v>455</v>
          </cell>
          <cell r="D124">
            <v>132.14500000000001</v>
          </cell>
          <cell r="F124">
            <v>0.37422499999999997</v>
          </cell>
          <cell r="G124">
            <v>21.9756</v>
          </cell>
          <cell r="R124">
            <v>92</v>
          </cell>
          <cell r="S124">
            <v>0.250970148</v>
          </cell>
          <cell r="Z124">
            <v>92</v>
          </cell>
          <cell r="AA124">
            <v>402.54248000760714</v>
          </cell>
          <cell r="AC124">
            <v>422.55164583305742</v>
          </cell>
          <cell r="AD124">
            <v>382.53331418215686</v>
          </cell>
          <cell r="AI124">
            <v>11.99100496967049</v>
          </cell>
          <cell r="AM124">
            <v>93</v>
          </cell>
          <cell r="AN124">
            <v>0.23002726542523533</v>
          </cell>
        </row>
        <row r="125">
          <cell r="A125">
            <v>460</v>
          </cell>
          <cell r="D125">
            <v>129.64400000000001</v>
          </cell>
          <cell r="F125">
            <v>0.37422499999999997</v>
          </cell>
          <cell r="G125">
            <v>22.578800000000001</v>
          </cell>
          <cell r="R125">
            <v>93</v>
          </cell>
          <cell r="S125">
            <v>0.25386344599999999</v>
          </cell>
          <cell r="Z125">
            <v>93</v>
          </cell>
          <cell r="AA125">
            <v>402.31255274481015</v>
          </cell>
          <cell r="AC125">
            <v>422.28957279220521</v>
          </cell>
          <cell r="AD125">
            <v>382.33553269741509</v>
          </cell>
          <cell r="AI125">
            <v>11.241445377481677</v>
          </cell>
          <cell r="AM125">
            <v>94</v>
          </cell>
          <cell r="AN125">
            <v>0.2300272654254627</v>
          </cell>
        </row>
        <row r="126">
          <cell r="A126">
            <v>465</v>
          </cell>
          <cell r="D126">
            <v>127.271</v>
          </cell>
          <cell r="F126">
            <v>0.37422499999999997</v>
          </cell>
          <cell r="G126">
            <v>23.181999999999999</v>
          </cell>
          <cell r="R126">
            <v>94</v>
          </cell>
          <cell r="S126">
            <v>0.25442898899999999</v>
          </cell>
          <cell r="Z126">
            <v>94</v>
          </cell>
          <cell r="AA126">
            <v>402.08252547938491</v>
          </cell>
          <cell r="AC126">
            <v>422.02945008451229</v>
          </cell>
          <cell r="AD126">
            <v>382.13560087425753</v>
          </cell>
          <cell r="AI126">
            <v>10.479462889873545</v>
          </cell>
          <cell r="AM126">
            <v>95</v>
          </cell>
          <cell r="AN126">
            <v>0.23002726542534901</v>
          </cell>
        </row>
        <row r="127">
          <cell r="A127">
            <v>470</v>
          </cell>
          <cell r="D127">
            <v>124.922</v>
          </cell>
          <cell r="F127">
            <v>0.37422499999999997</v>
          </cell>
          <cell r="G127">
            <v>23.7852</v>
          </cell>
          <cell r="R127">
            <v>95</v>
          </cell>
          <cell r="S127">
            <v>0.25065011100000001</v>
          </cell>
          <cell r="Z127">
            <v>95</v>
          </cell>
          <cell r="AA127">
            <v>401.85249821395945</v>
          </cell>
          <cell r="AC127">
            <v>421.77135087871272</v>
          </cell>
          <cell r="AD127">
            <v>381.93364554920618</v>
          </cell>
          <cell r="AI127">
            <v>9.717480402265414</v>
          </cell>
          <cell r="AM127">
            <v>96</v>
          </cell>
          <cell r="AN127">
            <v>0.23002726542540586</v>
          </cell>
        </row>
        <row r="128">
          <cell r="A128">
            <v>475</v>
          </cell>
          <cell r="D128">
            <v>122.70099999999999</v>
          </cell>
          <cell r="F128">
            <v>0.37422499999999997</v>
          </cell>
          <cell r="G128">
            <v>24.388400000000001</v>
          </cell>
          <cell r="R128">
            <v>96</v>
          </cell>
          <cell r="S128">
            <v>0.25344390300000003</v>
          </cell>
          <cell r="Z128">
            <v>96</v>
          </cell>
          <cell r="AA128">
            <v>401.6224709485341</v>
          </cell>
          <cell r="AC128">
            <v>421.51528374126315</v>
          </cell>
          <cell r="AD128">
            <v>381.72965815580505</v>
          </cell>
          <cell r="AI128">
            <v>8.9554979146572808</v>
          </cell>
          <cell r="AM128">
            <v>97</v>
          </cell>
          <cell r="AN128">
            <v>0.23579936494769527</v>
          </cell>
        </row>
        <row r="129">
          <cell r="A129">
            <v>480</v>
          </cell>
          <cell r="D129">
            <v>120.52200000000001</v>
          </cell>
          <cell r="F129">
            <v>0.37422499999999997</v>
          </cell>
          <cell r="G129">
            <v>24.991599999999998</v>
          </cell>
          <cell r="R129">
            <v>97</v>
          </cell>
          <cell r="S129">
            <v>0.24912572899999999</v>
          </cell>
          <cell r="Z129">
            <v>97</v>
          </cell>
          <cell r="AA129">
            <v>401.3924436831087</v>
          </cell>
          <cell r="AC129">
            <v>421.26125666179178</v>
          </cell>
          <cell r="AD129">
            <v>381.52363070442561</v>
          </cell>
          <cell r="AI129">
            <v>8.1935154270491495</v>
          </cell>
          <cell r="AM129">
            <v>98</v>
          </cell>
          <cell r="AN129">
            <v>0.24596574598098186</v>
          </cell>
        </row>
        <row r="130">
          <cell r="A130">
            <v>485</v>
          </cell>
          <cell r="D130">
            <v>118.444</v>
          </cell>
          <cell r="F130">
            <v>0.37422499999999997</v>
          </cell>
          <cell r="G130">
            <v>25.594799999999999</v>
          </cell>
          <cell r="R130">
            <v>98</v>
          </cell>
          <cell r="S130">
            <v>0.24916935300000001</v>
          </cell>
          <cell r="Z130">
            <v>98</v>
          </cell>
          <cell r="AA130">
            <v>401.156644318161</v>
          </cell>
          <cell r="AC130">
            <v>420.99418380152349</v>
          </cell>
          <cell r="AD130">
            <v>381.31910483479851</v>
          </cell>
          <cell r="AI130">
            <v>6.2097049416846426</v>
          </cell>
          <cell r="AM130">
            <v>99</v>
          </cell>
          <cell r="AN130">
            <v>0.24615702425950303</v>
          </cell>
        </row>
        <row r="131">
          <cell r="A131">
            <v>490</v>
          </cell>
          <cell r="D131">
            <v>116.40600000000001</v>
          </cell>
          <cell r="F131">
            <v>0.37422499999999997</v>
          </cell>
          <cell r="G131">
            <v>26.198</v>
          </cell>
          <cell r="R131">
            <v>99</v>
          </cell>
          <cell r="S131">
            <v>0.24817952400000001</v>
          </cell>
          <cell r="Z131">
            <v>99</v>
          </cell>
          <cell r="AA131">
            <v>400.91067857218002</v>
          </cell>
          <cell r="AC131">
            <v>420.70254357673963</v>
          </cell>
          <cell r="AD131">
            <v>381.11881356762041</v>
          </cell>
          <cell r="AI131">
            <v>5.9017947444887513</v>
          </cell>
          <cell r="AM131">
            <v>100</v>
          </cell>
          <cell r="AN131">
            <v>0.24615702425955988</v>
          </cell>
        </row>
        <row r="132">
          <cell r="A132">
            <v>495</v>
          </cell>
          <cell r="D132">
            <v>114.43899999999999</v>
          </cell>
          <cell r="F132">
            <v>1.7405799999999999E-4</v>
          </cell>
          <cell r="G132">
            <v>26.801200000000001</v>
          </cell>
          <cell r="R132">
            <v>100</v>
          </cell>
          <cell r="S132">
            <v>0.248168641</v>
          </cell>
          <cell r="Z132">
            <v>100</v>
          </cell>
          <cell r="AA132">
            <v>400.66452154792051</v>
          </cell>
          <cell r="AC132">
            <v>420.41241431911288</v>
          </cell>
          <cell r="AD132">
            <v>380.91662877672815</v>
          </cell>
          <cell r="AI132">
            <v>10.069851673184884</v>
          </cell>
          <cell r="AM132">
            <v>101</v>
          </cell>
          <cell r="AN132">
            <v>0.24615702425955988</v>
          </cell>
        </row>
        <row r="133">
          <cell r="A133">
            <v>500</v>
          </cell>
          <cell r="D133">
            <v>114.43899999999999</v>
          </cell>
          <cell r="F133">
            <v>0.1</v>
          </cell>
          <cell r="G133">
            <v>26.795999999999999</v>
          </cell>
          <cell r="R133">
            <v>101</v>
          </cell>
          <cell r="S133">
            <v>0.39255397300000006</v>
          </cell>
          <cell r="Z133">
            <v>101</v>
          </cell>
          <cell r="AA133">
            <v>400.41836452366096</v>
          </cell>
          <cell r="AC133">
            <v>420.12430951181022</v>
          </cell>
          <cell r="AD133">
            <v>380.71241953551169</v>
          </cell>
          <cell r="AI133">
            <v>10.380515353523508</v>
          </cell>
          <cell r="AM133">
            <v>102</v>
          </cell>
          <cell r="AN133">
            <v>0.24615702425950303</v>
          </cell>
        </row>
        <row r="134">
          <cell r="R134">
            <v>102</v>
          </cell>
          <cell r="S134">
            <v>0.15318522999999998</v>
          </cell>
          <cell r="Z134">
            <v>102</v>
          </cell>
          <cell r="AA134">
            <v>400.1722074994014</v>
          </cell>
          <cell r="AC134">
            <v>419.83824210933409</v>
          </cell>
          <cell r="AD134">
            <v>380.5061728894687</v>
          </cell>
          <cell r="AI134">
            <v>10.60902700085307</v>
          </cell>
          <cell r="AM134">
            <v>103</v>
          </cell>
          <cell r="AN134">
            <v>0.24615702425955988</v>
          </cell>
        </row>
        <row r="135">
          <cell r="R135">
            <v>103</v>
          </cell>
          <cell r="S135">
            <v>0.29992764</v>
          </cell>
          <cell r="Z135">
            <v>103</v>
          </cell>
          <cell r="AA135">
            <v>399.92605047514189</v>
          </cell>
          <cell r="AC135">
            <v>419.55422453978247</v>
          </cell>
          <cell r="AD135">
            <v>380.29787641050132</v>
          </cell>
          <cell r="AI135">
            <v>10.837538648182635</v>
          </cell>
          <cell r="AM135">
            <v>104</v>
          </cell>
          <cell r="AN135">
            <v>0.2475800094390479</v>
          </cell>
        </row>
        <row r="136">
          <cell r="R136">
            <v>104</v>
          </cell>
          <cell r="S136">
            <v>0.16228974999999998</v>
          </cell>
          <cell r="Z136">
            <v>104</v>
          </cell>
          <cell r="AA136">
            <v>399.67989345088233</v>
          </cell>
          <cell r="AC136">
            <v>419.27226868652536</v>
          </cell>
          <cell r="AD136">
            <v>380.0875182152393</v>
          </cell>
          <cell r="AI136">
            <v>11.066050295512198</v>
          </cell>
          <cell r="AM136">
            <v>105</v>
          </cell>
          <cell r="AN136">
            <v>0.25027938311893649</v>
          </cell>
        </row>
        <row r="137">
          <cell r="R137">
            <v>105</v>
          </cell>
          <cell r="S137">
            <v>0.32886567999999999</v>
          </cell>
          <cell r="Z137">
            <v>105</v>
          </cell>
          <cell r="AA137">
            <v>399.43231344144328</v>
          </cell>
          <cell r="AC137">
            <v>418.99303225153756</v>
          </cell>
          <cell r="AD137">
            <v>379.87159463134901</v>
          </cell>
          <cell r="AI137">
            <v>10.967893509410166</v>
          </cell>
          <cell r="AM137">
            <v>106</v>
          </cell>
          <cell r="AN137">
            <v>0.25034388919357298</v>
          </cell>
        </row>
        <row r="138">
          <cell r="R138">
            <v>106</v>
          </cell>
          <cell r="S138">
            <v>0.18225374999999999</v>
          </cell>
          <cell r="Z138">
            <v>106</v>
          </cell>
          <cell r="AA138">
            <v>399.18203405832435</v>
          </cell>
          <cell r="AC138">
            <v>418.71706465283756</v>
          </cell>
          <cell r="AD138">
            <v>379.64700346381113</v>
          </cell>
          <cell r="AI138">
            <v>10.255561048257348</v>
          </cell>
          <cell r="AM138">
            <v>107</v>
          </cell>
          <cell r="AN138">
            <v>0.2650765153803718</v>
          </cell>
        </row>
        <row r="139">
          <cell r="R139">
            <v>107</v>
          </cell>
          <cell r="S139">
            <v>0.40241723000000001</v>
          </cell>
          <cell r="Z139">
            <v>107</v>
          </cell>
          <cell r="AA139">
            <v>398.93169016913077</v>
          </cell>
          <cell r="AC139">
            <v>418.44315659730307</v>
          </cell>
          <cell r="AD139">
            <v>379.42022374095848</v>
          </cell>
          <cell r="AI139">
            <v>9.5289458291818043</v>
          </cell>
          <cell r="AM139">
            <v>108</v>
          </cell>
          <cell r="AN139">
            <v>0.29235303601666374</v>
          </cell>
        </row>
        <row r="140">
          <cell r="R140">
            <v>108</v>
          </cell>
          <cell r="S140">
            <v>0.32676892400000002</v>
          </cell>
          <cell r="Z140">
            <v>108</v>
          </cell>
          <cell r="AA140">
            <v>398.6666136537504</v>
          </cell>
          <cell r="AC140">
            <v>418.14653061141115</v>
          </cell>
          <cell r="AD140">
            <v>379.18669669608965</v>
          </cell>
          <cell r="AI140">
            <v>9.480778499832347</v>
          </cell>
          <cell r="AM140">
            <v>109</v>
          </cell>
          <cell r="AN140">
            <v>0.29295774857149581</v>
          </cell>
        </row>
        <row r="141">
          <cell r="R141">
            <v>109</v>
          </cell>
          <cell r="S141">
            <v>0.262489627</v>
          </cell>
          <cell r="Z141">
            <v>109</v>
          </cell>
          <cell r="AA141">
            <v>398.37426061773374</v>
          </cell>
          <cell r="AC141">
            <v>417.80608919983587</v>
          </cell>
          <cell r="AD141">
            <v>378.94243203563161</v>
          </cell>
          <cell r="AI141">
            <v>10.66521102923253</v>
          </cell>
          <cell r="AM141">
            <v>110</v>
          </cell>
          <cell r="AN141">
            <v>0.29295774857143897</v>
          </cell>
        </row>
        <row r="142">
          <cell r="R142">
            <v>110</v>
          </cell>
          <cell r="S142">
            <v>0.25545384699999996</v>
          </cell>
          <cell r="Z142">
            <v>110</v>
          </cell>
          <cell r="AA142">
            <v>398.08130286916224</v>
          </cell>
          <cell r="AC142">
            <v>417.46666097451134</v>
          </cell>
          <cell r="AD142">
            <v>378.69594476381315</v>
          </cell>
          <cell r="AI142">
            <v>11.875367375809128</v>
          </cell>
          <cell r="AM142">
            <v>111</v>
          </cell>
          <cell r="AN142">
            <v>0.29295774857149581</v>
          </cell>
        </row>
        <row r="143">
          <cell r="R143">
            <v>111</v>
          </cell>
          <cell r="S143">
            <v>0.26299889399999998</v>
          </cell>
          <cell r="Z143">
            <v>111</v>
          </cell>
          <cell r="AA143">
            <v>397.7883451205908</v>
          </cell>
          <cell r="AC143">
            <v>417.12927500860599</v>
          </cell>
          <cell r="AD143">
            <v>378.44741523257562</v>
          </cell>
          <cell r="AI143">
            <v>13.085523722385725</v>
          </cell>
          <cell r="AM143">
            <v>112</v>
          </cell>
          <cell r="AN143">
            <v>0.29295774857149581</v>
          </cell>
        </row>
        <row r="144">
          <cell r="R144">
            <v>112</v>
          </cell>
          <cell r="S144">
            <v>0.26271211999999999</v>
          </cell>
          <cell r="Z144">
            <v>112</v>
          </cell>
          <cell r="AA144">
            <v>397.49538737201931</v>
          </cell>
          <cell r="AC144">
            <v>416.79394540690089</v>
          </cell>
          <cell r="AD144">
            <v>378.19682933713773</v>
          </cell>
          <cell r="AI144">
            <v>13.918911912363169</v>
          </cell>
          <cell r="AM144">
            <v>113</v>
          </cell>
          <cell r="AN144">
            <v>0.29295774857149581</v>
          </cell>
        </row>
        <row r="145">
          <cell r="R145">
            <v>113</v>
          </cell>
          <cell r="S145">
            <v>0.26262159200000001</v>
          </cell>
          <cell r="Z145">
            <v>113</v>
          </cell>
          <cell r="AA145">
            <v>397.20242962344781</v>
          </cell>
          <cell r="AC145">
            <v>416.46068574258641</v>
          </cell>
          <cell r="AD145">
            <v>377.94417350430922</v>
          </cell>
          <cell r="AI145">
            <v>14.08386008704556</v>
          </cell>
          <cell r="AM145">
            <v>114</v>
          </cell>
          <cell r="AN145">
            <v>0.29295774857143897</v>
          </cell>
        </row>
        <row r="146">
          <cell r="R146">
            <v>114</v>
          </cell>
          <cell r="S146">
            <v>0.26252214499999998</v>
          </cell>
          <cell r="Z146">
            <v>114</v>
          </cell>
          <cell r="AA146">
            <v>396.90947187487632</v>
          </cell>
          <cell r="AC146">
            <v>416.12950903683469</v>
          </cell>
          <cell r="AD146">
            <v>377.68943471291794</v>
          </cell>
          <cell r="AI146">
            <v>13.334664647219938</v>
          </cell>
          <cell r="AM146">
            <v>115</v>
          </cell>
          <cell r="AN146">
            <v>0.29295774857155266</v>
          </cell>
        </row>
        <row r="147">
          <cell r="R147">
            <v>115</v>
          </cell>
          <cell r="S147">
            <v>0.262429633</v>
          </cell>
          <cell r="Z147">
            <v>115</v>
          </cell>
          <cell r="AA147">
            <v>396.61651412630488</v>
          </cell>
          <cell r="AC147">
            <v>415.80042773890904</v>
          </cell>
          <cell r="AD147">
            <v>377.43260051370072</v>
          </cell>
          <cell r="AI147">
            <v>11.649113000077051</v>
          </cell>
          <cell r="AM147">
            <v>116</v>
          </cell>
          <cell r="AN147">
            <v>0.30693259511599535</v>
          </cell>
        </row>
        <row r="148">
          <cell r="R148">
            <v>116</v>
          </cell>
          <cell r="S148">
            <v>0.262337127</v>
          </cell>
          <cell r="Z148">
            <v>116</v>
          </cell>
          <cell r="AA148">
            <v>396.32355637773333</v>
          </cell>
          <cell r="AC148">
            <v>415.47345370687668</v>
          </cell>
          <cell r="AD148">
            <v>377.17365904858997</v>
          </cell>
          <cell r="AI148">
            <v>11.216659069490442</v>
          </cell>
          <cell r="AM148">
            <v>117</v>
          </cell>
          <cell r="AN148">
            <v>0.3329806863762883</v>
          </cell>
        </row>
        <row r="149">
          <cell r="R149">
            <v>117</v>
          </cell>
          <cell r="S149">
            <v>0.26224361900000004</v>
          </cell>
          <cell r="Z149">
            <v>117</v>
          </cell>
          <cell r="AA149">
            <v>396.01662378261733</v>
          </cell>
          <cell r="AC149">
            <v>415.13175959023914</v>
          </cell>
          <cell r="AD149">
            <v>376.90148797499552</v>
          </cell>
          <cell r="AI149">
            <v>10.81057259839733</v>
          </cell>
          <cell r="AM149">
            <v>118</v>
          </cell>
          <cell r="AN149">
            <v>0.33357045259469942</v>
          </cell>
        </row>
        <row r="150">
          <cell r="R150">
            <v>118</v>
          </cell>
          <cell r="S150">
            <v>0.26214813800000003</v>
          </cell>
          <cell r="Z150">
            <v>118</v>
          </cell>
          <cell r="AA150">
            <v>395.68364309624104</v>
          </cell>
          <cell r="AC150">
            <v>414.76069792375273</v>
          </cell>
          <cell r="AD150">
            <v>376.60658826872935</v>
          </cell>
          <cell r="AI150">
            <v>10.404486127304219</v>
          </cell>
          <cell r="AM150">
            <v>119</v>
          </cell>
          <cell r="AN150">
            <v>0.33357045259464257</v>
          </cell>
        </row>
        <row r="151">
          <cell r="R151">
            <v>119</v>
          </cell>
          <cell r="S151">
            <v>0.26205068300000001</v>
          </cell>
          <cell r="Z151">
            <v>119</v>
          </cell>
          <cell r="AA151">
            <v>395.35007264364634</v>
          </cell>
          <cell r="AC151">
            <v>414.39091122577418</v>
          </cell>
          <cell r="AD151">
            <v>376.30923406151851</v>
          </cell>
          <cell r="AI151">
            <v>9.9983996562111077</v>
          </cell>
          <cell r="AM151">
            <v>120</v>
          </cell>
          <cell r="AN151">
            <v>0.33449986226059991</v>
          </cell>
        </row>
        <row r="152">
          <cell r="R152">
            <v>120</v>
          </cell>
          <cell r="S152">
            <v>0.25677617400000002</v>
          </cell>
          <cell r="Z152">
            <v>120</v>
          </cell>
          <cell r="AA152">
            <v>395.0165021910517</v>
          </cell>
          <cell r="AC152">
            <v>414.02311981629146</v>
          </cell>
          <cell r="AD152">
            <v>376.00988456581194</v>
          </cell>
          <cell r="AI152">
            <v>10.187926284787533</v>
          </cell>
          <cell r="AM152">
            <v>121</v>
          </cell>
          <cell r="AN152">
            <v>0.33623280930976307</v>
          </cell>
        </row>
        <row r="153">
          <cell r="R153">
            <v>121</v>
          </cell>
          <cell r="S153">
            <v>0.26154105899999996</v>
          </cell>
          <cell r="Z153">
            <v>121</v>
          </cell>
          <cell r="AA153">
            <v>394.6820023287911</v>
          </cell>
          <cell r="AC153">
            <v>413.65769447422838</v>
          </cell>
          <cell r="AD153">
            <v>375.70631018335382</v>
          </cell>
          <cell r="AI153">
            <v>11.50402702432693</v>
          </cell>
          <cell r="AM153">
            <v>122</v>
          </cell>
          <cell r="AN153">
            <v>0.34900413486718662</v>
          </cell>
        </row>
        <row r="154">
          <cell r="R154">
            <v>122</v>
          </cell>
          <cell r="S154">
            <v>0.25587168399999999</v>
          </cell>
          <cell r="Z154">
            <v>122</v>
          </cell>
          <cell r="AA154">
            <v>394.34576951948134</v>
          </cell>
          <cell r="AC154">
            <v>413.29491138599116</v>
          </cell>
          <cell r="AD154">
            <v>375.39662765297152</v>
          </cell>
          <cell r="AI154">
            <v>12.225319722837179</v>
          </cell>
          <cell r="AM154">
            <v>123</v>
          </cell>
          <cell r="AN154">
            <v>0.37219154637330121</v>
          </cell>
        </row>
        <row r="155">
          <cell r="R155">
            <v>123</v>
          </cell>
          <cell r="S155">
            <v>0.25562019400000002</v>
          </cell>
          <cell r="Z155">
            <v>123</v>
          </cell>
          <cell r="AA155">
            <v>393.99676538461415</v>
          </cell>
          <cell r="AC155">
            <v>412.90764400972557</v>
          </cell>
          <cell r="AD155">
            <v>375.08588675950273</v>
          </cell>
          <cell r="AI155">
            <v>11.803525312640824</v>
          </cell>
          <cell r="AM155">
            <v>124</v>
          </cell>
          <cell r="AN155">
            <v>0.37267926257089812</v>
          </cell>
        </row>
        <row r="156">
          <cell r="R156">
            <v>124</v>
          </cell>
          <cell r="S156">
            <v>0.25373611700000004</v>
          </cell>
          <cell r="Z156">
            <v>124</v>
          </cell>
          <cell r="AA156">
            <v>393.62457383824085</v>
          </cell>
          <cell r="AC156">
            <v>412.47416316081262</v>
          </cell>
          <cell r="AD156">
            <v>374.77498451566908</v>
          </cell>
          <cell r="AI156">
            <v>11.356912886234928</v>
          </cell>
          <cell r="AM156">
            <v>125</v>
          </cell>
          <cell r="AN156">
            <v>0.37267926257089812</v>
          </cell>
        </row>
        <row r="157">
          <cell r="R157">
            <v>125</v>
          </cell>
          <cell r="S157">
            <v>0.247058784</v>
          </cell>
          <cell r="Z157">
            <v>125</v>
          </cell>
          <cell r="AA157">
            <v>393.25189457566995</v>
          </cell>
          <cell r="AC157">
            <v>412.04166333964497</v>
          </cell>
          <cell r="AD157">
            <v>374.46212581169493</v>
          </cell>
          <cell r="AI157">
            <v>10.910300459829026</v>
          </cell>
          <cell r="AM157">
            <v>126</v>
          </cell>
          <cell r="AN157">
            <v>0.37267926257072759</v>
          </cell>
        </row>
        <row r="158">
          <cell r="R158">
            <v>126</v>
          </cell>
          <cell r="S158">
            <v>0.25239790499999998</v>
          </cell>
          <cell r="Z158">
            <v>126</v>
          </cell>
          <cell r="AA158">
            <v>392.87921531309905</v>
          </cell>
          <cell r="AC158">
            <v>411.61117600284643</v>
          </cell>
          <cell r="AD158">
            <v>374.14725462335167</v>
          </cell>
          <cell r="AI158">
            <v>10.463688033423127</v>
          </cell>
          <cell r="AM158">
            <v>127</v>
          </cell>
          <cell r="AN158">
            <v>0.37267926257095496</v>
          </cell>
        </row>
        <row r="159">
          <cell r="R159">
            <v>127</v>
          </cell>
          <cell r="S159">
            <v>0.242487539</v>
          </cell>
          <cell r="Z159">
            <v>127</v>
          </cell>
          <cell r="AA159">
            <v>392.50653605052833</v>
          </cell>
          <cell r="AC159">
            <v>411.18271983805244</v>
          </cell>
          <cell r="AD159">
            <v>373.83035226300422</v>
          </cell>
          <cell r="AI159">
            <v>10.017075607017228</v>
          </cell>
          <cell r="AM159">
            <v>128</v>
          </cell>
          <cell r="AN159">
            <v>0.37267926257078443</v>
          </cell>
        </row>
        <row r="160">
          <cell r="R160">
            <v>128</v>
          </cell>
          <cell r="S160">
            <v>0.25179955700000001</v>
          </cell>
          <cell r="Z160">
            <v>128</v>
          </cell>
          <cell r="AA160">
            <v>392.13385678795737</v>
          </cell>
          <cell r="AC160">
            <v>410.75631309621775</v>
          </cell>
          <cell r="AD160">
            <v>373.51140047969699</v>
          </cell>
          <cell r="AI160">
            <v>9.5704631806113287</v>
          </cell>
          <cell r="AM160">
            <v>129</v>
          </cell>
          <cell r="AN160">
            <v>0.37267926257084127</v>
          </cell>
        </row>
        <row r="161">
          <cell r="R161">
            <v>129</v>
          </cell>
          <cell r="S161">
            <v>0.24729204699999999</v>
          </cell>
          <cell r="Z161">
            <v>129</v>
          </cell>
          <cell r="AA161">
            <v>391.76117752538659</v>
          </cell>
          <cell r="AC161">
            <v>410.33197356501029</v>
          </cell>
          <cell r="AD161">
            <v>373.19038148576288</v>
          </cell>
          <cell r="AI161">
            <v>9.5033670193964586</v>
          </cell>
          <cell r="AM161">
            <v>130</v>
          </cell>
          <cell r="AN161">
            <v>0.37267926257089812</v>
          </cell>
        </row>
        <row r="162">
          <cell r="R162">
            <v>130</v>
          </cell>
          <cell r="S162">
            <v>0.25154232799999998</v>
          </cell>
          <cell r="Z162">
            <v>130</v>
          </cell>
          <cell r="AA162">
            <v>391.38849826281574</v>
          </cell>
          <cell r="AC162">
            <v>409.90971854232458</v>
          </cell>
          <cell r="AD162">
            <v>372.86727798330691</v>
          </cell>
          <cell r="AI162">
            <v>10.129547566525362</v>
          </cell>
          <cell r="AM162">
            <v>131</v>
          </cell>
          <cell r="AN162">
            <v>0.37267926257084127</v>
          </cell>
        </row>
        <row r="163">
          <cell r="R163">
            <v>131</v>
          </cell>
          <cell r="S163">
            <v>0.25186798500000002</v>
          </cell>
          <cell r="Z163">
            <v>131</v>
          </cell>
          <cell r="AA163">
            <v>391.01581900024485</v>
          </cell>
          <cell r="AC163">
            <v>409.48956480999948</v>
          </cell>
          <cell r="AD163">
            <v>372.54207319049021</v>
          </cell>
          <cell r="AI163">
            <v>10.770454337609104</v>
          </cell>
          <cell r="AM163">
            <v>132</v>
          </cell>
          <cell r="AN163">
            <v>0.37267926257089812</v>
          </cell>
        </row>
        <row r="164">
          <cell r="R164">
            <v>132</v>
          </cell>
          <cell r="S164">
            <v>0.25182691099999999</v>
          </cell>
          <cell r="Z164">
            <v>132</v>
          </cell>
          <cell r="AA164">
            <v>390.64313973767401</v>
          </cell>
          <cell r="AC164">
            <v>409.07152860781974</v>
          </cell>
          <cell r="AD164">
            <v>372.21475086752827</v>
          </cell>
          <cell r="AI164">
            <v>11.41136110869285</v>
          </cell>
          <cell r="AM164">
            <v>133</v>
          </cell>
          <cell r="AN164">
            <v>0.37267926257084127</v>
          </cell>
        </row>
        <row r="165">
          <cell r="R165">
            <v>133</v>
          </cell>
          <cell r="S165">
            <v>0.251737394</v>
          </cell>
          <cell r="Z165">
            <v>133</v>
          </cell>
          <cell r="AA165">
            <v>390.27046047510311</v>
          </cell>
          <cell r="AC165">
            <v>408.65562560788732</v>
          </cell>
          <cell r="AD165">
            <v>371.8852953423189</v>
          </cell>
          <cell r="AI165">
            <v>11.633494976169551</v>
          </cell>
          <cell r="AM165">
            <v>134</v>
          </cell>
          <cell r="AN165">
            <v>0.40610241428396421</v>
          </cell>
        </row>
        <row r="166">
          <cell r="R166">
            <v>134</v>
          </cell>
          <cell r="S166">
            <v>0.251648855</v>
          </cell>
          <cell r="Z166">
            <v>134</v>
          </cell>
          <cell r="AA166">
            <v>389.89778121253227</v>
          </cell>
          <cell r="AC166">
            <v>408.24187088944802</v>
          </cell>
          <cell r="AD166">
            <v>371.55369153561651</v>
          </cell>
          <cell r="AI166">
            <v>11.116895880191436</v>
          </cell>
          <cell r="AM166">
            <v>135</v>
          </cell>
          <cell r="AN166">
            <v>0.46384115295609263</v>
          </cell>
        </row>
        <row r="167">
          <cell r="R167">
            <v>135</v>
          </cell>
          <cell r="S167">
            <v>0.25156030300000004</v>
          </cell>
          <cell r="Z167">
            <v>135</v>
          </cell>
          <cell r="AA167">
            <v>389.4916787982483</v>
          </cell>
          <cell r="AC167">
            <v>407.78409962928129</v>
          </cell>
          <cell r="AD167">
            <v>371.19925796721532</v>
          </cell>
          <cell r="AI167">
            <v>10.586323256300139</v>
          </cell>
          <cell r="AM167">
            <v>136</v>
          </cell>
          <cell r="AN167">
            <v>0.46485636859949864</v>
          </cell>
        </row>
        <row r="168">
          <cell r="R168">
            <v>136</v>
          </cell>
          <cell r="S168">
            <v>0.258980565</v>
          </cell>
          <cell r="Z168">
            <v>136</v>
          </cell>
          <cell r="AA168">
            <v>389.02783764529221</v>
          </cell>
          <cell r="AC168">
            <v>407.25072233781668</v>
          </cell>
          <cell r="AD168">
            <v>370.80495295276774</v>
          </cell>
          <cell r="AI168">
            <v>10.207863291487833</v>
          </cell>
          <cell r="AM168">
            <v>137</v>
          </cell>
          <cell r="AN168">
            <v>0.46485636859927126</v>
          </cell>
        </row>
        <row r="169">
          <cell r="R169">
            <v>137</v>
          </cell>
          <cell r="S169">
            <v>0.25399772600000003</v>
          </cell>
          <cell r="Z169">
            <v>137</v>
          </cell>
          <cell r="AA169">
            <v>388.56298127669271</v>
          </cell>
          <cell r="AC169">
            <v>406.72116366766494</v>
          </cell>
          <cell r="AD169">
            <v>370.40479888572048</v>
          </cell>
          <cell r="AI169">
            <v>10.090043168769153</v>
          </cell>
          <cell r="AM169">
            <v>138</v>
          </cell>
          <cell r="AN169">
            <v>0.46485636859938495</v>
          </cell>
        </row>
        <row r="170">
          <cell r="R170">
            <v>138</v>
          </cell>
          <cell r="S170">
            <v>0.258765884</v>
          </cell>
          <cell r="Z170">
            <v>138</v>
          </cell>
          <cell r="AA170">
            <v>388.09812490809344</v>
          </cell>
          <cell r="AC170">
            <v>406.19687515603027</v>
          </cell>
          <cell r="AD170">
            <v>369.9993746601566</v>
          </cell>
          <cell r="AI170">
            <v>9.9766736663097291</v>
          </cell>
          <cell r="AM170">
            <v>139</v>
          </cell>
          <cell r="AN170">
            <v>0.46485636859932811</v>
          </cell>
        </row>
        <row r="171">
          <cell r="R171">
            <v>139</v>
          </cell>
          <cell r="S171">
            <v>0.25930183000000001</v>
          </cell>
          <cell r="Z171">
            <v>139</v>
          </cell>
          <cell r="AA171">
            <v>387.63326853949405</v>
          </cell>
          <cell r="AC171">
            <v>405.67790887664631</v>
          </cell>
          <cell r="AD171">
            <v>369.58862820234179</v>
          </cell>
          <cell r="AI171">
            <v>6.4049938336493932</v>
          </cell>
          <cell r="AM171">
            <v>140</v>
          </cell>
          <cell r="AN171">
            <v>0.46485636859938495</v>
          </cell>
        </row>
        <row r="172">
          <cell r="R172">
            <v>140</v>
          </cell>
          <cell r="S172">
            <v>0.25993569099999997</v>
          </cell>
          <cell r="Z172">
            <v>140</v>
          </cell>
          <cell r="AA172">
            <v>387.16841217089473</v>
          </cell>
          <cell r="AC172">
            <v>405.16431283809629</v>
          </cell>
          <cell r="AD172">
            <v>369.17251150369316</v>
          </cell>
          <cell r="AI172">
            <v>1.3408106726821121</v>
          </cell>
          <cell r="AM172">
            <v>141</v>
          </cell>
          <cell r="AN172">
            <v>0.46485636859949864</v>
          </cell>
        </row>
        <row r="173">
          <cell r="R173">
            <v>141</v>
          </cell>
          <cell r="S173">
            <v>0</v>
          </cell>
          <cell r="Z173">
            <v>141</v>
          </cell>
          <cell r="AA173">
            <v>386.70355580229534</v>
          </cell>
          <cell r="AC173">
            <v>404.65613077963491</v>
          </cell>
          <cell r="AD173">
            <v>368.75098082495578</v>
          </cell>
          <cell r="AI173">
            <v>4.6049825644998785</v>
          </cell>
          <cell r="AM173">
            <v>142</v>
          </cell>
          <cell r="AN173">
            <v>0.46485636859921442</v>
          </cell>
        </row>
        <row r="174">
          <cell r="R174">
            <v>142</v>
          </cell>
          <cell r="S174">
            <v>0</v>
          </cell>
          <cell r="Z174">
            <v>142</v>
          </cell>
          <cell r="AA174">
            <v>386.23869943369584</v>
          </cell>
          <cell r="AC174">
            <v>404.15340198151455</v>
          </cell>
          <cell r="AD174">
            <v>368.32399688587714</v>
          </cell>
          <cell r="AI174">
            <v>6.08141648188787</v>
          </cell>
          <cell r="AM174">
            <v>143</v>
          </cell>
          <cell r="AN174">
            <v>0.46485636859944179</v>
          </cell>
        </row>
        <row r="175">
          <cell r="R175">
            <v>143</v>
          </cell>
          <cell r="S175">
            <v>0</v>
          </cell>
          <cell r="Z175">
            <v>143</v>
          </cell>
          <cell r="AA175">
            <v>385.77384306509663</v>
          </cell>
          <cell r="AC175">
            <v>403.65616109166291</v>
          </cell>
          <cell r="AD175">
            <v>367.89152503853035</v>
          </cell>
          <cell r="AI175">
            <v>5.131264363883731</v>
          </cell>
          <cell r="AM175">
            <v>144</v>
          </cell>
          <cell r="AN175">
            <v>0.46485636859938495</v>
          </cell>
        </row>
        <row r="176">
          <cell r="R176">
            <v>144</v>
          </cell>
          <cell r="S176">
            <v>0</v>
          </cell>
          <cell r="Z176">
            <v>144</v>
          </cell>
          <cell r="AA176">
            <v>385.30898669649719</v>
          </cell>
          <cell r="AC176">
            <v>403.1644379704444</v>
          </cell>
          <cell r="AD176">
            <v>367.45353542254998</v>
          </cell>
          <cell r="AI176">
            <v>7.2450326629696455</v>
          </cell>
          <cell r="AM176">
            <v>145</v>
          </cell>
          <cell r="AN176">
            <v>0.46485636859944179</v>
          </cell>
        </row>
        <row r="177">
          <cell r="R177">
            <v>145</v>
          </cell>
          <cell r="S177">
            <v>0</v>
          </cell>
          <cell r="Z177">
            <v>145</v>
          </cell>
          <cell r="AA177">
            <v>384.8441303278978</v>
          </cell>
          <cell r="AC177">
            <v>402.67825755509784</v>
          </cell>
          <cell r="AD177">
            <v>367.01000310069776</v>
          </cell>
          <cell r="AI177">
            <v>10.319047527925694</v>
          </cell>
          <cell r="AM177">
            <v>146</v>
          </cell>
          <cell r="AN177">
            <v>0.46485636859932811</v>
          </cell>
        </row>
        <row r="178">
          <cell r="R178">
            <v>146</v>
          </cell>
          <cell r="S178">
            <v>0</v>
          </cell>
          <cell r="Z178">
            <v>146</v>
          </cell>
          <cell r="AA178">
            <v>384.37927395929836</v>
          </cell>
          <cell r="AC178">
            <v>402.19763974525711</v>
          </cell>
          <cell r="AD178">
            <v>366.56090817333961</v>
          </cell>
          <cell r="AI178">
            <v>8.8993007061407603</v>
          </cell>
          <cell r="AM178">
            <v>147</v>
          </cell>
          <cell r="AN178">
            <v>0.46485636859938495</v>
          </cell>
        </row>
        <row r="179">
          <cell r="R179">
            <v>147</v>
          </cell>
          <cell r="S179">
            <v>0</v>
          </cell>
          <cell r="Z179">
            <v>147</v>
          </cell>
          <cell r="AA179">
            <v>383.91441759069903</v>
          </cell>
          <cell r="AC179">
            <v>401.72259931077093</v>
          </cell>
          <cell r="AD179">
            <v>366.10623587062713</v>
          </cell>
          <cell r="AI179">
            <v>5.733895350236871</v>
          </cell>
          <cell r="AM179">
            <v>148</v>
          </cell>
          <cell r="AN179">
            <v>0.46485636859932811</v>
          </cell>
        </row>
        <row r="180">
          <cell r="R180">
            <v>148</v>
          </cell>
          <cell r="S180">
            <v>0</v>
          </cell>
          <cell r="Z180">
            <v>148</v>
          </cell>
          <cell r="AA180">
            <v>383.44956122209965</v>
          </cell>
          <cell r="AC180">
            <v>401.25314582280834</v>
          </cell>
          <cell r="AD180">
            <v>365.64597662139096</v>
          </cell>
          <cell r="AI180">
            <v>6.7424736523425013</v>
          </cell>
          <cell r="AM180">
            <v>149</v>
          </cell>
          <cell r="AN180">
            <v>0.46485636859938495</v>
          </cell>
        </row>
        <row r="181">
          <cell r="R181">
            <v>149</v>
          </cell>
          <cell r="S181">
            <v>0</v>
          </cell>
          <cell r="Z181">
            <v>149</v>
          </cell>
          <cell r="AA181">
            <v>382.98470485350032</v>
          </cell>
          <cell r="AC181">
            <v>400.78928360899715</v>
          </cell>
          <cell r="AD181">
            <v>365.18012609800348</v>
          </cell>
          <cell r="AI181">
            <v>9.2719156530819014</v>
          </cell>
          <cell r="AM181">
            <v>150</v>
          </cell>
          <cell r="AN181">
            <v>0.46485636859938495</v>
          </cell>
        </row>
        <row r="182">
          <cell r="R182">
            <v>150</v>
          </cell>
          <cell r="S182">
            <v>0</v>
          </cell>
          <cell r="Z182">
            <v>150</v>
          </cell>
          <cell r="AA182">
            <v>382.51984848490093</v>
          </cell>
          <cell r="AC182">
            <v>400.33101173308324</v>
          </cell>
          <cell r="AD182">
            <v>364.70868523671862</v>
          </cell>
          <cell r="AI182">
            <v>12.617149363541152</v>
          </cell>
          <cell r="AM182">
            <v>151</v>
          </cell>
          <cell r="AN182">
            <v>0.50413779619941579</v>
          </cell>
        </row>
        <row r="183">
          <cell r="R183">
            <v>151</v>
          </cell>
          <cell r="S183">
            <v>0</v>
          </cell>
          <cell r="Z183">
            <v>151</v>
          </cell>
          <cell r="AA183">
            <v>382.05499211630155</v>
          </cell>
          <cell r="AC183">
            <v>399.87832399933399</v>
          </cell>
          <cell r="AD183">
            <v>364.23166023326911</v>
          </cell>
          <cell r="AI183">
            <v>12.877571146702712</v>
          </cell>
          <cell r="AM183">
            <v>152</v>
          </cell>
          <cell r="AN183">
            <v>0.57290091738070714</v>
          </cell>
        </row>
        <row r="184">
          <cell r="R184">
            <v>152</v>
          </cell>
          <cell r="S184">
            <v>0</v>
          </cell>
          <cell r="Z184">
            <v>152</v>
          </cell>
          <cell r="AA184">
            <v>381.55085432010213</v>
          </cell>
          <cell r="AC184">
            <v>399.45827950347336</v>
          </cell>
          <cell r="AD184">
            <v>363.6434291367309</v>
          </cell>
          <cell r="AI184">
            <v>13.079093882384663</v>
          </cell>
          <cell r="AM184">
            <v>153</v>
          </cell>
          <cell r="AN184">
            <v>0.57416756089833143</v>
          </cell>
        </row>
        <row r="185">
          <cell r="R185">
            <v>153</v>
          </cell>
          <cell r="S185">
            <v>0</v>
          </cell>
          <cell r="Z185">
            <v>153</v>
          </cell>
          <cell r="AA185">
            <v>380.97795340272143</v>
          </cell>
          <cell r="AC185">
            <v>399.09514081454006</v>
          </cell>
          <cell r="AD185">
            <v>362.86076599090279</v>
          </cell>
          <cell r="AI185">
            <v>13.280616618066611</v>
          </cell>
          <cell r="AM185">
            <v>154</v>
          </cell>
          <cell r="AN185">
            <v>0.57416756089821774</v>
          </cell>
        </row>
        <row r="186">
          <cell r="R186">
            <v>154</v>
          </cell>
          <cell r="S186">
            <v>34.37162</v>
          </cell>
          <cell r="Z186">
            <v>154</v>
          </cell>
          <cell r="AA186">
            <v>380.40378584182309</v>
          </cell>
          <cell r="AC186">
            <v>398.74403931988934</v>
          </cell>
          <cell r="AD186">
            <v>362.06353236375685</v>
          </cell>
          <cell r="AI186">
            <v>12.717869004847133</v>
          </cell>
          <cell r="AM186">
            <v>155</v>
          </cell>
          <cell r="AN186">
            <v>0.57416756089821774</v>
          </cell>
        </row>
        <row r="187">
          <cell r="R187">
            <v>155</v>
          </cell>
          <cell r="S187">
            <v>3.0174300000000001</v>
          </cell>
          <cell r="Z187">
            <v>155</v>
          </cell>
          <cell r="AA187">
            <v>379.82961828092488</v>
          </cell>
          <cell r="AC187">
            <v>398.40369322012009</v>
          </cell>
          <cell r="AD187">
            <v>361.25554334172966</v>
          </cell>
          <cell r="AI187">
            <v>11.67385630743316</v>
          </cell>
          <cell r="AM187">
            <v>156</v>
          </cell>
          <cell r="AN187">
            <v>0.63554082351873831</v>
          </cell>
        </row>
        <row r="188">
          <cell r="R188">
            <v>156</v>
          </cell>
          <cell r="S188">
            <v>6.2824600000000004</v>
          </cell>
          <cell r="Z188">
            <v>156</v>
          </cell>
          <cell r="AA188">
            <v>379.25545072002666</v>
          </cell>
          <cell r="AC188">
            <v>398.07370160411028</v>
          </cell>
          <cell r="AD188">
            <v>360.43719983594303</v>
          </cell>
          <cell r="AI188">
            <v>12.208899062629156</v>
          </cell>
          <cell r="AM188">
            <v>157</v>
          </cell>
          <cell r="AN188">
            <v>0.74694084218526768</v>
          </cell>
        </row>
        <row r="189">
          <cell r="R189">
            <v>157</v>
          </cell>
          <cell r="S189">
            <v>3.36443</v>
          </cell>
          <cell r="Z189">
            <v>157</v>
          </cell>
          <cell r="AA189">
            <v>378.61990989650792</v>
          </cell>
          <cell r="AC189">
            <v>397.57631806501746</v>
          </cell>
          <cell r="AD189">
            <v>359.66350172799838</v>
          </cell>
          <cell r="AI189">
            <v>12.775951461487351</v>
          </cell>
          <cell r="AM189">
            <v>158</v>
          </cell>
          <cell r="AN189">
            <v>0.81195225634854751</v>
          </cell>
        </row>
        <row r="190">
          <cell r="R190">
            <v>158</v>
          </cell>
          <cell r="S190">
            <v>7.1911399999999999</v>
          </cell>
          <cell r="Z190">
            <v>158</v>
          </cell>
          <cell r="AA190">
            <v>377.87296905432265</v>
          </cell>
          <cell r="AC190">
            <v>396.77389511937434</v>
          </cell>
          <cell r="AD190">
            <v>358.97204298927096</v>
          </cell>
          <cell r="AI190">
            <v>13.343003860345545</v>
          </cell>
          <cell r="AM190">
            <v>159</v>
          </cell>
          <cell r="AN190">
            <v>0.92605654296170314</v>
          </cell>
        </row>
        <row r="191">
          <cell r="R191">
            <v>159</v>
          </cell>
          <cell r="S191">
            <v>3.8338399999999999</v>
          </cell>
          <cell r="Z191">
            <v>159</v>
          </cell>
          <cell r="AA191">
            <v>377.0610167979741</v>
          </cell>
          <cell r="AC191">
            <v>395.88623676840848</v>
          </cell>
          <cell r="AD191">
            <v>358.23579682753973</v>
          </cell>
          <cell r="AI191">
            <v>13.91005625920374</v>
          </cell>
          <cell r="AM191">
            <v>160</v>
          </cell>
          <cell r="AN191">
            <v>1.0065376333996596</v>
          </cell>
        </row>
        <row r="192">
          <cell r="R192">
            <v>160</v>
          </cell>
          <cell r="S192">
            <v>8.1777200000000008</v>
          </cell>
          <cell r="Z192">
            <v>160</v>
          </cell>
          <cell r="AA192">
            <v>376.1349602550124</v>
          </cell>
          <cell r="AC192">
            <v>394.84305723740067</v>
          </cell>
          <cell r="AD192">
            <v>357.42686327262413</v>
          </cell>
          <cell r="AI192">
            <v>14.477108658061937</v>
          </cell>
          <cell r="AM192">
            <v>161</v>
          </cell>
          <cell r="AN192">
            <v>1.1447333989283948</v>
          </cell>
        </row>
        <row r="193">
          <cell r="R193">
            <v>161</v>
          </cell>
          <cell r="S193">
            <v>4.3524500000000002</v>
          </cell>
          <cell r="Z193">
            <v>161</v>
          </cell>
          <cell r="AA193">
            <v>375.12842262161274</v>
          </cell>
          <cell r="AC193">
            <v>393.72714335538438</v>
          </cell>
          <cell r="AD193">
            <v>356.5297018878411</v>
          </cell>
          <cell r="AI193">
            <v>14.707542923804256</v>
          </cell>
          <cell r="AM193">
            <v>162</v>
          </cell>
          <cell r="AN193">
            <v>1.1473768046122359</v>
          </cell>
        </row>
        <row r="194">
          <cell r="R194">
            <v>162</v>
          </cell>
          <cell r="S194">
            <v>9.2749199999999998</v>
          </cell>
          <cell r="Z194">
            <v>162</v>
          </cell>
          <cell r="AA194">
            <v>373.98368922268435</v>
          </cell>
          <cell r="AC194">
            <v>392.4720596319317</v>
          </cell>
          <cell r="AD194">
            <v>355.495318813437</v>
          </cell>
          <cell r="AI194">
            <v>14.339907490260218</v>
          </cell>
          <cell r="AM194">
            <v>163</v>
          </cell>
          <cell r="AN194">
            <v>1.1473768046123496</v>
          </cell>
        </row>
        <row r="195">
          <cell r="R195">
            <v>163</v>
          </cell>
          <cell r="S195">
            <v>4.9340099999999998</v>
          </cell>
          <cell r="Z195">
            <v>163</v>
          </cell>
          <cell r="AA195">
            <v>372.83631241807211</v>
          </cell>
          <cell r="AC195">
            <v>391.24825113266508</v>
          </cell>
          <cell r="AD195">
            <v>354.42437370347915</v>
          </cell>
          <cell r="AI195">
            <v>13.960680640441312</v>
          </cell>
          <cell r="AM195">
            <v>164</v>
          </cell>
          <cell r="AN195">
            <v>1.1473768046122927</v>
          </cell>
        </row>
        <row r="196">
          <cell r="R196">
            <v>164</v>
          </cell>
          <cell r="S196">
            <v>10.513640000000001</v>
          </cell>
          <cell r="Z196">
            <v>164</v>
          </cell>
          <cell r="AA196">
            <v>371.68893561345976</v>
          </cell>
          <cell r="AC196">
            <v>390.05937720938624</v>
          </cell>
          <cell r="AD196">
            <v>353.31849401753328</v>
          </cell>
          <cell r="AI196">
            <v>13.581453790622406</v>
          </cell>
          <cell r="AM196">
            <v>165</v>
          </cell>
          <cell r="AN196">
            <v>1.1473768046122927</v>
          </cell>
        </row>
        <row r="197">
          <cell r="R197">
            <v>165</v>
          </cell>
          <cell r="S197">
            <v>5.5953099999999996</v>
          </cell>
          <cell r="Z197">
            <v>165</v>
          </cell>
          <cell r="AA197">
            <v>370.54155880884747</v>
          </cell>
          <cell r="AC197">
            <v>388.9056746870429</v>
          </cell>
          <cell r="AD197">
            <v>352.17744293065203</v>
          </cell>
          <cell r="AI197">
            <v>13.202226940803499</v>
          </cell>
          <cell r="AM197">
            <v>166</v>
          </cell>
          <cell r="AN197">
            <v>1.1473768046122927</v>
          </cell>
        </row>
        <row r="198">
          <cell r="R198">
            <v>166</v>
          </cell>
          <cell r="S198">
            <v>11.93469</v>
          </cell>
          <cell r="Z198">
            <v>166</v>
          </cell>
          <cell r="AA198">
            <v>369.39418200423518</v>
          </cell>
          <cell r="AC198">
            <v>387.78717985410344</v>
          </cell>
          <cell r="AD198">
            <v>351.00118415436691</v>
          </cell>
          <cell r="AI198">
            <v>13.039944839765814</v>
          </cell>
          <cell r="AM198">
            <v>167</v>
          </cell>
          <cell r="AN198">
            <v>1.1473768046122927</v>
          </cell>
        </row>
        <row r="199">
          <cell r="R199">
            <v>167</v>
          </cell>
          <cell r="S199">
            <v>6.3604700000000003</v>
          </cell>
          <cell r="Z199">
            <v>167</v>
          </cell>
          <cell r="AA199">
            <v>368.24680519962288</v>
          </cell>
          <cell r="AC199">
            <v>386.70372742901287</v>
          </cell>
          <cell r="AD199">
            <v>349.7898829702329</v>
          </cell>
          <cell r="AI199">
            <v>13.251397144314003</v>
          </cell>
          <cell r="AM199">
            <v>168</v>
          </cell>
          <cell r="AN199">
            <v>1.1473768046122927</v>
          </cell>
        </row>
        <row r="200">
          <cell r="R200">
            <v>168</v>
          </cell>
          <cell r="S200">
            <v>13.59122</v>
          </cell>
          <cell r="Z200">
            <v>168</v>
          </cell>
          <cell r="AA200">
            <v>367.09942839501059</v>
          </cell>
          <cell r="AC200">
            <v>385.65495524868055</v>
          </cell>
          <cell r="AD200">
            <v>348.54390154134063</v>
          </cell>
          <cell r="AI200">
            <v>13.469356004829804</v>
          </cell>
          <cell r="AM200">
            <v>169</v>
          </cell>
          <cell r="AN200">
            <v>1.1473768046123496</v>
          </cell>
        </row>
        <row r="201">
          <cell r="R201">
            <v>169</v>
          </cell>
          <cell r="S201">
            <v>7.2581699999999998</v>
          </cell>
          <cell r="Z201">
            <v>169</v>
          </cell>
          <cell r="AA201">
            <v>365.9520515903983</v>
          </cell>
          <cell r="AC201">
            <v>384.64031437247121</v>
          </cell>
          <cell r="AD201">
            <v>347.26378880832539</v>
          </cell>
          <cell r="AI201">
            <v>13.687314865345606</v>
          </cell>
          <cell r="AM201">
            <v>170</v>
          </cell>
          <cell r="AN201">
            <v>1.1473768046122927</v>
          </cell>
        </row>
        <row r="202">
          <cell r="R202">
            <v>170</v>
          </cell>
          <cell r="S202">
            <v>7.5970199999999997</v>
          </cell>
          <cell r="Z202">
            <v>170</v>
          </cell>
          <cell r="AA202">
            <v>364.80467478578595</v>
          </cell>
          <cell r="AC202">
            <v>383.65908395619959</v>
          </cell>
          <cell r="AD202">
            <v>345.9502656153723</v>
          </cell>
          <cell r="AI202">
            <v>13.905273725861408</v>
          </cell>
          <cell r="AM202">
            <v>171</v>
          </cell>
          <cell r="AN202">
            <v>1.1473768046122359</v>
          </cell>
        </row>
        <row r="203">
          <cell r="R203">
            <v>171</v>
          </cell>
          <cell r="S203">
            <v>2.1279020000000002</v>
          </cell>
          <cell r="Z203">
            <v>171</v>
          </cell>
          <cell r="AA203">
            <v>363.65729798117366</v>
          </cell>
          <cell r="AC203">
            <v>382.71038998425729</v>
          </cell>
          <cell r="AD203">
            <v>344.60420597809002</v>
          </cell>
          <cell r="AI203">
            <v>14.123232586377208</v>
          </cell>
          <cell r="AM203">
            <v>172</v>
          </cell>
          <cell r="AN203">
            <v>1.1473768046123496</v>
          </cell>
        </row>
        <row r="204">
          <cell r="R204">
            <v>172</v>
          </cell>
          <cell r="S204">
            <v>3.1960550000000003</v>
          </cell>
          <cell r="Z204">
            <v>172</v>
          </cell>
          <cell r="AA204">
            <v>362.50992117656142</v>
          </cell>
          <cell r="AC204">
            <v>381.7932267788068</v>
          </cell>
          <cell r="AD204">
            <v>343.22661557431604</v>
          </cell>
          <cell r="AI204">
            <v>14.341191446893012</v>
          </cell>
          <cell r="AM204">
            <v>173</v>
          </cell>
          <cell r="AN204">
            <v>1.183343614100238</v>
          </cell>
        </row>
        <row r="205">
          <cell r="R205">
            <v>173</v>
          </cell>
          <cell r="S205">
            <v>3.3405200000000002</v>
          </cell>
          <cell r="Z205">
            <v>173</v>
          </cell>
          <cell r="AA205">
            <v>361.36254437194907</v>
          </cell>
          <cell r="AC205">
            <v>380.90648014190668</v>
          </cell>
          <cell r="AD205">
            <v>341.81860860199146</v>
          </cell>
          <cell r="AI205">
            <v>13.5487322953931</v>
          </cell>
          <cell r="AM205">
            <v>174</v>
          </cell>
          <cell r="AN205">
            <v>1.2495477986021797</v>
          </cell>
        </row>
        <row r="206">
          <cell r="R206">
            <v>174</v>
          </cell>
          <cell r="S206">
            <v>3.3058000000000001</v>
          </cell>
          <cell r="Z206">
            <v>174</v>
          </cell>
          <cell r="AA206">
            <v>360.17920075784883</v>
          </cell>
          <cell r="AC206">
            <v>380.02613420536778</v>
          </cell>
          <cell r="AD206">
            <v>340.33226731032988</v>
          </cell>
          <cell r="AI206">
            <v>11.905065743880238</v>
          </cell>
          <cell r="AM206">
            <v>175</v>
          </cell>
          <cell r="AN206">
            <v>1.2538538943786648</v>
          </cell>
        </row>
        <row r="207">
          <cell r="R207">
            <v>175</v>
          </cell>
          <cell r="S207">
            <v>3.3207800000000001</v>
          </cell>
          <cell r="Z207">
            <v>175</v>
          </cell>
          <cell r="AA207">
            <v>358.92965295924665</v>
          </cell>
          <cell r="AC207">
            <v>379.13167044401871</v>
          </cell>
          <cell r="AD207">
            <v>338.7276354744746</v>
          </cell>
          <cell r="AI207">
            <v>11.989091378392837</v>
          </cell>
          <cell r="AM207">
            <v>176</v>
          </cell>
          <cell r="AN207">
            <v>1.2539113494227649</v>
          </cell>
        </row>
        <row r="208">
          <cell r="R208">
            <v>176</v>
          </cell>
          <cell r="S208">
            <v>3.3055099999999999</v>
          </cell>
          <cell r="Z208">
            <v>176</v>
          </cell>
          <cell r="AA208">
            <v>357.67579906486799</v>
          </cell>
          <cell r="AC208">
            <v>378.2601655710335</v>
          </cell>
          <cell r="AD208">
            <v>337.09143255870248</v>
          </cell>
          <cell r="AI208">
            <v>12.106779395700455</v>
          </cell>
          <cell r="AM208">
            <v>177</v>
          </cell>
          <cell r="AN208">
            <v>1.2539113494225944</v>
          </cell>
        </row>
        <row r="209">
          <cell r="R209">
            <v>177</v>
          </cell>
          <cell r="S209">
            <v>3.3010700000000002</v>
          </cell>
          <cell r="Z209">
            <v>177</v>
          </cell>
          <cell r="AA209">
            <v>356.42188771544522</v>
          </cell>
          <cell r="AC209">
            <v>377.41488789345914</v>
          </cell>
          <cell r="AD209">
            <v>335.42888753743131</v>
          </cell>
          <cell r="AI209">
            <v>12.224467413008073</v>
          </cell>
          <cell r="AM209">
            <v>178</v>
          </cell>
          <cell r="AN209">
            <v>1.2539113494225944</v>
          </cell>
        </row>
        <row r="210">
          <cell r="R210">
            <v>178</v>
          </cell>
          <cell r="S210">
            <v>3.2984400000000003</v>
          </cell>
          <cell r="Z210">
            <v>178</v>
          </cell>
          <cell r="AA210">
            <v>355.16797636602263</v>
          </cell>
          <cell r="AC210">
            <v>376.59441303100698</v>
          </cell>
          <cell r="AD210">
            <v>333.74153970103828</v>
          </cell>
          <cell r="AI210">
            <v>12.342155430315692</v>
          </cell>
          <cell r="AM210">
            <v>179</v>
          </cell>
          <cell r="AN210">
            <v>1.2942008986859719</v>
          </cell>
        </row>
        <row r="211">
          <cell r="R211">
            <v>179</v>
          </cell>
          <cell r="S211">
            <v>3.2776300000000003</v>
          </cell>
          <cell r="Z211">
            <v>179</v>
          </cell>
          <cell r="AA211">
            <v>353.91406501660003</v>
          </cell>
          <cell r="AC211">
            <v>375.79726723916411</v>
          </cell>
          <cell r="AD211">
            <v>332.03086279403595</v>
          </cell>
          <cell r="AI211">
            <v>12.459843447623312</v>
          </cell>
          <cell r="AM211">
            <v>180</v>
          </cell>
          <cell r="AN211">
            <v>1.3650430146468011</v>
          </cell>
        </row>
        <row r="212">
          <cell r="R212">
            <v>180</v>
          </cell>
          <cell r="S212">
            <v>3.2619899999999999</v>
          </cell>
          <cell r="Z212">
            <v>180</v>
          </cell>
          <cell r="AA212">
            <v>352.61986411791406</v>
          </cell>
          <cell r="AC212">
            <v>374.92386828345406</v>
          </cell>
          <cell r="AD212">
            <v>330.31585995237407</v>
          </cell>
          <cell r="AI212">
            <v>12.57753146493093</v>
          </cell>
          <cell r="AM212">
            <v>181</v>
          </cell>
          <cell r="AN212">
            <v>1.3663681742436893</v>
          </cell>
        </row>
        <row r="213">
          <cell r="R213">
            <v>181</v>
          </cell>
          <cell r="S213">
            <v>3.27216</v>
          </cell>
          <cell r="Z213">
            <v>181</v>
          </cell>
          <cell r="AA213">
            <v>351.25482110326726</v>
          </cell>
          <cell r="AC213">
            <v>373.89997377516067</v>
          </cell>
          <cell r="AD213">
            <v>328.60966843137385</v>
          </cell>
          <cell r="AI213">
            <v>12.695219482238549</v>
          </cell>
          <cell r="AM213">
            <v>182</v>
          </cell>
          <cell r="AN213">
            <v>1.366368174243803</v>
          </cell>
        </row>
        <row r="214">
          <cell r="R214">
            <v>182</v>
          </cell>
          <cell r="S214">
            <v>3.2498699999999996</v>
          </cell>
          <cell r="Z214">
            <v>182</v>
          </cell>
          <cell r="AA214">
            <v>349.88845292902357</v>
          </cell>
          <cell r="AC214">
            <v>372.89466109078774</v>
          </cell>
          <cell r="AD214">
            <v>326.88224476725941</v>
          </cell>
          <cell r="AI214">
            <v>12.812907499546169</v>
          </cell>
          <cell r="AM214">
            <v>183</v>
          </cell>
          <cell r="AN214">
            <v>1.3663681742436893</v>
          </cell>
        </row>
        <row r="215">
          <cell r="R215">
            <v>183</v>
          </cell>
          <cell r="S215">
            <v>3.2356699999999998</v>
          </cell>
          <cell r="Z215">
            <v>183</v>
          </cell>
          <cell r="AA215">
            <v>348.52208475477977</v>
          </cell>
          <cell r="AC215">
            <v>371.91014194030078</v>
          </cell>
          <cell r="AD215">
            <v>325.13402756925876</v>
          </cell>
          <cell r="AI215">
            <v>12.912032398189417</v>
          </cell>
          <cell r="AM215">
            <v>184</v>
          </cell>
          <cell r="AN215">
            <v>1.3663681742437461</v>
          </cell>
        </row>
        <row r="216">
          <cell r="R216">
            <v>184</v>
          </cell>
          <cell r="S216">
            <v>3.2268600000000003</v>
          </cell>
          <cell r="Z216">
            <v>184</v>
          </cell>
          <cell r="AA216">
            <v>347.15571658053608</v>
          </cell>
          <cell r="AC216">
            <v>370.94541507222982</v>
          </cell>
          <cell r="AD216">
            <v>323.36601808884234</v>
          </cell>
          <cell r="AI216">
            <v>12.977947408468646</v>
          </cell>
          <cell r="AM216">
            <v>185</v>
          </cell>
          <cell r="AN216">
            <v>1.366368174243803</v>
          </cell>
        </row>
        <row r="217">
          <cell r="R217">
            <v>185</v>
          </cell>
          <cell r="S217">
            <v>3.2248700000000001</v>
          </cell>
          <cell r="Z217">
            <v>185</v>
          </cell>
          <cell r="AA217">
            <v>345.78934840629233</v>
          </cell>
          <cell r="AC217">
            <v>369.99949545706232</v>
          </cell>
          <cell r="AD217">
            <v>321.57920135552234</v>
          </cell>
          <cell r="AI217">
            <v>13.043203639748478</v>
          </cell>
          <cell r="AM217">
            <v>186</v>
          </cell>
          <cell r="AN217">
            <v>1.3663681742436893</v>
          </cell>
        </row>
        <row r="218">
          <cell r="R218">
            <v>186</v>
          </cell>
          <cell r="S218">
            <v>3.1953</v>
          </cell>
          <cell r="Z218">
            <v>186</v>
          </cell>
          <cell r="AA218">
            <v>344.42298023204853</v>
          </cell>
          <cell r="AC218">
            <v>369.07142068161522</v>
          </cell>
          <cell r="AD218">
            <v>319.77453978248184</v>
          </cell>
          <cell r="AI218">
            <v>13.108459871028311</v>
          </cell>
          <cell r="AM218">
            <v>187</v>
          </cell>
          <cell r="AN218">
            <v>1.3663681742436893</v>
          </cell>
        </row>
        <row r="219">
          <cell r="R219">
            <v>187</v>
          </cell>
          <cell r="S219">
            <v>3.2104399999999997</v>
          </cell>
          <cell r="Z219">
            <v>187</v>
          </cell>
          <cell r="AA219">
            <v>343.05661205780484</v>
          </cell>
          <cell r="AC219">
            <v>368.16025608518618</v>
          </cell>
          <cell r="AD219">
            <v>317.95296803042351</v>
          </cell>
          <cell r="AI219">
            <v>13.173716102308141</v>
          </cell>
          <cell r="AM219">
            <v>188</v>
          </cell>
          <cell r="AN219">
            <v>1.366368174243803</v>
          </cell>
        </row>
        <row r="220">
          <cell r="R220">
            <v>188</v>
          </cell>
          <cell r="S220">
            <v>3.2172400000000003</v>
          </cell>
          <cell r="Z220">
            <v>188</v>
          </cell>
          <cell r="AA220">
            <v>341.69024388356115</v>
          </cell>
          <cell r="AC220">
            <v>367.26509873735927</v>
          </cell>
          <cell r="AD220">
            <v>316.11538902976304</v>
          </cell>
          <cell r="AI220">
            <v>13.238972333587975</v>
          </cell>
          <cell r="AM220">
            <v>189</v>
          </cell>
          <cell r="AN220">
            <v>1.3663681742437461</v>
          </cell>
        </row>
        <row r="221">
          <cell r="R221">
            <v>189</v>
          </cell>
          <cell r="S221">
            <v>3.2080900000000003</v>
          </cell>
          <cell r="Z221">
            <v>189</v>
          </cell>
          <cell r="AA221">
            <v>340.32387570931735</v>
          </cell>
          <cell r="AC221">
            <v>366.38508037475668</v>
          </cell>
          <cell r="AD221">
            <v>314.26267104387802</v>
          </cell>
          <cell r="AI221">
            <v>13.304228564867811</v>
          </cell>
          <cell r="AM221">
            <v>190</v>
          </cell>
          <cell r="AN221">
            <v>1.3663681742437461</v>
          </cell>
        </row>
        <row r="222">
          <cell r="R222">
            <v>190</v>
          </cell>
          <cell r="S222">
            <v>3.1983199999999998</v>
          </cell>
          <cell r="Z222">
            <v>190</v>
          </cell>
          <cell r="AA222">
            <v>338.9575075350736</v>
          </cell>
          <cell r="AC222">
            <v>365.51936942231168</v>
          </cell>
          <cell r="AD222">
            <v>312.39564564783552</v>
          </cell>
          <cell r="AI222">
            <v>13.369484796147644</v>
          </cell>
          <cell r="AM222">
            <v>191</v>
          </cell>
          <cell r="AN222">
            <v>1.3663681742436893</v>
          </cell>
        </row>
        <row r="223">
          <cell r="R223">
            <v>191</v>
          </cell>
          <cell r="S223">
            <v>3.1854700000000005</v>
          </cell>
          <cell r="Z223">
            <v>191</v>
          </cell>
          <cell r="AA223">
            <v>337.59113936082986</v>
          </cell>
          <cell r="AC223">
            <v>364.66717222573124</v>
          </cell>
          <cell r="AD223">
            <v>310.51510649592848</v>
          </cell>
          <cell r="AI223">
            <v>13.434741027427476</v>
          </cell>
          <cell r="AM223">
            <v>192</v>
          </cell>
          <cell r="AN223">
            <v>1.366368174243803</v>
          </cell>
        </row>
        <row r="224">
          <cell r="R224">
            <v>192</v>
          </cell>
          <cell r="S224">
            <v>3.1846399999999999</v>
          </cell>
          <cell r="Z224">
            <v>192</v>
          </cell>
          <cell r="AA224">
            <v>336.22477118658617</v>
          </cell>
          <cell r="AC224">
            <v>363.82773361759064</v>
          </cell>
          <cell r="AD224">
            <v>308.6218087555817</v>
          </cell>
          <cell r="AI224">
            <v>13.478251832255291</v>
          </cell>
          <cell r="AM224">
            <v>193</v>
          </cell>
          <cell r="AN224">
            <v>1.3663681742436893</v>
          </cell>
        </row>
        <row r="225">
          <cell r="R225">
            <v>193</v>
          </cell>
          <cell r="S225">
            <v>3.1619800000000002</v>
          </cell>
          <cell r="Z225">
            <v>193</v>
          </cell>
          <cell r="AA225">
            <v>334.85840301234236</v>
          </cell>
          <cell r="AC225">
            <v>363.00033693159156</v>
          </cell>
          <cell r="AD225">
            <v>306.71646909309317</v>
          </cell>
          <cell r="AI225">
            <v>13.482497391955386</v>
          </cell>
          <cell r="AM225">
            <v>194</v>
          </cell>
          <cell r="AN225">
            <v>1.3663681742437461</v>
          </cell>
        </row>
        <row r="226">
          <cell r="R226">
            <v>194</v>
          </cell>
          <cell r="S226">
            <v>3.17306</v>
          </cell>
          <cell r="Z226">
            <v>194</v>
          </cell>
          <cell r="AA226">
            <v>333.49203483809868</v>
          </cell>
          <cell r="AC226">
            <v>362.18430356932748</v>
          </cell>
          <cell r="AD226">
            <v>304.79976610686987</v>
          </cell>
          <cell r="AI226">
            <v>13.485939776525599</v>
          </cell>
          <cell r="AM226">
            <v>195</v>
          </cell>
          <cell r="AN226">
            <v>1.3663681742437461</v>
          </cell>
        </row>
        <row r="227">
          <cell r="R227">
            <v>195</v>
          </cell>
          <cell r="S227">
            <v>3.1488200000000002</v>
          </cell>
          <cell r="Z227">
            <v>195</v>
          </cell>
          <cell r="AA227">
            <v>332.12566666385493</v>
          </cell>
          <cell r="AC227">
            <v>361.37899221252417</v>
          </cell>
          <cell r="AD227">
            <v>302.87234111518569</v>
          </cell>
          <cell r="AI227">
            <v>13.489382161095817</v>
          </cell>
          <cell r="AM227">
            <v>196</v>
          </cell>
          <cell r="AN227">
            <v>1.3663681742437461</v>
          </cell>
        </row>
        <row r="228">
          <cell r="R228">
            <v>196</v>
          </cell>
          <cell r="S228">
            <v>3.1381999999999999</v>
          </cell>
          <cell r="Z228">
            <v>196</v>
          </cell>
          <cell r="AA228">
            <v>330.75929848961118</v>
          </cell>
          <cell r="AC228">
            <v>360.58379776201338</v>
          </cell>
          <cell r="AD228">
            <v>300.93479921720899</v>
          </cell>
          <cell r="AI228">
            <v>13.492824545666032</v>
          </cell>
          <cell r="AM228">
            <v>197</v>
          </cell>
          <cell r="AN228">
            <v>1.3663681742436893</v>
          </cell>
        </row>
        <row r="229">
          <cell r="R229">
            <v>197</v>
          </cell>
          <cell r="S229">
            <v>3.1259699999999997</v>
          </cell>
          <cell r="Z229">
            <v>197</v>
          </cell>
          <cell r="AA229">
            <v>329.39293031536744</v>
          </cell>
          <cell r="AC229">
            <v>359.79815007323674</v>
          </cell>
          <cell r="AD229">
            <v>298.98771055749813</v>
          </cell>
          <cell r="AI229">
            <v>13.496266930236246</v>
          </cell>
          <cell r="AM229">
            <v>198</v>
          </cell>
          <cell r="AN229">
            <v>1.3663681742437461</v>
          </cell>
        </row>
        <row r="230">
          <cell r="R230">
            <v>198</v>
          </cell>
          <cell r="S230">
            <v>3.1369799999999994</v>
          </cell>
          <cell r="Z230">
            <v>198</v>
          </cell>
          <cell r="AA230">
            <v>328.02656214112375</v>
          </cell>
          <cell r="AC230">
            <v>359.02151254729233</v>
          </cell>
          <cell r="AD230">
            <v>297.03161173495516</v>
          </cell>
          <cell r="AI230">
            <v>13.499709314806461</v>
          </cell>
          <cell r="AM230">
            <v>199</v>
          </cell>
          <cell r="AN230">
            <v>1.3663681742437461</v>
          </cell>
        </row>
        <row r="231">
          <cell r="R231">
            <v>199</v>
          </cell>
          <cell r="S231">
            <v>3.1150000000000002</v>
          </cell>
          <cell r="Z231">
            <v>199</v>
          </cell>
          <cell r="AA231">
            <v>326.66019396688</v>
          </cell>
          <cell r="AC231">
            <v>358.25338062665037</v>
          </cell>
          <cell r="AD231">
            <v>295.06700730710963</v>
          </cell>
          <cell r="AI231">
            <v>13.503151699376678</v>
          </cell>
          <cell r="AM231">
            <v>200</v>
          </cell>
          <cell r="AN231">
            <v>1.3663681742437461</v>
          </cell>
        </row>
        <row r="232">
          <cell r="R232">
            <v>200</v>
          </cell>
          <cell r="S232">
            <v>3.10703</v>
          </cell>
          <cell r="Z232">
            <v>200</v>
          </cell>
          <cell r="AA232">
            <v>325.29382579263626</v>
          </cell>
          <cell r="AC232">
            <v>357.49328023582598</v>
          </cell>
          <cell r="AD232">
            <v>293.09437134944653</v>
          </cell>
          <cell r="AI232">
            <v>13.506594083946894</v>
          </cell>
          <cell r="AM232">
            <v>201</v>
          </cell>
          <cell r="AN232">
            <v>1.3663681742437461</v>
          </cell>
        </row>
        <row r="233">
          <cell r="R233">
            <v>201</v>
          </cell>
          <cell r="S233">
            <v>0.62202595307059949</v>
          </cell>
          <cell r="Z233">
            <v>201</v>
          </cell>
          <cell r="AA233">
            <v>323.92745761839251</v>
          </cell>
          <cell r="AC233">
            <v>356.7407661995266</v>
          </cell>
          <cell r="AD233">
            <v>291.11414903725841</v>
          </cell>
          <cell r="AI233">
            <v>13.510036468517107</v>
          </cell>
          <cell r="AM233">
            <v>202</v>
          </cell>
          <cell r="AN233">
            <v>1.3663681742437461</v>
          </cell>
        </row>
        <row r="234">
          <cell r="R234">
            <v>202</v>
          </cell>
          <cell r="S234">
            <v>3.622795</v>
          </cell>
          <cell r="Z234">
            <v>202</v>
          </cell>
          <cell r="AA234">
            <v>322.56108944414876</v>
          </cell>
          <cell r="AC234">
            <v>355.99542066408077</v>
          </cell>
          <cell r="AD234">
            <v>289.12675822421676</v>
          </cell>
          <cell r="AI234">
            <v>13.513478853087323</v>
          </cell>
          <cell r="AM234">
            <v>203</v>
          </cell>
          <cell r="AN234">
            <v>1.3663681742437461</v>
          </cell>
        </row>
        <row r="235">
          <cell r="R235">
            <v>203</v>
          </cell>
          <cell r="S235">
            <v>3.8765000000000001</v>
          </cell>
          <cell r="Z235">
            <v>203</v>
          </cell>
          <cell r="AA235">
            <v>321.19472126990502</v>
          </cell>
          <cell r="AC235">
            <v>355.25685154223572</v>
          </cell>
          <cell r="AD235">
            <v>287.13259099757431</v>
          </cell>
          <cell r="AI235">
            <v>13.516921237657536</v>
          </cell>
          <cell r="AM235">
            <v>204</v>
          </cell>
          <cell r="AN235">
            <v>1.3663681742437461</v>
          </cell>
        </row>
        <row r="236">
          <cell r="R236">
            <v>204</v>
          </cell>
          <cell r="S236">
            <v>3.6603000000000003</v>
          </cell>
          <cell r="Z236">
            <v>204</v>
          </cell>
          <cell r="AA236">
            <v>319.82835309566127</v>
          </cell>
          <cell r="AC236">
            <v>354.52469099659913</v>
          </cell>
          <cell r="AD236">
            <v>285.13201519472341</v>
          </cell>
          <cell r="AI236">
            <v>13.520363622227753</v>
          </cell>
          <cell r="AM236">
            <v>205</v>
          </cell>
          <cell r="AN236">
            <v>1.3663681742436893</v>
          </cell>
        </row>
        <row r="237">
          <cell r="R237">
            <v>205</v>
          </cell>
          <cell r="S237">
            <v>3.6083400000000001</v>
          </cell>
          <cell r="Z237">
            <v>205</v>
          </cell>
          <cell r="AA237">
            <v>318.46198492141752</v>
          </cell>
          <cell r="AC237">
            <v>353.79859397300345</v>
          </cell>
          <cell r="AD237">
            <v>283.1253758698316</v>
          </cell>
          <cell r="AI237">
            <v>13.523806006797969</v>
          </cell>
          <cell r="AM237">
            <v>206</v>
          </cell>
          <cell r="AN237">
            <v>1.3663681742437461</v>
          </cell>
        </row>
        <row r="238">
          <cell r="R238">
            <v>206</v>
          </cell>
          <cell r="S238">
            <v>3.6159599999999998</v>
          </cell>
          <cell r="Z238">
            <v>206</v>
          </cell>
          <cell r="AA238">
            <v>317.09561674717384</v>
          </cell>
          <cell r="AC238">
            <v>353.07823679178455</v>
          </cell>
          <cell r="AD238">
            <v>281.11299670256312</v>
          </cell>
          <cell r="AI238">
            <v>13.527248391368184</v>
          </cell>
          <cell r="AM238">
            <v>207</v>
          </cell>
          <cell r="AN238">
            <v>1.3663681742437461</v>
          </cell>
        </row>
        <row r="239">
          <cell r="R239">
            <v>207</v>
          </cell>
          <cell r="S239">
            <v>3.6034699999999997</v>
          </cell>
          <cell r="Z239">
            <v>207</v>
          </cell>
          <cell r="AA239">
            <v>315.72924857293009</v>
          </cell>
          <cell r="AC239">
            <v>352.36331580231104</v>
          </cell>
          <cell r="AD239">
            <v>279.09518134354914</v>
          </cell>
          <cell r="AI239">
            <v>13.530690775938398</v>
          </cell>
          <cell r="AM239">
            <v>208</v>
          </cell>
          <cell r="AN239">
            <v>1.3663681742437461</v>
          </cell>
        </row>
        <row r="240">
          <cell r="R240">
            <v>208</v>
          </cell>
          <cell r="S240">
            <v>3.5896600000000003</v>
          </cell>
          <cell r="Z240">
            <v>208</v>
          </cell>
          <cell r="AA240">
            <v>314.36288039868634</v>
          </cell>
          <cell r="AC240">
            <v>351.65354610393359</v>
          </cell>
          <cell r="AD240">
            <v>277.07221469343909</v>
          </cell>
          <cell r="AI240">
            <v>13.534133160508615</v>
          </cell>
          <cell r="AM240">
            <v>209</v>
          </cell>
          <cell r="AN240">
            <v>1.3663681742436893</v>
          </cell>
        </row>
        <row r="241">
          <cell r="R241">
            <v>209</v>
          </cell>
          <cell r="S241">
            <v>3.5794800000000002</v>
          </cell>
          <cell r="Z241">
            <v>209</v>
          </cell>
          <cell r="AA241">
            <v>312.9965122244426</v>
          </cell>
          <cell r="AC241">
            <v>350.94866033487131</v>
          </cell>
          <cell r="AD241">
            <v>275.04436411401389</v>
          </cell>
          <cell r="AI241">
            <v>13.537575545078829</v>
          </cell>
          <cell r="AM241">
            <v>210</v>
          </cell>
          <cell r="AN241">
            <v>1.3667182476634707</v>
          </cell>
        </row>
        <row r="242">
          <cell r="R242">
            <v>210</v>
          </cell>
          <cell r="S242">
            <v>3.5466600000000001</v>
          </cell>
          <cell r="Z242">
            <v>210</v>
          </cell>
          <cell r="AA242">
            <v>311.63014405019891</v>
          </cell>
          <cell r="AC242">
            <v>350.24840752919289</v>
          </cell>
          <cell r="AD242">
            <v>273.01188057120493</v>
          </cell>
          <cell r="AI242">
            <v>13.55215422751297</v>
          </cell>
          <cell r="AM242">
            <v>211</v>
          </cell>
          <cell r="AN242">
            <v>1.367354999972747</v>
          </cell>
        </row>
        <row r="243">
          <cell r="R243">
            <v>211</v>
          </cell>
          <cell r="S243">
            <v>3.5398899999999998</v>
          </cell>
          <cell r="Z243">
            <v>211</v>
          </cell>
          <cell r="AA243">
            <v>310.26342580253544</v>
          </cell>
          <cell r="AC243">
            <v>349.55268168526993</v>
          </cell>
          <cell r="AD243">
            <v>270.97416991980094</v>
          </cell>
          <cell r="AI243">
            <v>13.586646857143771</v>
          </cell>
          <cell r="AM243">
            <v>212</v>
          </cell>
          <cell r="AN243">
            <v>1.3673683390745737</v>
          </cell>
        </row>
        <row r="244">
          <cell r="R244">
            <v>212</v>
          </cell>
          <cell r="S244">
            <v>3.5297499999999999</v>
          </cell>
          <cell r="Z244">
            <v>212</v>
          </cell>
          <cell r="AA244">
            <v>308.89607080256269</v>
          </cell>
          <cell r="AC244">
            <v>348.86134408698479</v>
          </cell>
          <cell r="AD244">
            <v>268.93079751814059</v>
          </cell>
          <cell r="AI244">
            <v>13.621533909218257</v>
          </cell>
          <cell r="AM244">
            <v>213</v>
          </cell>
          <cell r="AN244">
            <v>1.3287750269741991</v>
          </cell>
        </row>
        <row r="245">
          <cell r="R245">
            <v>213</v>
          </cell>
          <cell r="S245">
            <v>3.5177899999999998</v>
          </cell>
          <cell r="Z245">
            <v>213</v>
          </cell>
          <cell r="AA245">
            <v>307.52870246348812</v>
          </cell>
          <cell r="AC245">
            <v>348.1739452723715</v>
          </cell>
          <cell r="AD245">
            <v>266.88345965460474</v>
          </cell>
          <cell r="AI245">
            <v>13.656420961292746</v>
          </cell>
          <cell r="AM245">
            <v>214</v>
          </cell>
          <cell r="AN245">
            <v>1.2128073637501302</v>
          </cell>
        </row>
        <row r="246">
          <cell r="R246">
            <v>214</v>
          </cell>
          <cell r="S246">
            <v>3.4244700000000003</v>
          </cell>
          <cell r="Z246">
            <v>214</v>
          </cell>
          <cell r="AA246">
            <v>306.19992743651392</v>
          </cell>
          <cell r="AC246">
            <v>347.48398860933628</v>
          </cell>
          <cell r="AD246">
            <v>264.91586626369156</v>
          </cell>
          <cell r="AI246">
            <v>13.691308013367228</v>
          </cell>
          <cell r="AM246">
            <v>215</v>
          </cell>
          <cell r="AN246">
            <v>1.1312701281971158</v>
          </cell>
        </row>
        <row r="247">
          <cell r="R247">
            <v>215</v>
          </cell>
          <cell r="S247">
            <v>3.3631200000000003</v>
          </cell>
          <cell r="Z247">
            <v>215</v>
          </cell>
          <cell r="AA247">
            <v>304.98712007276379</v>
          </cell>
          <cell r="AC247">
            <v>346.80157883378365</v>
          </cell>
          <cell r="AD247">
            <v>263.17266131174392</v>
          </cell>
          <cell r="AI247">
            <v>13.726195065441713</v>
          </cell>
          <cell r="AM247">
            <v>216</v>
          </cell>
          <cell r="AN247">
            <v>1.1168301182254936</v>
          </cell>
        </row>
        <row r="248">
          <cell r="R248">
            <v>216</v>
          </cell>
          <cell r="S248">
            <v>3.36212</v>
          </cell>
          <cell r="Z248">
            <v>216</v>
          </cell>
          <cell r="AA248">
            <v>303.85584994456667</v>
          </cell>
          <cell r="AC248">
            <v>346.15126406197447</v>
          </cell>
          <cell r="AD248">
            <v>261.56043582715887</v>
          </cell>
          <cell r="AI248">
            <v>13.761082117516198</v>
          </cell>
          <cell r="AM248">
            <v>217</v>
          </cell>
          <cell r="AN248">
            <v>1.0937511585063362</v>
          </cell>
        </row>
        <row r="249">
          <cell r="R249">
            <v>217</v>
          </cell>
          <cell r="S249">
            <v>3.35107</v>
          </cell>
          <cell r="Z249">
            <v>217</v>
          </cell>
          <cell r="AA249">
            <v>302.73901982634118</v>
          </cell>
          <cell r="AC249">
            <v>345.52092523657996</v>
          </cell>
          <cell r="AD249">
            <v>259.9571144161024</v>
          </cell>
          <cell r="AI249">
            <v>13.795969169590682</v>
          </cell>
          <cell r="AM249">
            <v>218</v>
          </cell>
          <cell r="AN249">
            <v>1.0932742469213963</v>
          </cell>
        </row>
        <row r="250">
          <cell r="R250">
            <v>218</v>
          </cell>
          <cell r="S250">
            <v>3.33589</v>
          </cell>
          <cell r="Z250">
            <v>218</v>
          </cell>
          <cell r="AA250">
            <v>301.64526866783484</v>
          </cell>
          <cell r="AC250">
            <v>344.92058169878089</v>
          </cell>
          <cell r="AD250">
            <v>258.36995563688879</v>
          </cell>
          <cell r="AI250">
            <v>13.830856221665167</v>
          </cell>
          <cell r="AM250">
            <v>219</v>
          </cell>
          <cell r="AN250">
            <v>1.0932742469213395</v>
          </cell>
        </row>
        <row r="251">
          <cell r="R251">
            <v>219</v>
          </cell>
          <cell r="S251">
            <v>3.3195600000000001</v>
          </cell>
          <cell r="Z251">
            <v>219</v>
          </cell>
          <cell r="AA251">
            <v>300.55199442091345</v>
          </cell>
          <cell r="AC251">
            <v>344.32476131992377</v>
          </cell>
          <cell r="AD251">
            <v>256.77922752190312</v>
          </cell>
          <cell r="AI251">
            <v>13.865743273739653</v>
          </cell>
          <cell r="AM251">
            <v>220</v>
          </cell>
          <cell r="AN251">
            <v>1.0932742469213963</v>
          </cell>
        </row>
        <row r="252">
          <cell r="R252">
            <v>220</v>
          </cell>
          <cell r="S252">
            <v>3.3115100000000002</v>
          </cell>
          <cell r="Z252">
            <v>220</v>
          </cell>
          <cell r="AA252">
            <v>299.45872017399211</v>
          </cell>
          <cell r="AC252">
            <v>343.73280128616477</v>
          </cell>
          <cell r="AD252">
            <v>255.18463906181941</v>
          </cell>
          <cell r="AI252">
            <v>13.90063032581414</v>
          </cell>
          <cell r="AM252">
            <v>221</v>
          </cell>
          <cell r="AN252">
            <v>1.0932742469213963</v>
          </cell>
        </row>
        <row r="253">
          <cell r="R253">
            <v>221</v>
          </cell>
          <cell r="S253">
            <v>3.3027699999999998</v>
          </cell>
          <cell r="Z253">
            <v>221</v>
          </cell>
          <cell r="AA253">
            <v>298.36544592707071</v>
          </cell>
          <cell r="AC253">
            <v>343.14457194492559</v>
          </cell>
          <cell r="AD253">
            <v>253.58631990921583</v>
          </cell>
          <cell r="AI253">
            <v>13.935517377888623</v>
          </cell>
          <cell r="AM253">
            <v>222</v>
          </cell>
          <cell r="AN253">
            <v>1.0932742469213963</v>
          </cell>
        </row>
        <row r="254">
          <cell r="R254">
            <v>222</v>
          </cell>
          <cell r="S254">
            <v>3.2787800000000002</v>
          </cell>
          <cell r="Z254">
            <v>222</v>
          </cell>
          <cell r="AA254">
            <v>297.27217168014931</v>
          </cell>
          <cell r="AC254">
            <v>342.55994848341106</v>
          </cell>
          <cell r="AD254">
            <v>251.98439487688756</v>
          </cell>
          <cell r="AI254">
            <v>13.970404429963109</v>
          </cell>
          <cell r="AM254">
            <v>223</v>
          </cell>
          <cell r="AN254">
            <v>1.0932742469213395</v>
          </cell>
        </row>
        <row r="255">
          <cell r="R255">
            <v>223</v>
          </cell>
          <cell r="S255">
            <v>3.2729999999999997</v>
          </cell>
          <cell r="Z255">
            <v>223</v>
          </cell>
          <cell r="AA255">
            <v>296.17889743322792</v>
          </cell>
          <cell r="AC255">
            <v>341.97881076179937</v>
          </cell>
          <cell r="AD255">
            <v>250.3789841046565</v>
          </cell>
          <cell r="AI255">
            <v>14.005291482037594</v>
          </cell>
          <cell r="AM255">
            <v>224</v>
          </cell>
          <cell r="AN255">
            <v>1.0932742469213963</v>
          </cell>
        </row>
        <row r="256">
          <cell r="R256">
            <v>224</v>
          </cell>
          <cell r="S256">
            <v>3.2522599999999997</v>
          </cell>
          <cell r="Z256">
            <v>224</v>
          </cell>
          <cell r="AA256">
            <v>295.08562318630658</v>
          </cell>
          <cell r="AC256">
            <v>341.40104314867659</v>
          </cell>
          <cell r="AD256">
            <v>248.77020322393659</v>
          </cell>
          <cell r="AI256">
            <v>14.040178534112078</v>
          </cell>
          <cell r="AM256">
            <v>225</v>
          </cell>
          <cell r="AN256">
            <v>1.0932742469213395</v>
          </cell>
        </row>
        <row r="257">
          <cell r="R257">
            <v>225</v>
          </cell>
          <cell r="S257">
            <v>3.2356199999999999</v>
          </cell>
          <cell r="Z257">
            <v>225</v>
          </cell>
          <cell r="AA257">
            <v>293.99234893938518</v>
          </cell>
          <cell r="AC257">
            <v>340.82653435922805</v>
          </cell>
          <cell r="AD257">
            <v>247.15816351954231</v>
          </cell>
          <cell r="AI257">
            <v>13.972720438832164</v>
          </cell>
          <cell r="AM257">
            <v>226</v>
          </cell>
          <cell r="AN257">
            <v>1.0932742469213963</v>
          </cell>
        </row>
        <row r="258">
          <cell r="R258">
            <v>226</v>
          </cell>
          <cell r="S258">
            <v>3.2253600000000002</v>
          </cell>
          <cell r="Z258">
            <v>226</v>
          </cell>
          <cell r="AA258">
            <v>292.89907469246384</v>
          </cell>
          <cell r="AC258">
            <v>340.25517729659686</v>
          </cell>
          <cell r="AD258">
            <v>245.54297208833083</v>
          </cell>
          <cell r="AI258">
            <v>13.720661762692837</v>
          </cell>
          <cell r="AM258">
            <v>227</v>
          </cell>
          <cell r="AN258">
            <v>1.0932742469213963</v>
          </cell>
        </row>
        <row r="259">
          <cell r="R259">
            <v>227</v>
          </cell>
          <cell r="S259">
            <v>3.1878799999999998</v>
          </cell>
          <cell r="Z259">
            <v>227</v>
          </cell>
          <cell r="AA259">
            <v>291.80580044554245</v>
          </cell>
          <cell r="AC259">
            <v>339.68686889675428</v>
          </cell>
          <cell r="AD259">
            <v>243.92473199433059</v>
          </cell>
          <cell r="AI259">
            <v>13.464840607317138</v>
          </cell>
          <cell r="AM259">
            <v>228</v>
          </cell>
          <cell r="AN259">
            <v>1.0940921887422519</v>
          </cell>
        </row>
        <row r="260">
          <cell r="R260">
            <v>228</v>
          </cell>
          <cell r="S260">
            <v>3.2011899999999995</v>
          </cell>
          <cell r="Z260">
            <v>228</v>
          </cell>
          <cell r="AA260">
            <v>290.71252619862105</v>
          </cell>
          <cell r="AC260">
            <v>339.12150997714684</v>
          </cell>
          <cell r="AD260">
            <v>242.30354242009525</v>
          </cell>
          <cell r="AI260">
            <v>13.209019451941444</v>
          </cell>
          <cell r="AM260">
            <v>229</v>
          </cell>
          <cell r="AN260">
            <v>1.0956225242565552</v>
          </cell>
        </row>
        <row r="261">
          <cell r="R261">
            <v>229</v>
          </cell>
          <cell r="S261">
            <v>3.1337710000000003</v>
          </cell>
          <cell r="Z261">
            <v>229</v>
          </cell>
          <cell r="AA261">
            <v>289.6184340098788</v>
          </cell>
          <cell r="AC261">
            <v>338.55687143594906</v>
          </cell>
          <cell r="AD261">
            <v>240.67999658380853</v>
          </cell>
          <cell r="AI261">
            <v>12.953198296565743</v>
          </cell>
          <cell r="AM261">
            <v>230</v>
          </cell>
          <cell r="AN261">
            <v>1.0956575806758906</v>
          </cell>
        </row>
        <row r="262">
          <cell r="R262">
            <v>230</v>
          </cell>
          <cell r="S262">
            <v>3.0868700000000002</v>
          </cell>
          <cell r="Z262">
            <v>230</v>
          </cell>
          <cell r="AA262">
            <v>288.52281148562224</v>
          </cell>
          <cell r="AC262">
            <v>337.99098874748313</v>
          </cell>
          <cell r="AD262">
            <v>239.05463422376138</v>
          </cell>
          <cell r="AI262">
            <v>12.697377141190048</v>
          </cell>
          <cell r="AM262">
            <v>231</v>
          </cell>
          <cell r="AN262">
            <v>1.0956575806758337</v>
          </cell>
        </row>
        <row r="263">
          <cell r="R263">
            <v>231</v>
          </cell>
          <cell r="S263">
            <v>3.06006</v>
          </cell>
          <cell r="Z263">
            <v>231</v>
          </cell>
          <cell r="AA263">
            <v>287.42715390494635</v>
          </cell>
          <cell r="AC263">
            <v>337.42766780983368</v>
          </cell>
          <cell r="AD263">
            <v>237.42664000005905</v>
          </cell>
          <cell r="AI263">
            <v>12.441555985814352</v>
          </cell>
          <cell r="AM263">
            <v>232</v>
          </cell>
          <cell r="AN263">
            <v>1.0956575806758906</v>
          </cell>
        </row>
        <row r="264">
          <cell r="R264">
            <v>232</v>
          </cell>
          <cell r="S264">
            <v>3.0449799999999998</v>
          </cell>
          <cell r="Z264">
            <v>232</v>
          </cell>
          <cell r="AA264">
            <v>286.33149632427052</v>
          </cell>
          <cell r="AC264">
            <v>336.86691622269683</v>
          </cell>
          <cell r="AD264">
            <v>235.79607642584423</v>
          </cell>
          <cell r="AI264">
            <v>12.185734830438653</v>
          </cell>
          <cell r="AM264">
            <v>233</v>
          </cell>
          <cell r="AN264">
            <v>1.0876152532722472</v>
          </cell>
        </row>
        <row r="265">
          <cell r="R265">
            <v>233</v>
          </cell>
          <cell r="S265">
            <v>3.0470600000000001</v>
          </cell>
          <cell r="Z265">
            <v>233</v>
          </cell>
          <cell r="AA265">
            <v>285.23583874359463</v>
          </cell>
          <cell r="AC265">
            <v>336.30865325663376</v>
          </cell>
          <cell r="AD265">
            <v>234.16302423055549</v>
          </cell>
          <cell r="AI265">
            <v>11.929913675062958</v>
          </cell>
          <cell r="AM265">
            <v>234</v>
          </cell>
          <cell r="AN265">
            <v>1.0732256701314782</v>
          </cell>
        </row>
        <row r="266">
          <cell r="R266">
            <v>234</v>
          </cell>
          <cell r="S266">
            <v>3.0128760000000003</v>
          </cell>
          <cell r="Z266">
            <v>234</v>
          </cell>
          <cell r="AA266">
            <v>284.14822349032238</v>
          </cell>
          <cell r="AC266">
            <v>335.75317060501527</v>
          </cell>
          <cell r="AD266">
            <v>232.54327637562949</v>
          </cell>
          <cell r="AI266">
            <v>11.586130074106284</v>
          </cell>
          <cell r="AM266">
            <v>235</v>
          </cell>
          <cell r="AN266">
            <v>1.072940116644304</v>
          </cell>
        </row>
        <row r="267">
          <cell r="R267">
            <v>235</v>
          </cell>
          <cell r="S267">
            <v>3.0196269999999998</v>
          </cell>
          <cell r="Z267">
            <v>235</v>
          </cell>
          <cell r="AA267">
            <v>283.0749978201909</v>
          </cell>
          <cell r="AC267">
            <v>335.20051104789155</v>
          </cell>
          <cell r="AD267">
            <v>230.94948459249028</v>
          </cell>
          <cell r="AI267">
            <v>11.082534332486157</v>
          </cell>
          <cell r="AM267">
            <v>236</v>
          </cell>
          <cell r="AN267">
            <v>1.072940116644304</v>
          </cell>
        </row>
        <row r="268">
          <cell r="R268">
            <v>236</v>
          </cell>
          <cell r="S268">
            <v>3.0119629999999997</v>
          </cell>
          <cell r="Z268">
            <v>236</v>
          </cell>
          <cell r="AA268">
            <v>282.0020577035466</v>
          </cell>
          <cell r="AC268">
            <v>334.64987845950776</v>
          </cell>
          <cell r="AD268">
            <v>229.35423694758543</v>
          </cell>
          <cell r="AI268">
            <v>10.575603210566014</v>
          </cell>
          <cell r="AM268">
            <v>237</v>
          </cell>
          <cell r="AN268">
            <v>1.0729401166442472</v>
          </cell>
        </row>
        <row r="269">
          <cell r="R269">
            <v>237</v>
          </cell>
          <cell r="S269">
            <v>3.0014519999999996</v>
          </cell>
          <cell r="Z269">
            <v>237</v>
          </cell>
          <cell r="AA269">
            <v>280.92911758690229</v>
          </cell>
          <cell r="AC269">
            <v>334.10120022919563</v>
          </cell>
          <cell r="AD269">
            <v>227.75703494460896</v>
          </cell>
          <cell r="AI269">
            <v>10.429475400639051</v>
          </cell>
          <cell r="AM269">
            <v>238</v>
          </cell>
          <cell r="AN269">
            <v>1.0740983917128801</v>
          </cell>
        </row>
        <row r="270">
          <cell r="R270">
            <v>238</v>
          </cell>
          <cell r="S270">
            <v>2.9866470000000001</v>
          </cell>
          <cell r="Z270">
            <v>238</v>
          </cell>
          <cell r="AA270">
            <v>279.85617747025805</v>
          </cell>
          <cell r="AC270">
            <v>333.55441911514208</v>
          </cell>
          <cell r="AD270">
            <v>226.15793582537401</v>
          </cell>
          <cell r="AI270">
            <v>10.9211330487667</v>
          </cell>
          <cell r="AM270">
            <v>239</v>
          </cell>
          <cell r="AN270">
            <v>1.0761946816825798</v>
          </cell>
        </row>
        <row r="271">
          <cell r="R271">
            <v>239</v>
          </cell>
          <cell r="S271">
            <v>2.9472719999999999</v>
          </cell>
          <cell r="Z271">
            <v>239</v>
          </cell>
          <cell r="AA271">
            <v>278.78207907854517</v>
          </cell>
          <cell r="AC271">
            <v>333.0079146998944</v>
          </cell>
          <cell r="AD271">
            <v>224.55624345719596</v>
          </cell>
          <cell r="AI271">
            <v>11.424940046636154</v>
          </cell>
          <cell r="AM271">
            <v>240</v>
          </cell>
          <cell r="AN271">
            <v>1.0762378863071831</v>
          </cell>
        </row>
        <row r="272">
          <cell r="R272">
            <v>240</v>
          </cell>
          <cell r="S272">
            <v>2.960407</v>
          </cell>
          <cell r="Z272">
            <v>240</v>
          </cell>
          <cell r="AA272">
            <v>277.70588439686259</v>
          </cell>
          <cell r="AC272">
            <v>332.46041620439814</v>
          </cell>
          <cell r="AD272">
            <v>222.951352589327</v>
          </cell>
          <cell r="AI272">
            <v>11.928747044505606</v>
          </cell>
          <cell r="AM272">
            <v>241</v>
          </cell>
          <cell r="AN272">
            <v>1.0762378863071262</v>
          </cell>
        </row>
        <row r="273">
          <cell r="R273">
            <v>241</v>
          </cell>
          <cell r="S273">
            <v>2.970485</v>
          </cell>
          <cell r="Z273">
            <v>241</v>
          </cell>
          <cell r="AA273">
            <v>276.6296465105554</v>
          </cell>
          <cell r="AC273">
            <v>331.9146697653868</v>
          </cell>
          <cell r="AD273">
            <v>221.344623255724</v>
          </cell>
          <cell r="AI273">
            <v>12.234714450963255</v>
          </cell>
          <cell r="AM273">
            <v>242</v>
          </cell>
          <cell r="AN273">
            <v>1.0762378863071831</v>
          </cell>
        </row>
        <row r="274">
          <cell r="R274">
            <v>242</v>
          </cell>
          <cell r="S274">
            <v>2.9400249999999999</v>
          </cell>
          <cell r="Z274">
            <v>242</v>
          </cell>
          <cell r="AA274">
            <v>275.55340862424828</v>
          </cell>
          <cell r="AC274">
            <v>331.37068214288013</v>
          </cell>
          <cell r="AD274">
            <v>219.7361351056164</v>
          </cell>
          <cell r="AI274">
            <v>12.182294915373708</v>
          </cell>
          <cell r="AM274">
            <v>243</v>
          </cell>
          <cell r="AN274">
            <v>1.0762378863070694</v>
          </cell>
        </row>
        <row r="275">
          <cell r="R275">
            <v>243</v>
          </cell>
          <cell r="S275">
            <v>2.937252</v>
          </cell>
          <cell r="Z275">
            <v>243</v>
          </cell>
          <cell r="AA275">
            <v>274.47717073794109</v>
          </cell>
          <cell r="AC275">
            <v>330.82840349962999</v>
          </cell>
          <cell r="AD275">
            <v>218.12593797625223</v>
          </cell>
          <cell r="AI275">
            <v>12.122466766362756</v>
          </cell>
          <cell r="AM275">
            <v>244</v>
          </cell>
          <cell r="AN275">
            <v>1.0762378863071831</v>
          </cell>
        </row>
        <row r="276">
          <cell r="R276">
            <v>244</v>
          </cell>
          <cell r="S276">
            <v>2.9306789999999996</v>
          </cell>
          <cell r="Z276">
            <v>244</v>
          </cell>
          <cell r="AA276">
            <v>273.40093285163402</v>
          </cell>
          <cell r="AC276">
            <v>330.28778571248358</v>
          </cell>
          <cell r="AD276">
            <v>216.51407999078444</v>
          </cell>
          <cell r="AI276">
            <v>12.062638617351809</v>
          </cell>
          <cell r="AM276">
            <v>245</v>
          </cell>
          <cell r="AN276">
            <v>1.0762378863071262</v>
          </cell>
        </row>
        <row r="277">
          <cell r="R277">
            <v>245</v>
          </cell>
          <cell r="S277">
            <v>2.9202529999999998</v>
          </cell>
          <cell r="Z277">
            <v>245</v>
          </cell>
          <cell r="AA277">
            <v>272.32469496532684</v>
          </cell>
          <cell r="AC277">
            <v>329.74878230682191</v>
          </cell>
          <cell r="AD277">
            <v>214.90060762383175</v>
          </cell>
          <cell r="AI277">
            <v>12.002810468340861</v>
          </cell>
          <cell r="AM277">
            <v>246</v>
          </cell>
          <cell r="AN277">
            <v>1.0762378863071262</v>
          </cell>
        </row>
        <row r="278">
          <cell r="R278">
            <v>246</v>
          </cell>
          <cell r="S278">
            <v>2.9067769999999999</v>
          </cell>
          <cell r="Z278">
            <v>246</v>
          </cell>
          <cell r="AA278">
            <v>271.24845707901972</v>
          </cell>
          <cell r="AC278">
            <v>329.2113483935243</v>
          </cell>
          <cell r="AD278">
            <v>213.28556576451513</v>
          </cell>
          <cell r="AI278">
            <v>11.942982319329907</v>
          </cell>
          <cell r="AM278">
            <v>247</v>
          </cell>
          <cell r="AN278">
            <v>1.0762378863071262</v>
          </cell>
        </row>
        <row r="279">
          <cell r="R279">
            <v>247</v>
          </cell>
          <cell r="S279">
            <v>2.8996390000000001</v>
          </cell>
          <cell r="Z279">
            <v>247</v>
          </cell>
          <cell r="AA279">
            <v>270.17221919271259</v>
          </cell>
          <cell r="AC279">
            <v>328.67544060839384</v>
          </cell>
          <cell r="AD279">
            <v>211.66899777703131</v>
          </cell>
          <cell r="AI279">
            <v>11.883154170318958</v>
          </cell>
          <cell r="AM279">
            <v>248</v>
          </cell>
          <cell r="AN279">
            <v>1.0762378863071262</v>
          </cell>
        </row>
        <row r="280">
          <cell r="R280">
            <v>248</v>
          </cell>
          <cell r="S280">
            <v>2.882495</v>
          </cell>
          <cell r="Z280">
            <v>248</v>
          </cell>
          <cell r="AA280">
            <v>269.09598130640546</v>
          </cell>
          <cell r="AC280">
            <v>328.14101705395194</v>
          </cell>
          <cell r="AD280">
            <v>210.05094555885898</v>
          </cell>
          <cell r="AI280">
            <v>11.823326021308008</v>
          </cell>
          <cell r="AM280">
            <v>249</v>
          </cell>
          <cell r="AN280">
            <v>1.0762378863071831</v>
          </cell>
        </row>
        <row r="281">
          <cell r="R281">
            <v>249</v>
          </cell>
          <cell r="S281">
            <v>2.8796730000000004</v>
          </cell>
          <cell r="Z281">
            <v>249</v>
          </cell>
          <cell r="AA281">
            <v>268.01974342009834</v>
          </cell>
          <cell r="AC281">
            <v>327.60803724352979</v>
          </cell>
          <cell r="AD281">
            <v>208.43144959666688</v>
          </cell>
          <cell r="AI281">
            <v>11.763497872297057</v>
          </cell>
          <cell r="AM281">
            <v>250</v>
          </cell>
          <cell r="AN281">
            <v>1.0762378863070694</v>
          </cell>
        </row>
        <row r="282">
          <cell r="R282">
            <v>250</v>
          </cell>
          <cell r="S282">
            <v>2.873923</v>
          </cell>
          <cell r="Z282">
            <v>250</v>
          </cell>
          <cell r="AA282">
            <v>266.94350553379115</v>
          </cell>
          <cell r="AC282">
            <v>327.07646204756941</v>
          </cell>
          <cell r="AD282">
            <v>206.8105490200129</v>
          </cell>
          <cell r="AI282">
            <v>11.703669723286106</v>
          </cell>
          <cell r="AM282">
            <v>251</v>
          </cell>
          <cell r="AN282">
            <v>1.0762378863071831</v>
          </cell>
        </row>
        <row r="283">
          <cell r="R283">
            <v>251</v>
          </cell>
          <cell r="S283">
            <v>2.8335870000000001</v>
          </cell>
          <cell r="Z283">
            <v>251</v>
          </cell>
          <cell r="AA283">
            <v>265.86726764748408</v>
          </cell>
          <cell r="AC283">
            <v>326.54625364205981</v>
          </cell>
          <cell r="AD283">
            <v>205.18828165290833</v>
          </cell>
          <cell r="AI283">
            <v>11.643841574275157</v>
          </cell>
          <cell r="AM283">
            <v>252</v>
          </cell>
          <cell r="AN283">
            <v>1.0762378863071262</v>
          </cell>
        </row>
        <row r="284">
          <cell r="R284">
            <v>252</v>
          </cell>
          <cell r="S284">
            <v>2.8483330000000002</v>
          </cell>
          <cell r="Z284">
            <v>252</v>
          </cell>
          <cell r="AA284">
            <v>264.7910297611769</v>
          </cell>
          <cell r="AC284">
            <v>326.01737545903546</v>
          </cell>
          <cell r="AD284">
            <v>203.56468406331834</v>
          </cell>
          <cell r="AI284">
            <v>11.584013425264208</v>
          </cell>
          <cell r="AM284">
            <v>253</v>
          </cell>
          <cell r="AN284">
            <v>1.0762378863071262</v>
          </cell>
        </row>
        <row r="285">
          <cell r="R285">
            <v>253</v>
          </cell>
          <cell r="S285">
            <v>2.845898</v>
          </cell>
          <cell r="Z285">
            <v>253</v>
          </cell>
          <cell r="AA285">
            <v>263.71479187486977</v>
          </cell>
          <cell r="AC285">
            <v>325.48979213904738</v>
          </cell>
          <cell r="AD285">
            <v>201.9397916106922</v>
          </cell>
          <cell r="AI285">
            <v>11.524185276253256</v>
          </cell>
          <cell r="AM285">
            <v>254</v>
          </cell>
          <cell r="AN285">
            <v>1.0762378863071262</v>
          </cell>
        </row>
        <row r="286">
          <cell r="R286">
            <v>254</v>
          </cell>
          <cell r="S286">
            <v>2.8300970000000003</v>
          </cell>
          <cell r="Z286">
            <v>254</v>
          </cell>
          <cell r="AA286">
            <v>262.63855398856265</v>
          </cell>
          <cell r="AC286">
            <v>324.96346948554765</v>
          </cell>
          <cell r="AD286">
            <v>200.31363849157765</v>
          </cell>
          <cell r="AI286">
            <v>11.464357127242307</v>
          </cell>
          <cell r="AM286">
            <v>255</v>
          </cell>
          <cell r="AN286">
            <v>1.0762378863071262</v>
          </cell>
        </row>
        <row r="287">
          <cell r="R287">
            <v>255</v>
          </cell>
          <cell r="S287">
            <v>2.8122639999999999</v>
          </cell>
          <cell r="Z287">
            <v>255</v>
          </cell>
          <cell r="AA287">
            <v>261.56231610225552</v>
          </cell>
          <cell r="AC287">
            <v>324.43837442110396</v>
          </cell>
          <cell r="AD287">
            <v>198.68625778340709</v>
          </cell>
          <cell r="AI287">
            <v>11.404528978231355</v>
          </cell>
          <cell r="AM287">
            <v>256</v>
          </cell>
          <cell r="AN287">
            <v>1.0762378863071262</v>
          </cell>
        </row>
        <row r="288">
          <cell r="R288">
            <v>256</v>
          </cell>
          <cell r="S288">
            <v>2.8065630000000001</v>
          </cell>
          <cell r="Z288">
            <v>256</v>
          </cell>
          <cell r="AA288">
            <v>260.4860782159484</v>
          </cell>
          <cell r="AC288">
            <v>323.91447494537726</v>
          </cell>
          <cell r="AD288">
            <v>197.0576814865195</v>
          </cell>
          <cell r="AI288">
            <v>11.344700829220406</v>
          </cell>
          <cell r="AM288">
            <v>257</v>
          </cell>
          <cell r="AN288">
            <v>1.0762378863071831</v>
          </cell>
        </row>
        <row r="289">
          <cell r="R289">
            <v>257</v>
          </cell>
          <cell r="S289">
            <v>2.7944800000000001</v>
          </cell>
          <cell r="Z289">
            <v>257</v>
          </cell>
          <cell r="AA289">
            <v>259.40984032964127</v>
          </cell>
          <cell r="AC289">
            <v>323.39174009479501</v>
          </cell>
          <cell r="AD289">
            <v>195.42794056448753</v>
          </cell>
          <cell r="AI289">
            <v>11.284872680209455</v>
          </cell>
          <cell r="AM289">
            <v>258</v>
          </cell>
          <cell r="AN289">
            <v>1.0762378863071262</v>
          </cell>
        </row>
        <row r="290">
          <cell r="R290">
            <v>258</v>
          </cell>
          <cell r="S290">
            <v>2.7838020000000001</v>
          </cell>
          <cell r="Z290">
            <v>258</v>
          </cell>
          <cell r="AA290">
            <v>258.33360244333409</v>
          </cell>
          <cell r="AC290">
            <v>322.87013990384787</v>
          </cell>
          <cell r="AD290">
            <v>193.79706498282033</v>
          </cell>
          <cell r="AI290">
            <v>11.225044531198506</v>
          </cell>
          <cell r="AM290">
            <v>259</v>
          </cell>
          <cell r="AN290">
            <v>1.0762378863071262</v>
          </cell>
        </row>
        <row r="291">
          <cell r="R291">
            <v>259</v>
          </cell>
          <cell r="S291">
            <v>2.774346</v>
          </cell>
          <cell r="Z291">
            <v>259</v>
          </cell>
          <cell r="AA291">
            <v>257.25736455702696</v>
          </cell>
          <cell r="AC291">
            <v>322.34964536795019</v>
          </cell>
          <cell r="AD291">
            <v>192.16508374610373</v>
          </cell>
          <cell r="AI291">
            <v>11.165216382187557</v>
          </cell>
          <cell r="AM291">
            <v>260</v>
          </cell>
          <cell r="AN291">
            <v>1.0762378863071262</v>
          </cell>
        </row>
        <row r="292">
          <cell r="R292">
            <v>260</v>
          </cell>
          <cell r="S292">
            <v>2.7644739999999999</v>
          </cell>
          <cell r="Z292">
            <v>260</v>
          </cell>
          <cell r="AA292">
            <v>256.18112667071983</v>
          </cell>
          <cell r="AC292">
            <v>321.83022840780075</v>
          </cell>
          <cell r="AD292">
            <v>190.53202493363892</v>
          </cell>
          <cell r="AI292">
            <v>11.105388233176605</v>
          </cell>
          <cell r="AM292">
            <v>261</v>
          </cell>
          <cell r="AN292">
            <v>1.0762378863071831</v>
          </cell>
        </row>
        <row r="293">
          <cell r="R293">
            <v>261</v>
          </cell>
          <cell r="S293">
            <v>2.753657</v>
          </cell>
          <cell r="Z293">
            <v>261</v>
          </cell>
          <cell r="AA293">
            <v>255.10488878441271</v>
          </cell>
          <cell r="AC293">
            <v>321.31186183517855</v>
          </cell>
          <cell r="AD293">
            <v>188.89791573364684</v>
          </cell>
          <cell r="AI293">
            <v>10.389512096012178</v>
          </cell>
          <cell r="AM293">
            <v>262</v>
          </cell>
          <cell r="AN293">
            <v>1.0762378863071262</v>
          </cell>
        </row>
        <row r="294">
          <cell r="R294">
            <v>262</v>
          </cell>
          <cell r="S294">
            <v>2.7438719999999996</v>
          </cell>
          <cell r="Z294">
            <v>262</v>
          </cell>
          <cell r="AA294">
            <v>254.02865089810552</v>
          </cell>
          <cell r="AC294">
            <v>320.79451932012051</v>
          </cell>
          <cell r="AD294">
            <v>187.26278247609054</v>
          </cell>
          <cell r="AI294">
            <v>9.3033933015418757</v>
          </cell>
          <cell r="AM294">
            <v>263</v>
          </cell>
          <cell r="AN294">
            <v>1.03868540339775</v>
          </cell>
        </row>
        <row r="295">
          <cell r="R295">
            <v>263</v>
          </cell>
          <cell r="S295">
            <v>2.7331750000000001</v>
          </cell>
          <cell r="Z295">
            <v>263</v>
          </cell>
          <cell r="AA295">
            <v>252.9524130117984</v>
          </cell>
          <cell r="AC295">
            <v>320.27817535942052</v>
          </cell>
          <cell r="AD295">
            <v>185.62665066417628</v>
          </cell>
          <cell r="AI295">
            <v>9.6569228062423154</v>
          </cell>
          <cell r="AM295">
            <v>264</v>
          </cell>
          <cell r="AN295">
            <v>0.97067849455734745</v>
          </cell>
        </row>
        <row r="296">
          <cell r="R296">
            <v>264</v>
          </cell>
          <cell r="S296">
            <v>2.7237110000000002</v>
          </cell>
          <cell r="Z296">
            <v>264</v>
          </cell>
          <cell r="AA296">
            <v>251.91372760840065</v>
          </cell>
          <cell r="AC296">
            <v>319.75512563505299</v>
          </cell>
          <cell r="AD296">
            <v>184.07232958174831</v>
          </cell>
          <cell r="AI296">
            <v>10.041376666917571</v>
          </cell>
          <cell r="AM296">
            <v>265</v>
          </cell>
          <cell r="AN296">
            <v>0.96927396602563931</v>
          </cell>
        </row>
        <row r="297">
          <cell r="R297">
            <v>265</v>
          </cell>
          <cell r="S297">
            <v>2.7127759999999999</v>
          </cell>
          <cell r="Z297">
            <v>265</v>
          </cell>
          <cell r="AA297">
            <v>250.9430491138433</v>
          </cell>
          <cell r="AC297">
            <v>319.22009084704484</v>
          </cell>
          <cell r="AD297">
            <v>182.66600738064179</v>
          </cell>
          <cell r="AI297">
            <v>10.425830527592828</v>
          </cell>
          <cell r="AM297">
            <v>266</v>
          </cell>
          <cell r="AN297">
            <v>0.96927396602558247</v>
          </cell>
        </row>
        <row r="298">
          <cell r="R298">
            <v>266</v>
          </cell>
          <cell r="S298">
            <v>2.7027640000000002</v>
          </cell>
          <cell r="Z298">
            <v>266</v>
          </cell>
          <cell r="AA298">
            <v>249.97377514781766</v>
          </cell>
          <cell r="AC298">
            <v>318.68714879330781</v>
          </cell>
          <cell r="AD298">
            <v>181.26040150232751</v>
          </cell>
          <cell r="AI298">
            <v>10.810284388268082</v>
          </cell>
          <cell r="AM298">
            <v>267</v>
          </cell>
          <cell r="AN298">
            <v>0.96927396602563931</v>
          </cell>
        </row>
        <row r="299">
          <cell r="R299">
            <v>267</v>
          </cell>
          <cell r="S299">
            <v>2.6907839999999998</v>
          </cell>
          <cell r="Z299">
            <v>267</v>
          </cell>
          <cell r="AA299">
            <v>249.00450118179208</v>
          </cell>
          <cell r="AC299">
            <v>318.15653924964028</v>
          </cell>
          <cell r="AD299">
            <v>179.85246311394388</v>
          </cell>
          <cell r="AI299">
            <v>11.07662021031981</v>
          </cell>
          <cell r="AM299">
            <v>268</v>
          </cell>
          <cell r="AN299">
            <v>0.97629583741704096</v>
          </cell>
        </row>
        <row r="300">
          <cell r="R300">
            <v>268</v>
          </cell>
          <cell r="S300">
            <v>2.683135</v>
          </cell>
          <cell r="Z300">
            <v>268</v>
          </cell>
          <cell r="AA300">
            <v>248.03522721576644</v>
          </cell>
          <cell r="AC300">
            <v>317.62821810863272</v>
          </cell>
          <cell r="AD300">
            <v>178.44223632290016</v>
          </cell>
          <cell r="AI300">
            <v>11.126735413258791</v>
          </cell>
          <cell r="AM300">
            <v>269</v>
          </cell>
          <cell r="AN300">
            <v>0.98984656475630572</v>
          </cell>
        </row>
        <row r="301">
          <cell r="R301">
            <v>269</v>
          </cell>
          <cell r="S301">
            <v>2.6723330000000001</v>
          </cell>
          <cell r="Z301">
            <v>269</v>
          </cell>
          <cell r="AA301">
            <v>247.0589313783494</v>
          </cell>
          <cell r="AC301">
            <v>317.08303958531218</v>
          </cell>
          <cell r="AD301">
            <v>177.03482317138662</v>
          </cell>
          <cell r="AI301">
            <v>11.172226905077752</v>
          </cell>
          <cell r="AM301">
            <v>270</v>
          </cell>
          <cell r="AN301">
            <v>0.99018739022079671</v>
          </cell>
        </row>
        <row r="302">
          <cell r="R302">
            <v>270</v>
          </cell>
          <cell r="S302">
            <v>2.6619489999999999</v>
          </cell>
          <cell r="Z302">
            <v>270</v>
          </cell>
          <cell r="AA302">
            <v>246.06908481359309</v>
          </cell>
          <cell r="AC302">
            <v>316.50315567131599</v>
          </cell>
          <cell r="AD302">
            <v>175.63501395587019</v>
          </cell>
          <cell r="AI302">
            <v>11.217718396896712</v>
          </cell>
          <cell r="AM302">
            <v>271</v>
          </cell>
          <cell r="AN302">
            <v>0.9652423334541993</v>
          </cell>
        </row>
        <row r="303">
          <cell r="R303">
            <v>271</v>
          </cell>
          <cell r="S303">
            <v>2.6524140000000003</v>
          </cell>
          <cell r="Z303">
            <v>271</v>
          </cell>
          <cell r="AA303">
            <v>245.0788974233723</v>
          </cell>
          <cell r="AC303">
            <v>315.92444276382196</v>
          </cell>
          <cell r="AD303">
            <v>174.23335208292264</v>
          </cell>
          <cell r="AI303">
            <v>11.263209888715673</v>
          </cell>
          <cell r="AM303">
            <v>272</v>
          </cell>
          <cell r="AN303">
            <v>0.9157032534328664</v>
          </cell>
        </row>
        <row r="304">
          <cell r="R304">
            <v>272</v>
          </cell>
          <cell r="S304">
            <v>2.6410150000000003</v>
          </cell>
          <cell r="Z304">
            <v>272</v>
          </cell>
          <cell r="AA304">
            <v>244.1136550899181</v>
          </cell>
          <cell r="AC304">
            <v>315.35218846268504</v>
          </cell>
          <cell r="AD304">
            <v>172.87512171715116</v>
          </cell>
          <cell r="AI304">
            <v>11.308701380534634</v>
          </cell>
          <cell r="AM304">
            <v>273</v>
          </cell>
          <cell r="AN304">
            <v>0.90592792746861051</v>
          </cell>
        </row>
        <row r="305">
          <cell r="R305">
            <v>273</v>
          </cell>
          <cell r="S305">
            <v>2.6328960000000001</v>
          </cell>
          <cell r="Z305">
            <v>273</v>
          </cell>
          <cell r="AA305">
            <v>243.19795183648523</v>
          </cell>
          <cell r="AC305">
            <v>314.79113602165637</v>
          </cell>
          <cell r="AD305">
            <v>171.60476765131406</v>
          </cell>
          <cell r="AI305">
            <v>11.354192872353593</v>
          </cell>
          <cell r="AM305">
            <v>274</v>
          </cell>
          <cell r="AN305">
            <v>0.88929174125058807</v>
          </cell>
        </row>
        <row r="306">
          <cell r="R306">
            <v>274</v>
          </cell>
          <cell r="S306">
            <v>2.6208339999999999</v>
          </cell>
          <cell r="Z306">
            <v>274</v>
          </cell>
          <cell r="AA306">
            <v>242.29202390901662</v>
          </cell>
          <cell r="AC306">
            <v>314.23959322182145</v>
          </cell>
          <cell r="AD306">
            <v>170.34445459621179</v>
          </cell>
          <cell r="AI306">
            <v>11.399684364172556</v>
          </cell>
          <cell r="AM306">
            <v>275</v>
          </cell>
          <cell r="AN306">
            <v>0.87342627107037174</v>
          </cell>
        </row>
        <row r="307">
          <cell r="R307">
            <v>275</v>
          </cell>
          <cell r="S307">
            <v>2.612444</v>
          </cell>
          <cell r="Z307">
            <v>275</v>
          </cell>
          <cell r="AA307">
            <v>241.40273216776603</v>
          </cell>
          <cell r="AC307">
            <v>313.70380841834907</v>
          </cell>
          <cell r="AD307">
            <v>169.101655917183</v>
          </cell>
          <cell r="AI307">
            <v>11.445175855991515</v>
          </cell>
          <cell r="AM307">
            <v>276</v>
          </cell>
          <cell r="AN307">
            <v>0.84358289664641006</v>
          </cell>
        </row>
        <row r="308">
          <cell r="R308">
            <v>276</v>
          </cell>
          <cell r="S308">
            <v>2.5989300000000002</v>
          </cell>
          <cell r="Z308">
            <v>276</v>
          </cell>
          <cell r="AA308">
            <v>240.52930589669566</v>
          </cell>
          <cell r="AC308">
            <v>313.18215771045777</v>
          </cell>
          <cell r="AD308">
            <v>167.87645408293355</v>
          </cell>
          <cell r="AI308">
            <v>11.490667347810477</v>
          </cell>
          <cell r="AM308">
            <v>277</v>
          </cell>
          <cell r="AN308">
            <v>0.84282557587218321</v>
          </cell>
        </row>
        <row r="309">
          <cell r="R309">
            <v>277</v>
          </cell>
          <cell r="S309">
            <v>2.5933729999999997</v>
          </cell>
          <cell r="Z309">
            <v>277</v>
          </cell>
          <cell r="AA309">
            <v>239.68572300004925</v>
          </cell>
          <cell r="AC309">
            <v>312.68429972795133</v>
          </cell>
          <cell r="AD309">
            <v>166.68714627214717</v>
          </cell>
          <cell r="AI309">
            <v>11.536158839629437</v>
          </cell>
          <cell r="AM309">
            <v>278</v>
          </cell>
          <cell r="AN309">
            <v>0.84282557587218321</v>
          </cell>
        </row>
        <row r="310">
          <cell r="R310">
            <v>278</v>
          </cell>
          <cell r="S310">
            <v>2.5805559999999996</v>
          </cell>
          <cell r="Z310">
            <v>278</v>
          </cell>
          <cell r="AA310">
            <v>238.84289742417707</v>
          </cell>
          <cell r="AC310">
            <v>312.18923281779064</v>
          </cell>
          <cell r="AD310">
            <v>165.49656203056352</v>
          </cell>
          <cell r="AI310">
            <v>11.581650331448396</v>
          </cell>
          <cell r="AM310">
            <v>279</v>
          </cell>
          <cell r="AN310">
            <v>0.84282557587218321</v>
          </cell>
        </row>
        <row r="311">
          <cell r="R311">
            <v>279</v>
          </cell>
          <cell r="S311">
            <v>2.572651</v>
          </cell>
          <cell r="Z311">
            <v>279</v>
          </cell>
          <cell r="AA311">
            <v>238.00007184830488</v>
          </cell>
          <cell r="AC311">
            <v>311.69638226098544</v>
          </cell>
          <cell r="AD311">
            <v>164.30376143562432</v>
          </cell>
          <cell r="AI311">
            <v>11.627141823267358</v>
          </cell>
          <cell r="AM311">
            <v>280</v>
          </cell>
          <cell r="AN311">
            <v>0.84282557587218321</v>
          </cell>
        </row>
        <row r="312">
          <cell r="R312">
            <v>280</v>
          </cell>
          <cell r="S312">
            <v>2.5607819999999997</v>
          </cell>
          <cell r="Z312">
            <v>280</v>
          </cell>
          <cell r="AA312">
            <v>237.1572462724327</v>
          </cell>
          <cell r="AC312">
            <v>311.20571663211382</v>
          </cell>
          <cell r="AD312">
            <v>163.10877591275158</v>
          </cell>
          <cell r="AI312">
            <v>11.672633315086317</v>
          </cell>
          <cell r="AM312">
            <v>281</v>
          </cell>
          <cell r="AN312">
            <v>0.84282557587221163</v>
          </cell>
        </row>
        <row r="313">
          <cell r="R313">
            <v>281</v>
          </cell>
          <cell r="S313">
            <v>2.5527489999999999</v>
          </cell>
          <cell r="Z313">
            <v>281</v>
          </cell>
          <cell r="AA313">
            <v>236.31442069656052</v>
          </cell>
          <cell r="AC313">
            <v>310.71720490637102</v>
          </cell>
          <cell r="AD313">
            <v>161.91163648675001</v>
          </cell>
          <cell r="AI313">
            <v>11.71812480690528</v>
          </cell>
          <cell r="AM313">
            <v>282</v>
          </cell>
          <cell r="AN313">
            <v>0.84282557587221163</v>
          </cell>
        </row>
        <row r="314">
          <cell r="R314">
            <v>282</v>
          </cell>
          <cell r="S314">
            <v>2.5405139999999999</v>
          </cell>
          <cell r="Z314">
            <v>282</v>
          </cell>
          <cell r="AA314">
            <v>235.47159512068831</v>
          </cell>
          <cell r="AC314">
            <v>310.23081645913851</v>
          </cell>
          <cell r="AD314">
            <v>160.71237378223813</v>
          </cell>
          <cell r="AI314">
            <v>11.763616298724239</v>
          </cell>
          <cell r="AM314">
            <v>283</v>
          </cell>
          <cell r="AN314">
            <v>0.85229313074535185</v>
          </cell>
        </row>
        <row r="315">
          <cell r="R315">
            <v>283</v>
          </cell>
          <cell r="S315">
            <v>2.5331070000000002</v>
          </cell>
          <cell r="Z315">
            <v>283</v>
          </cell>
          <cell r="AA315">
            <v>234.62876954481609</v>
          </cell>
          <cell r="AC315">
            <v>309.7465210652644</v>
          </cell>
          <cell r="AD315">
            <v>159.51101802436779</v>
          </cell>
          <cell r="AI315">
            <v>11.809107790543196</v>
          </cell>
          <cell r="AM315">
            <v>284</v>
          </cell>
          <cell r="AN315">
            <v>0.87127173943827074</v>
          </cell>
        </row>
        <row r="316">
          <cell r="R316">
            <v>284</v>
          </cell>
          <cell r="S316">
            <v>2.5203510000000002</v>
          </cell>
          <cell r="Z316">
            <v>284</v>
          </cell>
          <cell r="AA316">
            <v>233.77647641407074</v>
          </cell>
          <cell r="AC316">
            <v>309.23820601046401</v>
          </cell>
          <cell r="AD316">
            <v>158.31474681767747</v>
          </cell>
          <cell r="AI316">
            <v>11.854599282362161</v>
          </cell>
          <cell r="AM316">
            <v>285</v>
          </cell>
          <cell r="AN316">
            <v>0.87180394942802764</v>
          </cell>
        </row>
        <row r="317">
          <cell r="R317">
            <v>285</v>
          </cell>
          <cell r="S317">
            <v>2.5136259999999999</v>
          </cell>
          <cell r="Z317">
            <v>285</v>
          </cell>
          <cell r="AA317">
            <v>232.90520467463247</v>
          </cell>
          <cell r="AC317">
            <v>308.67960197313255</v>
          </cell>
          <cell r="AD317">
            <v>157.1308073761324</v>
          </cell>
          <cell r="AI317">
            <v>11.900090774181123</v>
          </cell>
          <cell r="AM317">
            <v>286</v>
          </cell>
          <cell r="AN317">
            <v>0.87180394942805606</v>
          </cell>
        </row>
        <row r="318">
          <cell r="R318">
            <v>286</v>
          </cell>
          <cell r="S318">
            <v>2.4987509999999999</v>
          </cell>
          <cell r="Z318">
            <v>286</v>
          </cell>
          <cell r="AA318">
            <v>232.03340072520444</v>
          </cell>
          <cell r="AC318">
            <v>308.12148444464765</v>
          </cell>
          <cell r="AD318">
            <v>155.94531700576124</v>
          </cell>
          <cell r="AI318">
            <v>11.945582266000082</v>
          </cell>
          <cell r="AM318">
            <v>287</v>
          </cell>
          <cell r="AN318">
            <v>0.8718039494281129</v>
          </cell>
        </row>
        <row r="319">
          <cell r="R319">
            <v>287</v>
          </cell>
          <cell r="S319">
            <v>2.49471</v>
          </cell>
          <cell r="Z319">
            <v>287</v>
          </cell>
          <cell r="AA319">
            <v>231.16159677577639</v>
          </cell>
          <cell r="AC319">
            <v>307.56529544600858</v>
          </cell>
          <cell r="AD319">
            <v>154.75789810554423</v>
          </cell>
          <cell r="AI319">
            <v>11.953367417953217</v>
          </cell>
          <cell r="AM319">
            <v>288</v>
          </cell>
          <cell r="AN319">
            <v>0.87180394942805606</v>
          </cell>
        </row>
        <row r="320">
          <cell r="R320">
            <v>288</v>
          </cell>
          <cell r="S320">
            <v>2.4765239999999999</v>
          </cell>
          <cell r="Z320">
            <v>288</v>
          </cell>
          <cell r="AA320">
            <v>230.28979282634828</v>
          </cell>
          <cell r="AC320">
            <v>307.01101117652081</v>
          </cell>
          <cell r="AD320">
            <v>153.56857447617574</v>
          </cell>
          <cell r="AI320">
            <v>11.890912063422286</v>
          </cell>
          <cell r="AM320">
            <v>289</v>
          </cell>
          <cell r="AN320">
            <v>0.82622588732294844</v>
          </cell>
        </row>
        <row r="321">
          <cell r="R321">
            <v>289</v>
          </cell>
          <cell r="S321">
            <v>2.4655719999999999</v>
          </cell>
          <cell r="Z321">
            <v>289</v>
          </cell>
          <cell r="AA321">
            <v>229.41798887692022</v>
          </cell>
          <cell r="AC321">
            <v>306.45860808540419</v>
          </cell>
          <cell r="AD321">
            <v>152.37736966843624</v>
          </cell>
          <cell r="AI321">
            <v>11.826869276326951</v>
          </cell>
          <cell r="AM321">
            <v>290</v>
          </cell>
          <cell r="AN321">
            <v>0.74464330177377747</v>
          </cell>
        </row>
        <row r="322">
          <cell r="R322">
            <v>290</v>
          </cell>
          <cell r="S322">
            <v>2.4655070000000001</v>
          </cell>
          <cell r="Z322">
            <v>290</v>
          </cell>
          <cell r="AA322">
            <v>228.59176298959727</v>
          </cell>
          <cell r="AC322">
            <v>305.89821114920937</v>
          </cell>
          <cell r="AD322">
            <v>151.28531482998517</v>
          </cell>
          <cell r="AI322">
            <v>11.762826489231619</v>
          </cell>
          <cell r="AM322">
            <v>291</v>
          </cell>
          <cell r="AN322">
            <v>0.74302215883719214</v>
          </cell>
        </row>
        <row r="323">
          <cell r="R323">
            <v>291</v>
          </cell>
          <cell r="S323">
            <v>2.451505</v>
          </cell>
          <cell r="Z323">
            <v>291</v>
          </cell>
          <cell r="AA323">
            <v>227.84711968782349</v>
          </cell>
          <cell r="AC323">
            <v>305.32171426379767</v>
          </cell>
          <cell r="AD323">
            <v>150.37252511184931</v>
          </cell>
          <cell r="AI323">
            <v>11.698783702136282</v>
          </cell>
          <cell r="AM323">
            <v>292</v>
          </cell>
          <cell r="AN323">
            <v>0.74302215883716372</v>
          </cell>
        </row>
        <row r="324">
          <cell r="R324">
            <v>292</v>
          </cell>
          <cell r="S324">
            <v>2.4424219999999996</v>
          </cell>
          <cell r="Z324">
            <v>292</v>
          </cell>
          <cell r="AA324">
            <v>227.1040975289863</v>
          </cell>
          <cell r="AC324">
            <v>304.74626205547543</v>
          </cell>
          <cell r="AD324">
            <v>149.4619330024972</v>
          </cell>
          <cell r="AI324">
            <v>11.634740915040945</v>
          </cell>
          <cell r="AM324">
            <v>293</v>
          </cell>
          <cell r="AN324">
            <v>0.74302215883716372</v>
          </cell>
        </row>
        <row r="325">
          <cell r="R325">
            <v>293</v>
          </cell>
          <cell r="S325">
            <v>2.4380160000000002</v>
          </cell>
          <cell r="Z325">
            <v>293</v>
          </cell>
          <cell r="AA325">
            <v>226.36107537014914</v>
          </cell>
          <cell r="AC325">
            <v>304.17219293601761</v>
          </cell>
          <cell r="AD325">
            <v>148.54995780428067</v>
          </cell>
          <cell r="AI325">
            <v>11.570698127945613</v>
          </cell>
          <cell r="AM325">
            <v>294</v>
          </cell>
          <cell r="AN325">
            <v>0.74302215883719214</v>
          </cell>
        </row>
        <row r="326">
          <cell r="R326">
            <v>294</v>
          </cell>
          <cell r="S326">
            <v>2.4225119999999998</v>
          </cell>
          <cell r="Z326">
            <v>294</v>
          </cell>
          <cell r="AA326">
            <v>225.61805321131197</v>
          </cell>
          <cell r="AC326">
            <v>303.59949791570654</v>
          </cell>
          <cell r="AD326">
            <v>147.63660850691741</v>
          </cell>
          <cell r="AI326">
            <v>11.506655340850278</v>
          </cell>
          <cell r="AM326">
            <v>295</v>
          </cell>
          <cell r="AN326">
            <v>0.74302215883719214</v>
          </cell>
        </row>
        <row r="327">
          <cell r="R327">
            <v>295</v>
          </cell>
          <cell r="S327">
            <v>2.394539</v>
          </cell>
          <cell r="Z327">
            <v>295</v>
          </cell>
          <cell r="AA327">
            <v>224.87503105247478</v>
          </cell>
          <cell r="AC327">
            <v>303.02816801039745</v>
          </cell>
          <cell r="AD327">
            <v>146.72189409455211</v>
          </cell>
          <cell r="AI327">
            <v>11.442612553754946</v>
          </cell>
          <cell r="AM327">
            <v>296</v>
          </cell>
          <cell r="AN327">
            <v>0.74302215883719214</v>
          </cell>
        </row>
        <row r="328">
          <cell r="R328">
            <v>296</v>
          </cell>
          <cell r="S328">
            <v>2.400636</v>
          </cell>
          <cell r="Z328">
            <v>296</v>
          </cell>
          <cell r="AA328">
            <v>224.13200889363759</v>
          </cell>
          <cell r="AC328">
            <v>302.45819424302914</v>
          </cell>
          <cell r="AD328">
            <v>145.80582354424604</v>
          </cell>
          <cell r="AI328">
            <v>11.378569766659611</v>
          </cell>
          <cell r="AM328">
            <v>297</v>
          </cell>
          <cell r="AN328">
            <v>0.72438476267191731</v>
          </cell>
        </row>
        <row r="329">
          <cell r="R329">
            <v>297</v>
          </cell>
          <cell r="S329">
            <v>2.3922460000000001</v>
          </cell>
          <cell r="Z329">
            <v>297</v>
          </cell>
          <cell r="AA329">
            <v>223.3889867348004</v>
          </cell>
          <cell r="AC329">
            <v>301.88956764510203</v>
          </cell>
          <cell r="AD329">
            <v>144.88840582449876</v>
          </cell>
          <cell r="AI329">
            <v>11.314526979564278</v>
          </cell>
          <cell r="AM329">
            <v>298</v>
          </cell>
          <cell r="AN329">
            <v>0.68817953997134396</v>
          </cell>
        </row>
        <row r="330">
          <cell r="R330">
            <v>298</v>
          </cell>
          <cell r="S330">
            <v>2.3892710000000004</v>
          </cell>
          <cell r="Z330">
            <v>298</v>
          </cell>
          <cell r="AA330">
            <v>222.66460197212848</v>
          </cell>
          <cell r="AC330">
            <v>301.33718382989792</v>
          </cell>
          <cell r="AD330">
            <v>143.99202011435904</v>
          </cell>
          <cell r="AI330">
            <v>11.25048419246894</v>
          </cell>
          <cell r="AM330">
            <v>299</v>
          </cell>
          <cell r="AN330">
            <v>0.68725107004843267</v>
          </cell>
        </row>
        <row r="331">
          <cell r="R331">
            <v>299</v>
          </cell>
          <cell r="S331">
            <v>2.3779909999999997</v>
          </cell>
          <cell r="Z331">
            <v>299</v>
          </cell>
          <cell r="AA331">
            <v>221.97642243215714</v>
          </cell>
          <cell r="AC331">
            <v>300.81454656142984</v>
          </cell>
          <cell r="AD331">
            <v>143.13829830288444</v>
          </cell>
          <cell r="AI331">
            <v>11.186441405373605</v>
          </cell>
          <cell r="AM331">
            <v>300</v>
          </cell>
          <cell r="AN331">
            <v>0.68725107004848951</v>
          </cell>
        </row>
        <row r="332">
          <cell r="R332">
            <v>300</v>
          </cell>
          <cell r="S332">
            <v>2.3426460000000002</v>
          </cell>
          <cell r="Z332">
            <v>300</v>
          </cell>
          <cell r="AA332">
            <v>221.2891713621087</v>
          </cell>
          <cell r="AC332">
            <v>300.29316816773064</v>
          </cell>
          <cell r="AD332">
            <v>142.28517455648674</v>
          </cell>
          <cell r="AI332">
            <v>10.897886510717123</v>
          </cell>
          <cell r="AM332">
            <v>301</v>
          </cell>
          <cell r="AN332">
            <v>0.68725107004840424</v>
          </cell>
        </row>
        <row r="333">
          <cell r="R333">
            <v>301</v>
          </cell>
          <cell r="S333">
            <v>2.3584489999999998</v>
          </cell>
          <cell r="Z333">
            <v>301</v>
          </cell>
          <cell r="AA333">
            <v>220.60192029206021</v>
          </cell>
          <cell r="AC333">
            <v>299.77230206702097</v>
          </cell>
          <cell r="AD333">
            <v>141.43153851709945</v>
          </cell>
          <cell r="AI333">
            <v>10.177454375924398</v>
          </cell>
          <cell r="AM333">
            <v>302</v>
          </cell>
          <cell r="AN333">
            <v>0.68725107004848951</v>
          </cell>
        </row>
        <row r="334">
          <cell r="R334">
            <v>302</v>
          </cell>
          <cell r="S334">
            <v>2.3487840000000002</v>
          </cell>
          <cell r="Z334">
            <v>302</v>
          </cell>
          <cell r="AA334">
            <v>219.91466922201181</v>
          </cell>
          <cell r="AC334">
            <v>299.25194503618081</v>
          </cell>
          <cell r="AD334">
            <v>140.57739340784281</v>
          </cell>
          <cell r="AI334">
            <v>9.446261846261466</v>
          </cell>
          <cell r="AM334">
            <v>303</v>
          </cell>
          <cell r="AN334">
            <v>0.68725107004846109</v>
          </cell>
        </row>
        <row r="335">
          <cell r="R335">
            <v>303</v>
          </cell>
          <cell r="S335">
            <v>2.317901</v>
          </cell>
          <cell r="Z335">
            <v>303</v>
          </cell>
          <cell r="AA335">
            <v>219.22741815196332</v>
          </cell>
          <cell r="AC335">
            <v>298.73209386933371</v>
          </cell>
          <cell r="AD335">
            <v>139.72274243459293</v>
          </cell>
          <cell r="AI335">
            <v>9.1292883378241587</v>
          </cell>
          <cell r="AM335">
            <v>304</v>
          </cell>
          <cell r="AN335">
            <v>0.68725107004846109</v>
          </cell>
        </row>
        <row r="336">
          <cell r="R336">
            <v>304</v>
          </cell>
          <cell r="S336">
            <v>2.3226139999999997</v>
          </cell>
          <cell r="Z336">
            <v>304</v>
          </cell>
          <cell r="AA336">
            <v>218.54016708191486</v>
          </cell>
          <cell r="AC336">
            <v>298.21274537786996</v>
          </cell>
          <cell r="AD336">
            <v>138.86758878595973</v>
          </cell>
          <cell r="AI336">
            <v>9.5947602790029336</v>
          </cell>
          <cell r="AM336">
            <v>305</v>
          </cell>
          <cell r="AN336">
            <v>0.68725107004843267</v>
          </cell>
        </row>
        <row r="337">
          <cell r="R337">
            <v>305</v>
          </cell>
          <cell r="S337">
            <v>2.4916500000000001E-2</v>
          </cell>
          <cell r="Z337">
            <v>305</v>
          </cell>
          <cell r="AA337">
            <v>217.8529160118664</v>
          </cell>
          <cell r="AC337">
            <v>297.69389639046756</v>
          </cell>
          <cell r="AD337">
            <v>138.01193563326527</v>
          </cell>
          <cell r="AI337">
            <v>10.078691240839168</v>
          </cell>
          <cell r="AM337">
            <v>306</v>
          </cell>
          <cell r="AN337">
            <v>0.68725107004846109</v>
          </cell>
        </row>
        <row r="338">
          <cell r="R338">
            <v>306</v>
          </cell>
          <cell r="S338">
            <v>3.0039790000000002</v>
          </cell>
          <cell r="Z338">
            <v>306</v>
          </cell>
          <cell r="AA338">
            <v>217.16566494181797</v>
          </cell>
          <cell r="AC338">
            <v>297.17554375310863</v>
          </cell>
          <cell r="AD338">
            <v>137.1557861305273</v>
          </cell>
          <cell r="AI338">
            <v>10.400144659899906</v>
          </cell>
          <cell r="AM338">
            <v>307</v>
          </cell>
          <cell r="AN338">
            <v>0.68725107004846109</v>
          </cell>
        </row>
        <row r="339">
          <cell r="R339">
            <v>307</v>
          </cell>
          <cell r="S339">
            <v>2.8733979999999999</v>
          </cell>
          <cell r="Z339">
            <v>307</v>
          </cell>
          <cell r="AA339">
            <v>216.4784138717695</v>
          </cell>
          <cell r="AC339">
            <v>296.65768432909454</v>
          </cell>
          <cell r="AD339">
            <v>136.29914341444444</v>
          </cell>
          <cell r="AI339">
            <v>10.408032735188803</v>
          </cell>
          <cell r="AM339">
            <v>308</v>
          </cell>
          <cell r="AN339">
            <v>0.68725107004846109</v>
          </cell>
        </row>
        <row r="340">
          <cell r="R340">
            <v>308</v>
          </cell>
          <cell r="S340">
            <v>2.7730049999999999</v>
          </cell>
          <cell r="Z340">
            <v>308</v>
          </cell>
          <cell r="AA340">
            <v>215.79116280172104</v>
          </cell>
          <cell r="AC340">
            <v>296.14031499905616</v>
          </cell>
          <cell r="AD340">
            <v>135.44201060438596</v>
          </cell>
          <cell r="AI340">
            <v>10.408032735188803</v>
          </cell>
          <cell r="AM340">
            <v>309</v>
          </cell>
          <cell r="AN340">
            <v>0.68725107004846109</v>
          </cell>
        </row>
        <row r="341">
          <cell r="R341">
            <v>309</v>
          </cell>
          <cell r="S341">
            <v>2.7976489999999998</v>
          </cell>
          <cell r="Z341">
            <v>309</v>
          </cell>
          <cell r="AA341">
            <v>215.10391173167258</v>
          </cell>
          <cell r="AC341">
            <v>295.62343266096235</v>
          </cell>
          <cell r="AD341">
            <v>134.58439080238281</v>
          </cell>
          <cell r="AI341">
            <v>10.408032735188803</v>
          </cell>
          <cell r="AM341">
            <v>310</v>
          </cell>
          <cell r="AN341">
            <v>0.68725107004846109</v>
          </cell>
        </row>
        <row r="342">
          <cell r="R342">
            <v>310</v>
          </cell>
          <cell r="S342">
            <v>2.7931150000000002</v>
          </cell>
          <cell r="Z342">
            <v>310</v>
          </cell>
          <cell r="AA342">
            <v>214.41666066162412</v>
          </cell>
          <cell r="AC342">
            <v>295.10703423012592</v>
          </cell>
          <cell r="AD342">
            <v>133.72628709312232</v>
          </cell>
          <cell r="AI342">
            <v>10.408032735188803</v>
          </cell>
          <cell r="AM342">
            <v>311</v>
          </cell>
          <cell r="AN342">
            <v>0.68725107004843267</v>
          </cell>
        </row>
        <row r="343">
          <cell r="R343">
            <v>311</v>
          </cell>
          <cell r="S343">
            <v>2.7647680000000001</v>
          </cell>
          <cell r="Z343">
            <v>311</v>
          </cell>
          <cell r="AA343">
            <v>213.72940959157566</v>
          </cell>
          <cell r="AC343">
            <v>294.59111663920476</v>
          </cell>
          <cell r="AD343">
            <v>132.86770254394656</v>
          </cell>
          <cell r="AI343">
            <v>10.408032735188803</v>
          </cell>
          <cell r="AM343">
            <v>312</v>
          </cell>
          <cell r="AN343">
            <v>0.68725107004846109</v>
          </cell>
        </row>
        <row r="344">
          <cell r="R344">
            <v>312</v>
          </cell>
          <cell r="S344">
            <v>2.7602440000000001</v>
          </cell>
          <cell r="Z344">
            <v>312</v>
          </cell>
          <cell r="AA344">
            <v>213.04215852152723</v>
          </cell>
          <cell r="AC344">
            <v>294.07567683820275</v>
          </cell>
          <cell r="AD344">
            <v>132.0086402048517</v>
          </cell>
          <cell r="AI344">
            <v>10.408032735188803</v>
          </cell>
          <cell r="AM344">
            <v>313</v>
          </cell>
          <cell r="AN344">
            <v>0.68725107004848951</v>
          </cell>
        </row>
        <row r="345">
          <cell r="R345">
            <v>313</v>
          </cell>
          <cell r="S345">
            <v>2.7362349999999998</v>
          </cell>
          <cell r="Z345">
            <v>313</v>
          </cell>
          <cell r="AA345">
            <v>212.35490745147877</v>
          </cell>
          <cell r="AC345">
            <v>293.56071179446627</v>
          </cell>
          <cell r="AD345">
            <v>131.14910310849126</v>
          </cell>
          <cell r="AI345">
            <v>10.408032735188803</v>
          </cell>
          <cell r="AM345">
            <v>314</v>
          </cell>
          <cell r="AN345">
            <v>0.68725107004843267</v>
          </cell>
        </row>
        <row r="346">
          <cell r="R346">
            <v>314</v>
          </cell>
          <cell r="S346">
            <v>2.7156120000000001</v>
          </cell>
          <cell r="Z346">
            <v>314</v>
          </cell>
          <cell r="AA346">
            <v>211.66765638143028</v>
          </cell>
          <cell r="AC346">
            <v>293.04621849267909</v>
          </cell>
          <cell r="AD346">
            <v>130.28909427018147</v>
          </cell>
          <cell r="AI346">
            <v>10.408032735188803</v>
          </cell>
          <cell r="AM346">
            <v>315</v>
          </cell>
          <cell r="AN346">
            <v>0.68725107004846109</v>
          </cell>
        </row>
        <row r="347">
          <cell r="R347">
            <v>315</v>
          </cell>
          <cell r="S347">
            <v>2.7040440000000001</v>
          </cell>
          <cell r="Z347">
            <v>315</v>
          </cell>
          <cell r="AA347">
            <v>210.98040531138184</v>
          </cell>
          <cell r="AC347">
            <v>292.53219393485313</v>
          </cell>
          <cell r="AD347">
            <v>129.42861668791056</v>
          </cell>
          <cell r="AI347">
            <v>10.408032735188803</v>
          </cell>
          <cell r="AM347">
            <v>316</v>
          </cell>
          <cell r="AN347">
            <v>0.68725107004843267</v>
          </cell>
        </row>
        <row r="348">
          <cell r="R348">
            <v>316</v>
          </cell>
          <cell r="S348">
            <v>2.6899670000000002</v>
          </cell>
          <cell r="Z348">
            <v>316</v>
          </cell>
          <cell r="AA348">
            <v>210.29315424133338</v>
          </cell>
          <cell r="AC348">
            <v>292.01863514031936</v>
          </cell>
          <cell r="AD348">
            <v>128.56767334234743</v>
          </cell>
          <cell r="AI348">
            <v>10.592964642894186</v>
          </cell>
          <cell r="AM348">
            <v>317</v>
          </cell>
          <cell r="AN348">
            <v>0.68725107004848951</v>
          </cell>
        </row>
        <row r="349">
          <cell r="R349">
            <v>317</v>
          </cell>
          <cell r="S349">
            <v>2.6804230000000002</v>
          </cell>
          <cell r="Z349">
            <v>317</v>
          </cell>
          <cell r="AA349">
            <v>209.60590317128495</v>
          </cell>
          <cell r="AC349">
            <v>291.50553914571321</v>
          </cell>
          <cell r="AD349">
            <v>127.7062671968567</v>
          </cell>
          <cell r="AI349">
            <v>11.142031866334174</v>
          </cell>
          <cell r="AM349">
            <v>318</v>
          </cell>
          <cell r="AN349">
            <v>0.68725107004848951</v>
          </cell>
        </row>
        <row r="350">
          <cell r="R350">
            <v>318</v>
          </cell>
          <cell r="S350">
            <v>2.6691940000000001</v>
          </cell>
          <cell r="Z350">
            <v>318</v>
          </cell>
          <cell r="AA350">
            <v>208.91865210123646</v>
          </cell>
          <cell r="AC350">
            <v>290.9929030049604</v>
          </cell>
          <cell r="AD350">
            <v>126.84440119751254</v>
          </cell>
          <cell r="AI350">
            <v>11.534949036836544</v>
          </cell>
          <cell r="AM350">
            <v>319</v>
          </cell>
          <cell r="AN350">
            <v>0.67608151393520188</v>
          </cell>
        </row>
        <row r="351">
          <cell r="R351">
            <v>319</v>
          </cell>
          <cell r="S351">
            <v>2.6603690000000002</v>
          </cell>
          <cell r="Z351">
            <v>319</v>
          </cell>
          <cell r="AA351">
            <v>208.23140103118797</v>
          </cell>
          <cell r="AC351">
            <v>290.48072378925804</v>
          </cell>
          <cell r="AD351">
            <v>125.98207827311792</v>
          </cell>
          <cell r="AI351">
            <v>11.610252209430305</v>
          </cell>
          <cell r="AM351">
            <v>320</v>
          </cell>
          <cell r="AN351">
            <v>0.65491973163764783</v>
          </cell>
        </row>
        <row r="352">
          <cell r="R352">
            <v>320</v>
          </cell>
          <cell r="S352">
            <v>2.6281060000000003</v>
          </cell>
          <cell r="Z352">
            <v>320</v>
          </cell>
          <cell r="AA352">
            <v>207.55531951725277</v>
          </cell>
          <cell r="AC352">
            <v>289.96983710695037</v>
          </cell>
          <cell r="AD352">
            <v>125.14080192755517</v>
          </cell>
          <cell r="AI352">
            <v>11.677747298180011</v>
          </cell>
          <cell r="AM352">
            <v>321</v>
          </cell>
          <cell r="AN352">
            <v>0.65441595858126789</v>
          </cell>
        </row>
        <row r="353">
          <cell r="R353">
            <v>321</v>
          </cell>
          <cell r="S353">
            <v>2.6274690000000001</v>
          </cell>
          <cell r="Z353">
            <v>321</v>
          </cell>
          <cell r="AA353">
            <v>206.90039978561512</v>
          </cell>
          <cell r="AC353">
            <v>289.46112368037041</v>
          </cell>
          <cell r="AD353">
            <v>124.33967589085985</v>
          </cell>
          <cell r="AI353">
            <v>11.745242386929718</v>
          </cell>
          <cell r="AM353">
            <v>322</v>
          </cell>
          <cell r="AN353">
            <v>0.65441595858121104</v>
          </cell>
        </row>
        <row r="354">
          <cell r="R354">
            <v>322</v>
          </cell>
          <cell r="S354">
            <v>2.5994070000000002</v>
          </cell>
          <cell r="Z354">
            <v>322</v>
          </cell>
          <cell r="AA354">
            <v>206.24598382703385</v>
          </cell>
          <cell r="AC354">
            <v>288.95309903752587</v>
          </cell>
          <cell r="AD354">
            <v>123.53886861654183</v>
          </cell>
          <cell r="AI354">
            <v>11.812737475679421</v>
          </cell>
          <cell r="AM354">
            <v>323</v>
          </cell>
          <cell r="AN354">
            <v>0.65441595858126789</v>
          </cell>
        </row>
        <row r="355">
          <cell r="R355">
            <v>323</v>
          </cell>
          <cell r="S355">
            <v>2.5883339999999997</v>
          </cell>
          <cell r="Z355">
            <v>323</v>
          </cell>
          <cell r="AA355">
            <v>205.59156786845264</v>
          </cell>
          <cell r="AC355">
            <v>288.4457216770686</v>
          </cell>
          <cell r="AD355">
            <v>122.73741405983665</v>
          </cell>
          <cell r="AI355">
            <v>11.880232564429129</v>
          </cell>
          <cell r="AM355">
            <v>324</v>
          </cell>
          <cell r="AN355">
            <v>0.65441595858123947</v>
          </cell>
        </row>
        <row r="356">
          <cell r="R356">
            <v>324</v>
          </cell>
          <cell r="S356">
            <v>2.5864919999999998</v>
          </cell>
          <cell r="Z356">
            <v>324</v>
          </cell>
          <cell r="AA356">
            <v>204.93715190987137</v>
          </cell>
          <cell r="AC356">
            <v>287.93898815899672</v>
          </cell>
          <cell r="AD356">
            <v>121.93531566074603</v>
          </cell>
          <cell r="AI356">
            <v>11.947727653178836</v>
          </cell>
          <cell r="AM356">
            <v>325</v>
          </cell>
          <cell r="AN356">
            <v>0.65441595858123947</v>
          </cell>
        </row>
        <row r="357">
          <cell r="R357">
            <v>325</v>
          </cell>
          <cell r="S357">
            <v>2.558681</v>
          </cell>
          <cell r="Z357">
            <v>325</v>
          </cell>
          <cell r="AA357">
            <v>204.28273595129014</v>
          </cell>
          <cell r="AC357">
            <v>287.43289505273788</v>
          </cell>
          <cell r="AD357">
            <v>121.13257684984239</v>
          </cell>
          <cell r="AI357">
            <v>12.015222741928538</v>
          </cell>
          <cell r="AM357">
            <v>326</v>
          </cell>
          <cell r="AN357">
            <v>0.65441595858121104</v>
          </cell>
        </row>
        <row r="358">
          <cell r="R358">
            <v>326</v>
          </cell>
          <cell r="S358">
            <v>2.5422690000000001</v>
          </cell>
          <cell r="Z358">
            <v>326</v>
          </cell>
          <cell r="AA358">
            <v>203.6283199927089</v>
          </cell>
          <cell r="AC358">
            <v>286.92743893733007</v>
          </cell>
          <cell r="AD358">
            <v>120.32920104808771</v>
          </cell>
          <cell r="AI358">
            <v>12.082717830678249</v>
          </cell>
          <cell r="AM358">
            <v>327</v>
          </cell>
          <cell r="AN358">
            <v>0.68676259915636706</v>
          </cell>
        </row>
        <row r="359">
          <cell r="R359">
            <v>327</v>
          </cell>
          <cell r="S359">
            <v>2.5406870000000001</v>
          </cell>
          <cell r="Z359">
            <v>327</v>
          </cell>
          <cell r="AA359">
            <v>202.97390403412768</v>
          </cell>
          <cell r="AC359">
            <v>286.42261640159836</v>
          </cell>
          <cell r="AD359">
            <v>119.52519166665699</v>
          </cell>
          <cell r="AI359">
            <v>12.150212919427952</v>
          </cell>
          <cell r="AM359">
            <v>328</v>
          </cell>
          <cell r="AN359">
            <v>0.75264948981225643</v>
          </cell>
        </row>
        <row r="360">
          <cell r="R360">
            <v>328</v>
          </cell>
          <cell r="S360">
            <v>2.5172400000000001</v>
          </cell>
          <cell r="Z360">
            <v>328</v>
          </cell>
          <cell r="AA360">
            <v>202.28714143497132</v>
          </cell>
          <cell r="AC360">
            <v>285.82810986423675</v>
          </cell>
          <cell r="AD360">
            <v>118.74617300570587</v>
          </cell>
          <cell r="AI360">
            <v>12.217708008177659</v>
          </cell>
          <cell r="AM360">
            <v>329</v>
          </cell>
          <cell r="AN360">
            <v>0.75458008152932621</v>
          </cell>
        </row>
        <row r="361">
          <cell r="R361">
            <v>329</v>
          </cell>
          <cell r="S361">
            <v>2.5063849999999999</v>
          </cell>
          <cell r="Z361">
            <v>329</v>
          </cell>
          <cell r="AA361">
            <v>201.53449194515906</v>
          </cell>
          <cell r="AC361">
            <v>285.05046509097673</v>
          </cell>
          <cell r="AD361">
            <v>118.01851879934141</v>
          </cell>
          <cell r="AI361">
            <v>12.285203096927367</v>
          </cell>
          <cell r="AM361">
            <v>330</v>
          </cell>
          <cell r="AN361">
            <v>0.74664621902465456</v>
          </cell>
        </row>
        <row r="362">
          <cell r="R362">
            <v>330</v>
          </cell>
          <cell r="S362">
            <v>2.4900890000000002</v>
          </cell>
          <cell r="Z362">
            <v>330</v>
          </cell>
          <cell r="AA362">
            <v>200.77991186362974</v>
          </cell>
          <cell r="AC362">
            <v>284.26837012792402</v>
          </cell>
          <cell r="AD362">
            <v>117.29145359933545</v>
          </cell>
          <cell r="AI362">
            <v>12.352698185677072</v>
          </cell>
          <cell r="AM362">
            <v>331</v>
          </cell>
          <cell r="AN362">
            <v>0.73115114536267356</v>
          </cell>
        </row>
        <row r="363">
          <cell r="R363">
            <v>331</v>
          </cell>
          <cell r="S363">
            <v>2.48177</v>
          </cell>
          <cell r="Z363">
            <v>331</v>
          </cell>
          <cell r="AA363">
            <v>200.03326564460508</v>
          </cell>
          <cell r="AC363">
            <v>283.49025602326816</v>
          </cell>
          <cell r="AD363">
            <v>116.57627526594202</v>
          </cell>
          <cell r="AI363">
            <v>12.536044588618301</v>
          </cell>
          <cell r="AM363">
            <v>332</v>
          </cell>
          <cell r="AN363">
            <v>0.71172420631134514</v>
          </cell>
        </row>
        <row r="364">
          <cell r="R364">
            <v>332</v>
          </cell>
          <cell r="S364">
            <v>2.4686899999999996</v>
          </cell>
          <cell r="Z364">
            <v>332</v>
          </cell>
          <cell r="AA364">
            <v>199.30211449924241</v>
          </cell>
          <cell r="AC364">
            <v>282.71909831405998</v>
          </cell>
          <cell r="AD364">
            <v>115.88513068442482</v>
          </cell>
          <cell r="AI364">
            <v>12.947882302810669</v>
          </cell>
          <cell r="AM364">
            <v>333</v>
          </cell>
          <cell r="AN364">
            <v>0.67564141778009912</v>
          </cell>
        </row>
        <row r="365">
          <cell r="R365">
            <v>333</v>
          </cell>
          <cell r="S365">
            <v>2.4534449999999999</v>
          </cell>
          <cell r="Z365">
            <v>333</v>
          </cell>
          <cell r="AA365">
            <v>198.59039029293106</v>
          </cell>
          <cell r="AC365">
            <v>281.95916692688354</v>
          </cell>
          <cell r="AD365">
            <v>115.22161365897855</v>
          </cell>
          <cell r="AI365">
            <v>13.365841153662222</v>
          </cell>
          <cell r="AM365">
            <v>334</v>
          </cell>
          <cell r="AN365">
            <v>0.67477945721017818</v>
          </cell>
        </row>
        <row r="366">
          <cell r="R366">
            <v>334</v>
          </cell>
          <cell r="S366">
            <v>2.4390879999999999</v>
          </cell>
          <cell r="Z366">
            <v>334</v>
          </cell>
          <cell r="AA366">
            <v>197.91474887515096</v>
          </cell>
          <cell r="AC366">
            <v>281.21912399817307</v>
          </cell>
          <cell r="AD366">
            <v>114.61037375212887</v>
          </cell>
          <cell r="AI366">
            <v>13.783800004513777</v>
          </cell>
          <cell r="AM366">
            <v>335</v>
          </cell>
          <cell r="AN366">
            <v>0.67477945721017818</v>
          </cell>
        </row>
        <row r="367">
          <cell r="R367">
            <v>335</v>
          </cell>
          <cell r="S367">
            <v>2.4225159999999999</v>
          </cell>
          <cell r="Z367">
            <v>335</v>
          </cell>
          <cell r="AA367">
            <v>197.23996941794078</v>
          </cell>
          <cell r="AC367">
            <v>280.48035283207798</v>
          </cell>
          <cell r="AD367">
            <v>113.99958600380361</v>
          </cell>
          <cell r="AI367">
            <v>14.201758855365332</v>
          </cell>
          <cell r="AM367">
            <v>336</v>
          </cell>
          <cell r="AN367">
            <v>0.67477945721017818</v>
          </cell>
        </row>
        <row r="368">
          <cell r="R368">
            <v>336</v>
          </cell>
          <cell r="S368">
            <v>2.4126700000000003</v>
          </cell>
          <cell r="Z368">
            <v>336</v>
          </cell>
          <cell r="AA368">
            <v>196.56518996073061</v>
          </cell>
          <cell r="AC368">
            <v>279.74240099205713</v>
          </cell>
          <cell r="AD368">
            <v>113.38797892940407</v>
          </cell>
          <cell r="AI368">
            <v>14.619717706216884</v>
          </cell>
          <cell r="AM368">
            <v>337</v>
          </cell>
          <cell r="AN368">
            <v>0.6747794572102066</v>
          </cell>
        </row>
        <row r="369">
          <cell r="R369">
            <v>337</v>
          </cell>
          <cell r="S369">
            <v>2.3970760000000002</v>
          </cell>
          <cell r="Z369">
            <v>337</v>
          </cell>
          <cell r="AA369">
            <v>195.89041050352043</v>
          </cell>
          <cell r="AC369">
            <v>279.00527034632461</v>
          </cell>
          <cell r="AD369">
            <v>112.77555066071626</v>
          </cell>
          <cell r="AI369">
            <v>14.640607760711346</v>
          </cell>
          <cell r="AM369">
            <v>338</v>
          </cell>
          <cell r="AN369">
            <v>0.67477945721017818</v>
          </cell>
        </row>
        <row r="370">
          <cell r="R370">
            <v>338</v>
          </cell>
          <cell r="S370">
            <v>2.381275</v>
          </cell>
          <cell r="Z370">
            <v>338</v>
          </cell>
          <cell r="AA370">
            <v>195.21563104631022</v>
          </cell>
          <cell r="AC370">
            <v>278.26896274438263</v>
          </cell>
          <cell r="AD370">
            <v>112.16229934823782</v>
          </cell>
          <cell r="AI370">
            <v>13.876713257454398</v>
          </cell>
          <cell r="AM370">
            <v>339</v>
          </cell>
          <cell r="AN370">
            <v>0.6747794572102066</v>
          </cell>
        </row>
        <row r="371">
          <cell r="R371">
            <v>339</v>
          </cell>
          <cell r="S371">
            <v>2.3725370000000003</v>
          </cell>
          <cell r="Z371">
            <v>339</v>
          </cell>
          <cell r="AA371">
            <v>194.54085158910004</v>
          </cell>
          <cell r="AC371">
            <v>277.53348001676812</v>
          </cell>
          <cell r="AD371">
            <v>111.54822316143195</v>
          </cell>
          <cell r="AI371">
            <v>13.091668418795024</v>
          </cell>
          <cell r="AM371">
            <v>340</v>
          </cell>
          <cell r="AN371">
            <v>0.67477945721017818</v>
          </cell>
        </row>
        <row r="372">
          <cell r="R372">
            <v>340</v>
          </cell>
          <cell r="S372">
            <v>2.3474520000000001</v>
          </cell>
          <cell r="Z372">
            <v>340</v>
          </cell>
          <cell r="AA372">
            <v>193.86607213188984</v>
          </cell>
          <cell r="AC372">
            <v>276.79882397480054</v>
          </cell>
          <cell r="AD372">
            <v>110.93332028897912</v>
          </cell>
          <cell r="AI372">
            <v>12.306623580135655</v>
          </cell>
          <cell r="AM372">
            <v>341</v>
          </cell>
          <cell r="AN372">
            <v>0.6747794572102066</v>
          </cell>
        </row>
        <row r="373">
          <cell r="R373">
            <v>341</v>
          </cell>
          <cell r="S373">
            <v>2.3454600000000001</v>
          </cell>
          <cell r="Z373">
            <v>341</v>
          </cell>
          <cell r="AA373">
            <v>193.19129267467966</v>
          </cell>
          <cell r="AC373">
            <v>276.06499641033122</v>
          </cell>
          <cell r="AD373">
            <v>110.3175889390281</v>
          </cell>
          <cell r="AI373">
            <v>11.791254509315406</v>
          </cell>
          <cell r="AM373">
            <v>342</v>
          </cell>
          <cell r="AN373">
            <v>0.67477945721017818</v>
          </cell>
        </row>
        <row r="374">
          <cell r="R374">
            <v>342</v>
          </cell>
          <cell r="S374">
            <v>2.3305990000000003</v>
          </cell>
          <cell r="Z374">
            <v>342</v>
          </cell>
          <cell r="AA374">
            <v>192.51651321746945</v>
          </cell>
          <cell r="AC374">
            <v>275.33199909549319</v>
          </cell>
          <cell r="AD374">
            <v>109.70102733944574</v>
          </cell>
          <cell r="AI374">
            <v>11.824376556524006</v>
          </cell>
          <cell r="AM374">
            <v>343</v>
          </cell>
          <cell r="AN374">
            <v>0.71948580637334203</v>
          </cell>
        </row>
        <row r="375">
          <cell r="R375">
            <v>343</v>
          </cell>
          <cell r="S375">
            <v>2.318873</v>
          </cell>
          <cell r="Z375">
            <v>343</v>
          </cell>
          <cell r="AA375">
            <v>191.84173376025927</v>
          </cell>
          <cell r="AC375">
            <v>274.59983378245437</v>
          </cell>
          <cell r="AD375">
            <v>109.08363373806419</v>
          </cell>
          <cell r="AI375">
            <v>11.873505816250272</v>
          </cell>
          <cell r="AM375">
            <v>344</v>
          </cell>
          <cell r="AN375">
            <v>0.80808240259872832</v>
          </cell>
        </row>
        <row r="376">
          <cell r="R376">
            <v>344</v>
          </cell>
          <cell r="S376">
            <v>2.3025799999999998</v>
          </cell>
          <cell r="Z376">
            <v>344</v>
          </cell>
          <cell r="AA376">
            <v>191.12224795388593</v>
          </cell>
          <cell r="AC376">
            <v>273.74046103874588</v>
          </cell>
          <cell r="AD376">
            <v>108.504034869026</v>
          </cell>
          <cell r="AI376">
            <v>11.922635075976537</v>
          </cell>
          <cell r="AM376">
            <v>345</v>
          </cell>
          <cell r="AN376">
            <v>0.79746607381721901</v>
          </cell>
        </row>
        <row r="377">
          <cell r="R377">
            <v>345</v>
          </cell>
          <cell r="S377">
            <v>2.293914</v>
          </cell>
          <cell r="Z377">
            <v>345</v>
          </cell>
          <cell r="AA377">
            <v>190.3141655512872</v>
          </cell>
          <cell r="AC377">
            <v>272.62790649638504</v>
          </cell>
          <cell r="AD377">
            <v>108.00042460618938</v>
          </cell>
          <cell r="AI377">
            <v>11.971764335702801</v>
          </cell>
          <cell r="AM377">
            <v>346</v>
          </cell>
          <cell r="AN377">
            <v>0.77235024905110095</v>
          </cell>
        </row>
        <row r="378">
          <cell r="R378">
            <v>346</v>
          </cell>
          <cell r="S378">
            <v>2.2737160000000003</v>
          </cell>
          <cell r="Z378">
            <v>346</v>
          </cell>
          <cell r="AA378">
            <v>189.51669947746998</v>
          </cell>
          <cell r="AC378">
            <v>271.50735124843391</v>
          </cell>
          <cell r="AD378">
            <v>107.52604770650608</v>
          </cell>
          <cell r="AI378">
            <v>12.020893595429067</v>
          </cell>
          <cell r="AM378">
            <v>347</v>
          </cell>
          <cell r="AN378">
            <v>0.77171960188178446</v>
          </cell>
        </row>
        <row r="379">
          <cell r="R379">
            <v>347</v>
          </cell>
          <cell r="S379">
            <v>2.2688190000000001</v>
          </cell>
          <cell r="Z379">
            <v>347</v>
          </cell>
          <cell r="AA379">
            <v>188.74434922841888</v>
          </cell>
          <cell r="AC379">
            <v>270.38421172009544</v>
          </cell>
          <cell r="AD379">
            <v>107.10448673674234</v>
          </cell>
          <cell r="AI379">
            <v>12.070022855155335</v>
          </cell>
          <cell r="AM379">
            <v>348</v>
          </cell>
          <cell r="AN379">
            <v>0.77171960188175603</v>
          </cell>
        </row>
        <row r="380">
          <cell r="R380">
            <v>348</v>
          </cell>
          <cell r="S380">
            <v>2.247201</v>
          </cell>
          <cell r="Z380">
            <v>348</v>
          </cell>
          <cell r="AA380">
            <v>187.9726296265371</v>
          </cell>
          <cell r="AC380">
            <v>269.26140313615412</v>
          </cell>
          <cell r="AD380">
            <v>106.68385611692008</v>
          </cell>
          <cell r="AI380">
            <v>12.119152114881599</v>
          </cell>
          <cell r="AM380">
            <v>349</v>
          </cell>
          <cell r="AN380">
            <v>0.77171960188178446</v>
          </cell>
        </row>
        <row r="381">
          <cell r="R381">
            <v>349</v>
          </cell>
          <cell r="S381">
            <v>2.2414209999999999</v>
          </cell>
          <cell r="Z381">
            <v>349</v>
          </cell>
          <cell r="AA381">
            <v>187.20091002465534</v>
          </cell>
          <cell r="AC381">
            <v>268.13900577597269</v>
          </cell>
          <cell r="AD381">
            <v>106.26281427333798</v>
          </cell>
          <cell r="AI381">
            <v>12.168281374607863</v>
          </cell>
          <cell r="AM381">
            <v>350</v>
          </cell>
          <cell r="AN381">
            <v>0.77171960188178446</v>
          </cell>
        </row>
        <row r="382">
          <cell r="R382">
            <v>350</v>
          </cell>
          <cell r="S382">
            <v>2.2281459999999997</v>
          </cell>
          <cell r="Z382">
            <v>350</v>
          </cell>
          <cell r="AA382">
            <v>186.42919042277356</v>
          </cell>
          <cell r="AC382">
            <v>267.01702500786899</v>
          </cell>
          <cell r="AD382">
            <v>105.84135583767812</v>
          </cell>
          <cell r="AI382">
            <v>12.217410634334129</v>
          </cell>
          <cell r="AM382">
            <v>351</v>
          </cell>
          <cell r="AN382">
            <v>0.77171960188175603</v>
          </cell>
        </row>
        <row r="383">
          <cell r="R383">
            <v>351</v>
          </cell>
          <cell r="S383">
            <v>2.215217</v>
          </cell>
          <cell r="Z383">
            <v>351</v>
          </cell>
          <cell r="AA383">
            <v>185.65747082089177</v>
          </cell>
          <cell r="AC383">
            <v>265.89546628746393</v>
          </cell>
          <cell r="AD383">
            <v>105.41947535431959</v>
          </cell>
          <cell r="AI383">
            <v>12.266539894060395</v>
          </cell>
          <cell r="AM383">
            <v>352</v>
          </cell>
          <cell r="AN383">
            <v>0.77171960188178446</v>
          </cell>
        </row>
        <row r="384">
          <cell r="R384">
            <v>352</v>
          </cell>
          <cell r="S384">
            <v>2.2032290000000003</v>
          </cell>
          <cell r="Z384">
            <v>352</v>
          </cell>
          <cell r="AA384">
            <v>184.88575121901002</v>
          </cell>
          <cell r="AC384">
            <v>264.77433515930943</v>
          </cell>
          <cell r="AD384">
            <v>104.99716727871063</v>
          </cell>
          <cell r="AI384">
            <v>12.31566915378666</v>
          </cell>
          <cell r="AM384">
            <v>353</v>
          </cell>
          <cell r="AN384">
            <v>0.77171960188172761</v>
          </cell>
        </row>
        <row r="385">
          <cell r="R385">
            <v>353</v>
          </cell>
          <cell r="S385">
            <v>2.1881079999999997</v>
          </cell>
          <cell r="Z385">
            <v>353</v>
          </cell>
          <cell r="AA385">
            <v>184.11403161712823</v>
          </cell>
          <cell r="AC385">
            <v>263.65363725854803</v>
          </cell>
          <cell r="AD385">
            <v>104.57442597570844</v>
          </cell>
          <cell r="AI385">
            <v>12.364798413512924</v>
          </cell>
          <cell r="AM385">
            <v>354</v>
          </cell>
          <cell r="AN385">
            <v>0.75741445540253949</v>
          </cell>
        </row>
        <row r="386">
          <cell r="R386">
            <v>354</v>
          </cell>
          <cell r="S386">
            <v>2.1797810000000002</v>
          </cell>
          <cell r="Z386">
            <v>354</v>
          </cell>
          <cell r="AA386">
            <v>183.34231201524651</v>
          </cell>
          <cell r="AC386">
            <v>262.53337831260438</v>
          </cell>
          <cell r="AD386">
            <v>104.15124571788863</v>
          </cell>
          <cell r="AI386">
            <v>12.158273498854962</v>
          </cell>
          <cell r="AM386">
            <v>355</v>
          </cell>
          <cell r="AN386">
            <v>0.7279899767085567</v>
          </cell>
        </row>
        <row r="387">
          <cell r="R387">
            <v>355</v>
          </cell>
          <cell r="S387">
            <v>2.1646649999999998</v>
          </cell>
          <cell r="Z387">
            <v>355</v>
          </cell>
          <cell r="AA387">
            <v>182.58489755984397</v>
          </cell>
          <cell r="AC387">
            <v>261.42126022647511</v>
          </cell>
          <cell r="AD387">
            <v>103.74853489321282</v>
          </cell>
          <cell r="AI387">
            <v>11.429137677270319</v>
          </cell>
          <cell r="AM387">
            <v>356</v>
          </cell>
          <cell r="AN387">
            <v>0.72710476167353022</v>
          </cell>
        </row>
        <row r="388">
          <cell r="R388">
            <v>356</v>
          </cell>
          <cell r="S388">
            <v>2.1548380000000003</v>
          </cell>
          <cell r="Z388">
            <v>356</v>
          </cell>
          <cell r="AA388">
            <v>181.85690758313541</v>
          </cell>
          <cell r="AC388">
            <v>260.32521814010369</v>
          </cell>
          <cell r="AD388">
            <v>103.38859702616712</v>
          </cell>
          <cell r="AI388">
            <v>10.925547844524973</v>
          </cell>
          <cell r="AM388">
            <v>357</v>
          </cell>
          <cell r="AN388">
            <v>0.72710476167344495</v>
          </cell>
        </row>
        <row r="389">
          <cell r="R389">
            <v>357</v>
          </cell>
          <cell r="S389">
            <v>2.1403440000000002</v>
          </cell>
          <cell r="Z389">
            <v>357</v>
          </cell>
          <cell r="AA389">
            <v>181.12980282146188</v>
          </cell>
          <cell r="AC389">
            <v>259.22979537423396</v>
          </cell>
          <cell r="AD389">
            <v>103.02981026868983</v>
          </cell>
          <cell r="AI389">
            <v>10.914182575360632</v>
          </cell>
          <cell r="AM389">
            <v>358</v>
          </cell>
          <cell r="AN389">
            <v>0.72710476167347338</v>
          </cell>
        </row>
        <row r="390">
          <cell r="R390">
            <v>358</v>
          </cell>
          <cell r="S390">
            <v>2.1307100000000001</v>
          </cell>
          <cell r="Z390">
            <v>358</v>
          </cell>
          <cell r="AA390">
            <v>180.40269805978843</v>
          </cell>
          <cell r="AC390">
            <v>258.13451712733024</v>
          </cell>
          <cell r="AD390">
            <v>102.67087899224664</v>
          </cell>
          <cell r="AI390">
            <v>10.917345127358667</v>
          </cell>
          <cell r="AM390">
            <v>359</v>
          </cell>
          <cell r="AN390">
            <v>0.72710476167344495</v>
          </cell>
        </row>
        <row r="391">
          <cell r="R391">
            <v>359</v>
          </cell>
          <cell r="S391">
            <v>2.1162770000000002</v>
          </cell>
          <cell r="Z391">
            <v>359</v>
          </cell>
          <cell r="AA391">
            <v>179.67559329811496</v>
          </cell>
          <cell r="AC391">
            <v>257.03938546268563</v>
          </cell>
          <cell r="AD391">
            <v>102.31180113354428</v>
          </cell>
          <cell r="AI391">
            <v>10.920507679356708</v>
          </cell>
          <cell r="AM391">
            <v>360</v>
          </cell>
          <cell r="AN391">
            <v>0.7271047616735018</v>
          </cell>
        </row>
        <row r="392">
          <cell r="R392">
            <v>360</v>
          </cell>
          <cell r="S392">
            <v>2.1068069999999999</v>
          </cell>
          <cell r="Z392">
            <v>360</v>
          </cell>
          <cell r="AA392">
            <v>178.94848853644152</v>
          </cell>
          <cell r="AC392">
            <v>255.94440248221224</v>
          </cell>
          <cell r="AD392">
            <v>101.95257459067081</v>
          </cell>
          <cell r="AI392">
            <v>10.923670231354748</v>
          </cell>
          <cell r="AM392">
            <v>361</v>
          </cell>
          <cell r="AN392">
            <v>0.72710476167347338</v>
          </cell>
        </row>
        <row r="393">
          <cell r="R393">
            <v>361</v>
          </cell>
          <cell r="S393">
            <v>2.090541</v>
          </cell>
          <cell r="Z393">
            <v>361</v>
          </cell>
          <cell r="AA393">
            <v>178.22138377476801</v>
          </cell>
          <cell r="AC393">
            <v>254.84957032732845</v>
          </cell>
          <cell r="AD393">
            <v>101.59319722220758</v>
          </cell>
          <cell r="AI393">
            <v>10.926832783352785</v>
          </cell>
          <cell r="AM393">
            <v>362</v>
          </cell>
          <cell r="AN393">
            <v>0.72710476167347338</v>
          </cell>
        </row>
        <row r="394">
          <cell r="R394">
            <v>362</v>
          </cell>
          <cell r="S394">
            <v>2.0840939999999999</v>
          </cell>
          <cell r="Z394">
            <v>362</v>
          </cell>
          <cell r="AA394">
            <v>177.49427901309454</v>
          </cell>
          <cell r="AC394">
            <v>253.75489117986962</v>
          </cell>
          <cell r="AD394">
            <v>101.23366684631948</v>
          </cell>
          <cell r="AI394">
            <v>10.929995335350824</v>
          </cell>
          <cell r="AM394">
            <v>363</v>
          </cell>
          <cell r="AN394">
            <v>0.7271047616735018</v>
          </cell>
        </row>
        <row r="395">
          <cell r="R395">
            <v>363</v>
          </cell>
          <cell r="S395">
            <v>2.068314</v>
          </cell>
          <cell r="Z395">
            <v>363</v>
          </cell>
          <cell r="AA395">
            <v>176.76717425142107</v>
          </cell>
          <cell r="AC395">
            <v>252.66036726302377</v>
          </cell>
          <cell r="AD395">
            <v>100.87398123981835</v>
          </cell>
          <cell r="AI395">
            <v>10.933157887348862</v>
          </cell>
          <cell r="AM395">
            <v>364</v>
          </cell>
          <cell r="AN395">
            <v>0.72710476167344495</v>
          </cell>
        </row>
        <row r="396">
          <cell r="R396">
            <v>364</v>
          </cell>
          <cell r="S396">
            <v>2.0600379999999996</v>
          </cell>
          <cell r="Z396">
            <v>364</v>
          </cell>
          <cell r="AA396">
            <v>176.04006948974757</v>
          </cell>
          <cell r="AC396">
            <v>251.56600084229228</v>
          </cell>
          <cell r="AD396">
            <v>100.51413813720283</v>
          </cell>
          <cell r="AI396">
            <v>10.9363204393469</v>
          </cell>
          <cell r="AM396">
            <v>365</v>
          </cell>
          <cell r="AN396">
            <v>0.72710476167344495</v>
          </cell>
        </row>
        <row r="397">
          <cell r="R397">
            <v>365</v>
          </cell>
          <cell r="S397">
            <v>2.0457550000000002</v>
          </cell>
          <cell r="Z397">
            <v>365</v>
          </cell>
          <cell r="AA397">
            <v>175.31296472807412</v>
          </cell>
          <cell r="AC397">
            <v>250.47179422647702</v>
          </cell>
          <cell r="AD397">
            <v>100.15413522967124</v>
          </cell>
          <cell r="AI397">
            <v>10.93948299134494</v>
          </cell>
          <cell r="AM397">
            <v>366</v>
          </cell>
          <cell r="AN397">
            <v>0.72710476167347338</v>
          </cell>
        </row>
        <row r="398">
          <cell r="R398">
            <v>366</v>
          </cell>
          <cell r="S398">
            <v>2.036708</v>
          </cell>
          <cell r="Z398">
            <v>366</v>
          </cell>
          <cell r="AA398">
            <v>174.58585996640068</v>
          </cell>
          <cell r="AC398">
            <v>249.37774976869497</v>
          </cell>
          <cell r="AD398">
            <v>99.793970164106383</v>
          </cell>
          <cell r="AI398">
            <v>10.942645543342978</v>
          </cell>
          <cell r="AM398">
            <v>367</v>
          </cell>
          <cell r="AN398">
            <v>0.72710476167347338</v>
          </cell>
        </row>
        <row r="399">
          <cell r="R399">
            <v>367</v>
          </cell>
          <cell r="S399">
            <v>2.0228889999999997</v>
          </cell>
          <cell r="Z399">
            <v>367</v>
          </cell>
          <cell r="AA399">
            <v>173.8587552047272</v>
          </cell>
          <cell r="AC399">
            <v>248.28386986741936</v>
          </cell>
          <cell r="AD399">
            <v>99.43364054203505</v>
          </cell>
          <cell r="AI399">
            <v>10.945808095341016</v>
          </cell>
          <cell r="AM399">
            <v>368</v>
          </cell>
          <cell r="AN399">
            <v>0.72710476167347338</v>
          </cell>
        </row>
        <row r="400">
          <cell r="R400">
            <v>368</v>
          </cell>
          <cell r="S400">
            <v>2.011679</v>
          </cell>
          <cell r="Z400">
            <v>368</v>
          </cell>
          <cell r="AA400">
            <v>173.13165044305373</v>
          </cell>
          <cell r="AC400">
            <v>247.19015696755122</v>
          </cell>
          <cell r="AD400">
            <v>99.073143918556255</v>
          </cell>
          <cell r="AI400">
            <v>10.948970647339058</v>
          </cell>
          <cell r="AM400">
            <v>369</v>
          </cell>
          <cell r="AN400">
            <v>0.72710476167347338</v>
          </cell>
        </row>
        <row r="401">
          <cell r="R401">
            <v>369</v>
          </cell>
          <cell r="S401">
            <v>2.0015960000000002</v>
          </cell>
          <cell r="Z401">
            <v>369</v>
          </cell>
          <cell r="AA401">
            <v>172.40454568138026</v>
          </cell>
          <cell r="AC401">
            <v>246.09661356151923</v>
          </cell>
          <cell r="AD401">
            <v>98.712477801241292</v>
          </cell>
          <cell r="AI401">
            <v>10.952133199337093</v>
          </cell>
          <cell r="AM401">
            <v>370</v>
          </cell>
          <cell r="AN401">
            <v>0.72710476167347338</v>
          </cell>
        </row>
        <row r="402">
          <cell r="R402">
            <v>370</v>
          </cell>
          <cell r="S402">
            <v>1.9906170000000001</v>
          </cell>
          <cell r="Z402">
            <v>370</v>
          </cell>
          <cell r="AA402">
            <v>171.67744091970678</v>
          </cell>
          <cell r="AC402">
            <v>245.00324219041096</v>
          </cell>
          <cell r="AD402">
            <v>98.351639649002593</v>
          </cell>
          <cell r="AI402">
            <v>10.955295751335134</v>
          </cell>
          <cell r="AM402">
            <v>371</v>
          </cell>
          <cell r="AN402">
            <v>0.7271047616735018</v>
          </cell>
        </row>
        <row r="403">
          <cell r="R403">
            <v>371</v>
          </cell>
          <cell r="S403">
            <v>1.978205</v>
          </cell>
          <cell r="Z403">
            <v>371</v>
          </cell>
          <cell r="AA403">
            <v>170.95033615803331</v>
          </cell>
          <cell r="AC403">
            <v>243.91004544513515</v>
          </cell>
          <cell r="AD403">
            <v>97.990626870931479</v>
          </cell>
          <cell r="AI403">
            <v>10.958458303333174</v>
          </cell>
          <cell r="AM403">
            <v>372</v>
          </cell>
          <cell r="AN403">
            <v>0.72710476167347338</v>
          </cell>
        </row>
        <row r="404">
          <cell r="R404">
            <v>372</v>
          </cell>
          <cell r="S404">
            <v>1.9686349999999999</v>
          </cell>
          <cell r="Z404">
            <v>372</v>
          </cell>
          <cell r="AA404">
            <v>170.22323139635981</v>
          </cell>
          <cell r="AC404">
            <v>242.81702596761667</v>
          </cell>
          <cell r="AD404">
            <v>97.629436825102943</v>
          </cell>
          <cell r="AI404">
            <v>10.96162085533121</v>
          </cell>
          <cell r="AM404">
            <v>373</v>
          </cell>
          <cell r="AN404">
            <v>0.72710476167344495</v>
          </cell>
        </row>
        <row r="405">
          <cell r="R405">
            <v>373</v>
          </cell>
          <cell r="S405">
            <v>1.9560849999999999</v>
          </cell>
          <cell r="Z405">
            <v>373</v>
          </cell>
          <cell r="AA405">
            <v>169.49612663468633</v>
          </cell>
          <cell r="AC405">
            <v>241.72418645202521</v>
          </cell>
          <cell r="AD405">
            <v>97.26806681734746</v>
          </cell>
          <cell r="AI405">
            <v>10.96478340732925</v>
          </cell>
          <cell r="AM405">
            <v>374</v>
          </cell>
          <cell r="AN405">
            <v>0.72710476167347338</v>
          </cell>
        </row>
        <row r="406">
          <cell r="R406">
            <v>374</v>
          </cell>
          <cell r="S406">
            <v>1.946536</v>
          </cell>
          <cell r="Z406">
            <v>374</v>
          </cell>
          <cell r="AA406">
            <v>168.76902187301289</v>
          </cell>
          <cell r="AC406">
            <v>240.63152964603813</v>
          </cell>
          <cell r="AD406">
            <v>96.906514099987632</v>
          </cell>
          <cell r="AI406">
            <v>10.967945959327288</v>
          </cell>
          <cell r="AM406">
            <v>375</v>
          </cell>
          <cell r="AN406">
            <v>0.7271047616735018</v>
          </cell>
        </row>
        <row r="407">
          <cell r="R407">
            <v>375</v>
          </cell>
          <cell r="S407">
            <v>1.9342600000000001</v>
          </cell>
          <cell r="Z407">
            <v>375</v>
          </cell>
          <cell r="AA407">
            <v>168.04191711133942</v>
          </cell>
          <cell r="AC407">
            <v>239.53905835213993</v>
          </cell>
          <cell r="AD407">
            <v>96.544775870538899</v>
          </cell>
          <cell r="AI407">
            <v>10.971108511325326</v>
          </cell>
          <cell r="AM407">
            <v>376</v>
          </cell>
          <cell r="AN407">
            <v>0.72710476167347338</v>
          </cell>
        </row>
        <row r="408">
          <cell r="R408">
            <v>376</v>
          </cell>
          <cell r="S408">
            <v>1.9240599999999999</v>
          </cell>
          <cell r="Z408">
            <v>376</v>
          </cell>
          <cell r="AA408">
            <v>167.31481234966591</v>
          </cell>
          <cell r="AC408">
            <v>238.44677542895724</v>
          </cell>
          <cell r="AD408">
            <v>96.182849270374589</v>
          </cell>
          <cell r="AI408">
            <v>10.974271063323366</v>
          </cell>
          <cell r="AM408">
            <v>377</v>
          </cell>
          <cell r="AN408">
            <v>0.72142796116830255</v>
          </cell>
        </row>
        <row r="409">
          <cell r="R409">
            <v>377</v>
          </cell>
          <cell r="S409">
            <v>1.911972</v>
          </cell>
          <cell r="Z409">
            <v>377</v>
          </cell>
          <cell r="AA409">
            <v>166.58770758799244</v>
          </cell>
          <cell r="AC409">
            <v>237.35468379263298</v>
          </cell>
          <cell r="AD409">
            <v>95.820731383351898</v>
          </cell>
          <cell r="AI409">
            <v>10.977433615321404</v>
          </cell>
          <cell r="AM409">
            <v>378</v>
          </cell>
          <cell r="AN409">
            <v>0.71052413205700304</v>
          </cell>
        </row>
        <row r="410">
          <cell r="R410">
            <v>378</v>
          </cell>
          <cell r="S410">
            <v>1.903354</v>
          </cell>
          <cell r="Z410">
            <v>378</v>
          </cell>
          <cell r="AA410">
            <v>165.86627962682414</v>
          </cell>
          <cell r="AC410">
            <v>236.26377766271105</v>
          </cell>
          <cell r="AD410">
            <v>95.468781590937212</v>
          </cell>
          <cell r="AI410">
            <v>10.980596167319442</v>
          </cell>
          <cell r="AM410">
            <v>379</v>
          </cell>
          <cell r="AN410">
            <v>0.71025365207606228</v>
          </cell>
        </row>
        <row r="411">
          <cell r="R411">
            <v>379</v>
          </cell>
          <cell r="S411">
            <v>1.891187</v>
          </cell>
          <cell r="Z411">
            <v>379</v>
          </cell>
          <cell r="AA411">
            <v>165.15575549476713</v>
          </cell>
          <cell r="AC411">
            <v>235.17499839404752</v>
          </cell>
          <cell r="AD411">
            <v>95.136512595486749</v>
          </cell>
          <cell r="AI411">
            <v>10.983758719317484</v>
          </cell>
          <cell r="AM411">
            <v>380</v>
          </cell>
          <cell r="AN411">
            <v>0.7102536520760907</v>
          </cell>
        </row>
        <row r="412">
          <cell r="R412">
            <v>380</v>
          </cell>
          <cell r="S412">
            <v>1.8819510000000004</v>
          </cell>
          <cell r="Z412">
            <v>380</v>
          </cell>
          <cell r="AA412">
            <v>164.44550184269107</v>
          </cell>
          <cell r="AC412">
            <v>234.08650666735662</v>
          </cell>
          <cell r="AD412">
            <v>94.804497018025543</v>
          </cell>
          <cell r="AI412">
            <v>10.986921271315518</v>
          </cell>
          <cell r="AM412">
            <v>381</v>
          </cell>
          <cell r="AN412">
            <v>0.71221499506049213</v>
          </cell>
        </row>
        <row r="413">
          <cell r="R413">
            <v>381</v>
          </cell>
          <cell r="S413">
            <v>1.8702130000000001</v>
          </cell>
          <cell r="Z413">
            <v>381</v>
          </cell>
          <cell r="AA413">
            <v>163.73524819061498</v>
          </cell>
          <cell r="AC413">
            <v>232.99825911296352</v>
          </cell>
          <cell r="AD413">
            <v>94.472237268266426</v>
          </cell>
          <cell r="AI413">
            <v>10.962977210770172</v>
          </cell>
          <cell r="AM413">
            <v>382</v>
          </cell>
          <cell r="AN413">
            <v>0.71619962048646357</v>
          </cell>
        </row>
        <row r="414">
          <cell r="R414">
            <v>382</v>
          </cell>
          <cell r="S414">
            <v>1.8606389999999999</v>
          </cell>
          <cell r="Z414">
            <v>382</v>
          </cell>
          <cell r="AA414">
            <v>163.02303319555449</v>
          </cell>
          <cell r="AC414">
            <v>231.90930772871451</v>
          </cell>
          <cell r="AD414">
            <v>94.13675866239447</v>
          </cell>
          <cell r="AI414">
            <v>10.884896968837793</v>
          </cell>
          <cell r="AM414">
            <v>383</v>
          </cell>
          <cell r="AN414">
            <v>0.71631554870961622</v>
          </cell>
        </row>
        <row r="415">
          <cell r="R415">
            <v>383</v>
          </cell>
          <cell r="S415">
            <v>1.8476379999999999</v>
          </cell>
          <cell r="Z415">
            <v>383</v>
          </cell>
          <cell r="AA415">
            <v>162.30683357506803</v>
          </cell>
          <cell r="AC415">
            <v>230.81866543999288</v>
          </cell>
          <cell r="AD415">
            <v>93.795001710143168</v>
          </cell>
          <cell r="AI415">
            <v>10.805314251086026</v>
          </cell>
          <cell r="AM415">
            <v>384</v>
          </cell>
          <cell r="AN415">
            <v>0.71631554870961622</v>
          </cell>
        </row>
        <row r="416">
          <cell r="R416">
            <v>384</v>
          </cell>
          <cell r="S416">
            <v>1.8411560000000002</v>
          </cell>
          <cell r="Z416">
            <v>384</v>
          </cell>
          <cell r="AA416">
            <v>161.59051802635841</v>
          </cell>
          <cell r="AC416">
            <v>229.72820931761578</v>
          </cell>
          <cell r="AD416">
            <v>93.452826735101041</v>
          </cell>
          <cell r="AI416">
            <v>10.72573153333426</v>
          </cell>
          <cell r="AM416">
            <v>385</v>
          </cell>
          <cell r="AN416">
            <v>0.70591345030013031</v>
          </cell>
        </row>
        <row r="417">
          <cell r="R417">
            <v>385</v>
          </cell>
          <cell r="S417">
            <v>1.8283510000000001</v>
          </cell>
          <cell r="Z417">
            <v>385</v>
          </cell>
          <cell r="AA417">
            <v>160.87420247764879</v>
          </cell>
          <cell r="AC417">
            <v>228.63799963575732</v>
          </cell>
          <cell r="AD417">
            <v>93.110405319540263</v>
          </cell>
          <cell r="AI417">
            <v>10.646148815582492</v>
          </cell>
          <cell r="AM417">
            <v>386</v>
          </cell>
          <cell r="AN417">
            <v>0.68506415954800559</v>
          </cell>
        </row>
        <row r="418">
          <cell r="R418">
            <v>386</v>
          </cell>
          <cell r="S418">
            <v>1.81948</v>
          </cell>
          <cell r="Z418">
            <v>386</v>
          </cell>
          <cell r="AA418">
            <v>160.16828902734866</v>
          </cell>
          <cell r="AC418">
            <v>227.57748712168257</v>
          </cell>
          <cell r="AD418">
            <v>92.759090933014747</v>
          </cell>
          <cell r="AI418">
            <v>10.566566097830728</v>
          </cell>
          <cell r="AM418">
            <v>387</v>
          </cell>
          <cell r="AN418">
            <v>0.68447970103991906</v>
          </cell>
        </row>
        <row r="419">
          <cell r="R419">
            <v>387</v>
          </cell>
          <cell r="S419">
            <v>1.8085589999999998</v>
          </cell>
          <cell r="Z419">
            <v>387</v>
          </cell>
          <cell r="AA419">
            <v>159.48322486780066</v>
          </cell>
          <cell r="AC419">
            <v>226.57643114421955</v>
          </cell>
          <cell r="AD419">
            <v>92.390018591381775</v>
          </cell>
          <cell r="AI419">
            <v>10.486983380078961</v>
          </cell>
          <cell r="AM419">
            <v>388</v>
          </cell>
          <cell r="AN419">
            <v>0.68447970103991906</v>
          </cell>
        </row>
        <row r="420">
          <cell r="R420">
            <v>388</v>
          </cell>
          <cell r="S420">
            <v>1.7990089999999999</v>
          </cell>
          <cell r="Z420">
            <v>388</v>
          </cell>
          <cell r="AA420">
            <v>158.79874516676074</v>
          </cell>
          <cell r="AC420">
            <v>225.57756919086688</v>
          </cell>
          <cell r="AD420">
            <v>92.01992114265461</v>
          </cell>
          <cell r="AI420">
            <v>10.407400662327195</v>
          </cell>
          <cell r="AM420">
            <v>389</v>
          </cell>
          <cell r="AN420">
            <v>0.67933821166135999</v>
          </cell>
        </row>
        <row r="421">
          <cell r="R421">
            <v>389</v>
          </cell>
          <cell r="S421">
            <v>1.7884540000000002</v>
          </cell>
          <cell r="Z421">
            <v>389</v>
          </cell>
          <cell r="AA421">
            <v>158.11426546572082</v>
          </cell>
          <cell r="AC421">
            <v>224.57925421116249</v>
          </cell>
          <cell r="AD421">
            <v>91.649276720279147</v>
          </cell>
          <cell r="AI421">
            <v>10.327817944575429</v>
          </cell>
          <cell r="AM421">
            <v>390</v>
          </cell>
          <cell r="AN421">
            <v>0.66031238193701824</v>
          </cell>
        </row>
        <row r="422">
          <cell r="R422">
            <v>390</v>
          </cell>
          <cell r="S422">
            <v>1.7788240000000002</v>
          </cell>
          <cell r="Z422">
            <v>390</v>
          </cell>
          <cell r="AA422">
            <v>157.43492725405946</v>
          </cell>
          <cell r="AC422">
            <v>223.58608915263369</v>
          </cell>
          <cell r="AD422">
            <v>91.283765355485215</v>
          </cell>
          <cell r="AI422">
            <v>10.248235226823661</v>
          </cell>
          <cell r="AM422">
            <v>391</v>
          </cell>
          <cell r="AN422">
            <v>0.64248819675498225</v>
          </cell>
        </row>
        <row r="423">
          <cell r="R423">
            <v>391</v>
          </cell>
          <cell r="S423">
            <v>1.76817</v>
          </cell>
          <cell r="Z423">
            <v>391</v>
          </cell>
          <cell r="AA423">
            <v>156.77461487212244</v>
          </cell>
          <cell r="AC423">
            <v>222.60639719494333</v>
          </cell>
          <cell r="AD423">
            <v>90.942832549301542</v>
          </cell>
          <cell r="AI423">
            <v>10.168652509071896</v>
          </cell>
          <cell r="AM423">
            <v>392</v>
          </cell>
          <cell r="AN423">
            <v>0.64204834164695512</v>
          </cell>
        </row>
        <row r="424">
          <cell r="R424">
            <v>392</v>
          </cell>
          <cell r="S424">
            <v>1.7580940000000003</v>
          </cell>
          <cell r="Z424">
            <v>392</v>
          </cell>
          <cell r="AA424">
            <v>156.13212667536746</v>
          </cell>
          <cell r="AC424">
            <v>221.63528677221609</v>
          </cell>
          <cell r="AD424">
            <v>90.628966578518842</v>
          </cell>
          <cell r="AI424">
            <v>10.08906979132013</v>
          </cell>
          <cell r="AM424">
            <v>393</v>
          </cell>
          <cell r="AN424">
            <v>0.64204834164698354</v>
          </cell>
        </row>
        <row r="425">
          <cell r="R425">
            <v>393</v>
          </cell>
          <cell r="S425">
            <v>1.7495400000000001</v>
          </cell>
          <cell r="Z425">
            <v>393</v>
          </cell>
          <cell r="AA425">
            <v>155.4900783337205</v>
          </cell>
          <cell r="AC425">
            <v>220.66494482310625</v>
          </cell>
          <cell r="AD425">
            <v>90.315211844334755</v>
          </cell>
          <cell r="AI425">
            <v>10.009487073568364</v>
          </cell>
          <cell r="AM425">
            <v>394</v>
          </cell>
          <cell r="AN425">
            <v>0.64204834164698354</v>
          </cell>
        </row>
        <row r="426">
          <cell r="R426">
            <v>394</v>
          </cell>
          <cell r="S426">
            <v>1.739074</v>
          </cell>
          <cell r="Z426">
            <v>394</v>
          </cell>
          <cell r="AA426">
            <v>154.84802999207352</v>
          </cell>
          <cell r="AC426">
            <v>219.69518505017049</v>
          </cell>
          <cell r="AD426">
            <v>90.000874933976561</v>
          </cell>
          <cell r="AI426">
            <v>9.929904355816598</v>
          </cell>
          <cell r="AM426">
            <v>395</v>
          </cell>
          <cell r="AN426">
            <v>0.64204834164698354</v>
          </cell>
        </row>
        <row r="427">
          <cell r="R427">
            <v>395</v>
          </cell>
          <cell r="S427">
            <v>1.7298459999999998</v>
          </cell>
          <cell r="Z427">
            <v>395</v>
          </cell>
          <cell r="AA427">
            <v>154.20598165042654</v>
          </cell>
          <cell r="AC427">
            <v>218.72601632441132</v>
          </cell>
          <cell r="AD427">
            <v>89.685946976441741</v>
          </cell>
          <cell r="AI427">
            <v>9.8503216380648322</v>
          </cell>
          <cell r="AM427">
            <v>396</v>
          </cell>
          <cell r="AN427">
            <v>0.64204834164695512</v>
          </cell>
        </row>
        <row r="428">
          <cell r="R428">
            <v>396</v>
          </cell>
          <cell r="S428">
            <v>1.7198899999999999</v>
          </cell>
          <cell r="Z428">
            <v>396</v>
          </cell>
          <cell r="AA428">
            <v>153.56393330877955</v>
          </cell>
          <cell r="AC428">
            <v>217.75744768148903</v>
          </cell>
          <cell r="AD428">
            <v>89.370418936070081</v>
          </cell>
          <cell r="AI428">
            <v>9.7707389203130646</v>
          </cell>
          <cell r="AM428">
            <v>397</v>
          </cell>
          <cell r="AN428">
            <v>0.63721303292098241</v>
          </cell>
        </row>
        <row r="429">
          <cell r="R429">
            <v>397</v>
          </cell>
          <cell r="S429">
            <v>1.7103200000000003</v>
          </cell>
          <cell r="Z429">
            <v>397</v>
          </cell>
          <cell r="AA429">
            <v>152.9218849671326</v>
          </cell>
          <cell r="AC429">
            <v>216.78948832509508</v>
          </cell>
          <cell r="AD429">
            <v>89.054281609170104</v>
          </cell>
          <cell r="AI429">
            <v>9.6911562025612987</v>
          </cell>
          <cell r="AM429">
            <v>398</v>
          </cell>
          <cell r="AN429">
            <v>0.62777207672695567</v>
          </cell>
        </row>
        <row r="430">
          <cell r="R430">
            <v>398</v>
          </cell>
          <cell r="S430">
            <v>1.7009440000000002</v>
          </cell>
          <cell r="Z430">
            <v>398</v>
          </cell>
          <cell r="AA430">
            <v>152.28467193421162</v>
          </cell>
          <cell r="AC430">
            <v>215.82163130044029</v>
          </cell>
          <cell r="AD430">
            <v>88.747712567982958</v>
          </cell>
          <cell r="AI430">
            <v>9.6418585715333975</v>
          </cell>
          <cell r="AM430">
            <v>399</v>
          </cell>
          <cell r="AN430">
            <v>0.6275263700328253</v>
          </cell>
        </row>
        <row r="431">
          <cell r="R431">
            <v>399</v>
          </cell>
          <cell r="S431">
            <v>1.6897880000000001</v>
          </cell>
          <cell r="Z431">
            <v>399</v>
          </cell>
          <cell r="AA431">
            <v>151.65689985748466</v>
          </cell>
          <cell r="AC431">
            <v>214.85339917734996</v>
          </cell>
          <cell r="AD431">
            <v>88.460400537619364</v>
          </cell>
          <cell r="AI431">
            <v>9.6514267239106868</v>
          </cell>
          <cell r="AM431">
            <v>400</v>
          </cell>
          <cell r="AN431">
            <v>0.6275263700328253</v>
          </cell>
        </row>
        <row r="432">
          <cell r="R432">
            <v>400</v>
          </cell>
          <cell r="S432">
            <v>1.682823</v>
          </cell>
          <cell r="Z432">
            <v>400</v>
          </cell>
          <cell r="AA432">
            <v>151.02937348745183</v>
          </cell>
          <cell r="AC432">
            <v>213.88578700609531</v>
          </cell>
          <cell r="AD432">
            <v>88.172959968808343</v>
          </cell>
          <cell r="AI432">
            <v>9.6625069830675248</v>
          </cell>
          <cell r="AM432">
            <v>401</v>
          </cell>
          <cell r="AN432">
            <v>0.62752637003285372</v>
          </cell>
        </row>
        <row r="433">
          <cell r="R433">
            <v>401</v>
          </cell>
          <cell r="S433">
            <v>1.6721649999999997</v>
          </cell>
          <cell r="Z433">
            <v>401</v>
          </cell>
          <cell r="AA433">
            <v>150.40184711741901</v>
          </cell>
          <cell r="AC433">
            <v>212.91883150853363</v>
          </cell>
          <cell r="AD433">
            <v>87.884862726304391</v>
          </cell>
          <cell r="AI433">
            <v>9.6735872422243663</v>
          </cell>
          <cell r="AM433">
            <v>402</v>
          </cell>
          <cell r="AN433">
            <v>0.62752637003285372</v>
          </cell>
        </row>
        <row r="434">
          <cell r="R434">
            <v>402</v>
          </cell>
          <cell r="S434">
            <v>1.6636609999999998</v>
          </cell>
          <cell r="Z434">
            <v>402</v>
          </cell>
          <cell r="AA434">
            <v>149.77432074738616</v>
          </cell>
          <cell r="AC434">
            <v>211.95254343895425</v>
          </cell>
          <cell r="AD434">
            <v>87.596098055818061</v>
          </cell>
          <cell r="AI434">
            <v>9.6846675013812042</v>
          </cell>
          <cell r="AM434">
            <v>403</v>
          </cell>
          <cell r="AN434">
            <v>0.6027446381409618</v>
          </cell>
        </row>
        <row r="435">
          <cell r="R435">
            <v>403</v>
          </cell>
          <cell r="S435">
            <v>1.6538149999999998</v>
          </cell>
          <cell r="Z435">
            <v>403</v>
          </cell>
          <cell r="AA435">
            <v>149.1467943773533</v>
          </cell>
          <cell r="AC435">
            <v>210.98693376591547</v>
          </cell>
          <cell r="AD435">
            <v>87.306654988791152</v>
          </cell>
          <cell r="AI435">
            <v>9.6957477605380458</v>
          </cell>
          <cell r="AM435">
            <v>404</v>
          </cell>
          <cell r="AN435">
            <v>0.55464455636064258</v>
          </cell>
        </row>
        <row r="436">
          <cell r="R436">
            <v>404</v>
          </cell>
          <cell r="S436">
            <v>1.6450400000000001</v>
          </cell>
          <cell r="Z436">
            <v>404</v>
          </cell>
          <cell r="AA436">
            <v>148.54404973921234</v>
          </cell>
          <cell r="AC436">
            <v>210.08764635692239</v>
          </cell>
          <cell r="AD436">
            <v>87.000453121502289</v>
          </cell>
          <cell r="AI436">
            <v>9.7068280196948837</v>
          </cell>
          <cell r="AM436">
            <v>405</v>
          </cell>
          <cell r="AN436">
            <v>0.55341412358532693</v>
          </cell>
        </row>
        <row r="437">
          <cell r="R437">
            <v>405</v>
          </cell>
          <cell r="S437">
            <v>1.6354760000000002</v>
          </cell>
          <cell r="Z437">
            <v>405</v>
          </cell>
          <cell r="AA437">
            <v>147.9894051828517</v>
          </cell>
          <cell r="AC437">
            <v>209.31609357351601</v>
          </cell>
          <cell r="AD437">
            <v>86.662716792187382</v>
          </cell>
          <cell r="AI437">
            <v>9.7179082788517235</v>
          </cell>
          <cell r="AM437">
            <v>406</v>
          </cell>
          <cell r="AN437">
            <v>0.54433256111778405</v>
          </cell>
        </row>
        <row r="438">
          <cell r="R438">
            <v>406</v>
          </cell>
          <cell r="S438">
            <v>1.6265000000000001</v>
          </cell>
          <cell r="Z438">
            <v>406</v>
          </cell>
          <cell r="AA438">
            <v>147.43599105926637</v>
          </cell>
          <cell r="AC438">
            <v>208.54797318035452</v>
          </cell>
          <cell r="AD438">
            <v>86.324008938178224</v>
          </cell>
          <cell r="AI438">
            <v>9.7289885380085632</v>
          </cell>
          <cell r="AM438">
            <v>407</v>
          </cell>
          <cell r="AN438">
            <v>0.52611866283012887</v>
          </cell>
        </row>
        <row r="439">
          <cell r="R439">
            <v>407</v>
          </cell>
          <cell r="S439">
            <v>1.6163220000000003</v>
          </cell>
          <cell r="Z439">
            <v>407</v>
          </cell>
          <cell r="AA439">
            <v>146.89165849814859</v>
          </cell>
          <cell r="AC439">
            <v>207.783874867154</v>
          </cell>
          <cell r="AD439">
            <v>85.999442129143176</v>
          </cell>
          <cell r="AI439">
            <v>9.7400687971654047</v>
          </cell>
          <cell r="AM439">
            <v>408</v>
          </cell>
          <cell r="AN439">
            <v>0.52560719172640802</v>
          </cell>
        </row>
        <row r="440">
          <cell r="R440">
            <v>408</v>
          </cell>
          <cell r="S440">
            <v>1.6095780000000002</v>
          </cell>
          <cell r="Z440">
            <v>408</v>
          </cell>
          <cell r="AA440">
            <v>146.36553983531846</v>
          </cell>
          <cell r="AC440">
            <v>207.02758158698822</v>
          </cell>
          <cell r="AD440">
            <v>85.703498083648697</v>
          </cell>
          <cell r="AI440">
            <v>9.7511490563222427</v>
          </cell>
          <cell r="AM440">
            <v>409</v>
          </cell>
          <cell r="AN440">
            <v>0.52560719172646486</v>
          </cell>
        </row>
        <row r="441">
          <cell r="R441">
            <v>409</v>
          </cell>
          <cell r="S441">
            <v>1.598929</v>
          </cell>
          <cell r="Z441">
            <v>409</v>
          </cell>
          <cell r="AA441">
            <v>145.83993264359205</v>
          </cell>
          <cell r="AC441">
            <v>206.27154910566642</v>
          </cell>
          <cell r="AD441">
            <v>85.408316181517677</v>
          </cell>
          <cell r="AI441">
            <v>9.7622293154790825</v>
          </cell>
          <cell r="AM441">
            <v>410</v>
          </cell>
          <cell r="AN441">
            <v>0.52560719172643644</v>
          </cell>
        </row>
        <row r="442">
          <cell r="R442">
            <v>410</v>
          </cell>
          <cell r="S442">
            <v>1.591418</v>
          </cell>
          <cell r="Z442">
            <v>410</v>
          </cell>
          <cell r="AA442">
            <v>145.31432545186559</v>
          </cell>
          <cell r="AC442">
            <v>205.51556094188879</v>
          </cell>
          <cell r="AD442">
            <v>85.113089961842363</v>
          </cell>
          <cell r="AI442">
            <v>9.7733095746359222</v>
          </cell>
          <cell r="AM442">
            <v>411</v>
          </cell>
          <cell r="AN442">
            <v>0.52560719172643644</v>
          </cell>
        </row>
        <row r="443">
          <cell r="R443">
            <v>411</v>
          </cell>
          <cell r="S443">
            <v>1.5814509999999999</v>
          </cell>
          <cell r="Z443">
            <v>411</v>
          </cell>
          <cell r="AA443">
            <v>144.78871826013915</v>
          </cell>
          <cell r="AC443">
            <v>204.75961760639862</v>
          </cell>
          <cell r="AD443">
            <v>84.817818913879677</v>
          </cell>
          <cell r="AI443">
            <v>9.7843898337927619</v>
          </cell>
          <cell r="AM443">
            <v>412</v>
          </cell>
          <cell r="AN443">
            <v>0.52560719172640802</v>
          </cell>
        </row>
        <row r="444">
          <cell r="R444">
            <v>412</v>
          </cell>
          <cell r="S444">
            <v>1.5737579999999998</v>
          </cell>
          <cell r="Z444">
            <v>412</v>
          </cell>
          <cell r="AA444">
            <v>144.26311106841271</v>
          </cell>
          <cell r="AC444">
            <v>204.00371961771654</v>
          </cell>
          <cell r="AD444">
            <v>84.522502519108883</v>
          </cell>
          <cell r="AI444">
            <v>9.7954700929496017</v>
          </cell>
          <cell r="AM444">
            <v>413</v>
          </cell>
          <cell r="AN444">
            <v>0.52560719172646486</v>
          </cell>
        </row>
        <row r="445">
          <cell r="R445">
            <v>413</v>
          </cell>
          <cell r="S445">
            <v>1.5637940000000001</v>
          </cell>
          <cell r="Z445">
            <v>413</v>
          </cell>
          <cell r="AA445">
            <v>143.7375038766863</v>
          </cell>
          <cell r="AC445">
            <v>203.24786750228614</v>
          </cell>
          <cell r="AD445">
            <v>84.227140251086468</v>
          </cell>
          <cell r="AI445">
            <v>9.8065503521064414</v>
          </cell>
          <cell r="AM445">
            <v>414</v>
          </cell>
          <cell r="AN445">
            <v>0.52560719172640802</v>
          </cell>
        </row>
        <row r="446">
          <cell r="R446">
            <v>414</v>
          </cell>
          <cell r="S446">
            <v>1.555023</v>
          </cell>
          <cell r="Z446">
            <v>414</v>
          </cell>
          <cell r="AA446">
            <v>143.21189668495984</v>
          </cell>
          <cell r="AC446">
            <v>202.49206179462448</v>
          </cell>
          <cell r="AD446">
            <v>83.931731575295203</v>
          </cell>
          <cell r="AI446">
            <v>9.4270339234938287</v>
          </cell>
          <cell r="AM446">
            <v>415</v>
          </cell>
          <cell r="AN446">
            <v>0.52560719172643644</v>
          </cell>
        </row>
        <row r="447">
          <cell r="R447">
            <v>415</v>
          </cell>
          <cell r="S447">
            <v>1.547409</v>
          </cell>
          <cell r="Z447">
            <v>415</v>
          </cell>
          <cell r="AA447">
            <v>142.68628949323343</v>
          </cell>
          <cell r="AC447">
            <v>201.73630303747467</v>
          </cell>
          <cell r="AD447">
            <v>83.636275948992193</v>
          </cell>
          <cell r="AI447">
            <v>5.7419983146763931</v>
          </cell>
          <cell r="AM447">
            <v>416</v>
          </cell>
          <cell r="AN447">
            <v>0.52560719172643644</v>
          </cell>
        </row>
        <row r="448">
          <cell r="R448">
            <v>416</v>
          </cell>
          <cell r="S448">
            <v>1.5387529999999998</v>
          </cell>
          <cell r="Z448">
            <v>416</v>
          </cell>
          <cell r="AA448">
            <v>142.16068230150699</v>
          </cell>
          <cell r="AC448">
            <v>200.98059178196326</v>
          </cell>
          <cell r="AD448">
            <v>83.34077282105072</v>
          </cell>
          <cell r="AI448">
            <v>4.6982306534253988</v>
          </cell>
          <cell r="AM448">
            <v>417</v>
          </cell>
          <cell r="AN448">
            <v>0.52560719172643644</v>
          </cell>
        </row>
        <row r="449">
          <cell r="R449">
            <v>417</v>
          </cell>
          <cell r="S449">
            <v>1.5299830000000001</v>
          </cell>
          <cell r="Z449">
            <v>417</v>
          </cell>
          <cell r="AA449">
            <v>141.63507510978056</v>
          </cell>
          <cell r="AC449">
            <v>200.22492858775968</v>
          </cell>
          <cell r="AD449">
            <v>83.045221631801439</v>
          </cell>
          <cell r="AI449">
            <v>16.635756878194584</v>
          </cell>
          <cell r="AM449">
            <v>418</v>
          </cell>
          <cell r="AN449">
            <v>0.52560719172646486</v>
          </cell>
        </row>
        <row r="450">
          <cell r="R450">
            <v>418</v>
          </cell>
          <cell r="S450">
            <v>1.5218690000000001</v>
          </cell>
          <cell r="Z450">
            <v>418</v>
          </cell>
          <cell r="AA450">
            <v>141.10946791805412</v>
          </cell>
          <cell r="AC450">
            <v>199.46931402324074</v>
          </cell>
          <cell r="AD450">
            <v>82.749621812867503</v>
          </cell>
          <cell r="AI450">
            <v>23.599080212996387</v>
          </cell>
          <cell r="AM450">
            <v>419</v>
          </cell>
          <cell r="AN450">
            <v>0.52560719172640802</v>
          </cell>
        </row>
        <row r="451">
          <cell r="R451">
            <v>419</v>
          </cell>
          <cell r="S451">
            <v>1.512775</v>
          </cell>
          <cell r="Z451">
            <v>419</v>
          </cell>
          <cell r="AA451">
            <v>140.58386072632766</v>
          </cell>
          <cell r="AC451">
            <v>198.71374866565776</v>
          </cell>
          <cell r="AD451">
            <v>82.453972786997539</v>
          </cell>
          <cell r="AI451">
            <v>22.881283781761187</v>
          </cell>
          <cell r="AM451">
            <v>420</v>
          </cell>
          <cell r="AN451">
            <v>0.52560719172646486</v>
          </cell>
        </row>
        <row r="452">
          <cell r="R452">
            <v>420</v>
          </cell>
          <cell r="S452">
            <v>1.5055719999999999</v>
          </cell>
          <cell r="Z452">
            <v>420</v>
          </cell>
          <cell r="AA452">
            <v>140.05825353460125</v>
          </cell>
          <cell r="AC452">
            <v>197.95823310130822</v>
          </cell>
          <cell r="AD452">
            <v>82.158273967894274</v>
          </cell>
          <cell r="AI452">
            <v>19.098560088704513</v>
          </cell>
          <cell r="AM452">
            <v>421</v>
          </cell>
          <cell r="AN452">
            <v>0.52560719172640802</v>
          </cell>
        </row>
        <row r="453">
          <cell r="R453">
            <v>421</v>
          </cell>
          <cell r="S453">
            <v>1.4941629999999999</v>
          </cell>
          <cell r="Z453">
            <v>421</v>
          </cell>
          <cell r="AA453">
            <v>139.53264634287478</v>
          </cell>
          <cell r="AC453">
            <v>197.20276792571102</v>
          </cell>
          <cell r="AD453">
            <v>81.862524760038553</v>
          </cell>
          <cell r="AI453">
            <v>15.247862004227249</v>
          </cell>
          <cell r="AM453">
            <v>422</v>
          </cell>
          <cell r="AN453">
            <v>0.52560719172643644</v>
          </cell>
        </row>
        <row r="454">
          <cell r="R454">
            <v>422</v>
          </cell>
          <cell r="S454">
            <v>1.4901979999999999</v>
          </cell>
          <cell r="Z454">
            <v>422</v>
          </cell>
          <cell r="AA454">
            <v>139.00703915114838</v>
          </cell>
          <cell r="AC454">
            <v>196.44735374378556</v>
          </cell>
          <cell r="AD454">
            <v>81.566724558511197</v>
          </cell>
          <cell r="AI454">
            <v>11.397163919749985</v>
          </cell>
          <cell r="AM454">
            <v>423</v>
          </cell>
          <cell r="AN454">
            <v>0.52560719172643644</v>
          </cell>
        </row>
        <row r="455">
          <cell r="R455">
            <v>423</v>
          </cell>
          <cell r="S455">
            <v>1.478898</v>
          </cell>
          <cell r="Z455">
            <v>423</v>
          </cell>
          <cell r="AA455">
            <v>138.48143195942194</v>
          </cell>
          <cell r="AC455">
            <v>195.69199117003583</v>
          </cell>
          <cell r="AD455">
            <v>81.270872748808046</v>
          </cell>
          <cell r="AI455">
            <v>8.6130807067006572</v>
          </cell>
          <cell r="AM455">
            <v>424</v>
          </cell>
          <cell r="AN455">
            <v>0.52560719172643644</v>
          </cell>
        </row>
        <row r="456">
          <cell r="R456">
            <v>424</v>
          </cell>
          <cell r="S456">
            <v>1.4726589999999999</v>
          </cell>
          <cell r="Z456">
            <v>424</v>
          </cell>
          <cell r="AA456">
            <v>137.9558247676955</v>
          </cell>
          <cell r="AC456">
            <v>194.93668082873751</v>
          </cell>
          <cell r="AD456">
            <v>80.974968706653485</v>
          </cell>
          <cell r="AI456">
            <v>7.9241632819001433</v>
          </cell>
          <cell r="AM456">
            <v>425</v>
          </cell>
          <cell r="AN456">
            <v>0.52560719172643644</v>
          </cell>
        </row>
        <row r="457">
          <cell r="R457">
            <v>425</v>
          </cell>
          <cell r="S457">
            <v>1.463327</v>
          </cell>
          <cell r="Z457">
            <v>425</v>
          </cell>
          <cell r="AA457">
            <v>137.43021757596907</v>
          </cell>
          <cell r="AC457">
            <v>194.18142335413057</v>
          </cell>
          <cell r="AD457">
            <v>80.679011797807561</v>
          </cell>
          <cell r="AI457">
            <v>7.2907287142508723</v>
          </cell>
          <cell r="AM457">
            <v>426</v>
          </cell>
          <cell r="AN457">
            <v>0.52560719172643644</v>
          </cell>
        </row>
        <row r="458">
          <cell r="R458">
            <v>426</v>
          </cell>
          <cell r="S458">
            <v>1.456053</v>
          </cell>
          <cell r="Z458">
            <v>426</v>
          </cell>
          <cell r="AA458">
            <v>136.90461038424263</v>
          </cell>
          <cell r="AC458">
            <v>193.42621939061547</v>
          </cell>
          <cell r="AD458">
            <v>80.383001377869789</v>
          </cell>
          <cell r="AI458">
            <v>5.644194403303441</v>
          </cell>
          <cell r="AM458">
            <v>427</v>
          </cell>
          <cell r="AN458">
            <v>0.52560719172643644</v>
          </cell>
        </row>
        <row r="459">
          <cell r="R459">
            <v>427</v>
          </cell>
          <cell r="S459">
            <v>0.47627799999999998</v>
          </cell>
          <cell r="Z459">
            <v>427</v>
          </cell>
          <cell r="AA459">
            <v>136.37900319251619</v>
          </cell>
          <cell r="AC459">
            <v>192.67106959295432</v>
          </cell>
          <cell r="AD459">
            <v>80.086936792078063</v>
          </cell>
          <cell r="AI459">
            <v>3.5954803246079443</v>
          </cell>
          <cell r="AM459">
            <v>428</v>
          </cell>
          <cell r="AN459">
            <v>0.52560719172640802</v>
          </cell>
        </row>
        <row r="460">
          <cell r="R460">
            <v>428</v>
          </cell>
          <cell r="S460">
            <v>1.641707</v>
          </cell>
          <cell r="Z460">
            <v>428</v>
          </cell>
          <cell r="AA460">
            <v>135.85339600078976</v>
          </cell>
          <cell r="AC460">
            <v>191.91597462647721</v>
          </cell>
          <cell r="AD460">
            <v>79.790817375102307</v>
          </cell>
          <cell r="AI460">
            <v>4.3460669636255016</v>
          </cell>
          <cell r="AM460">
            <v>429</v>
          </cell>
          <cell r="AN460">
            <v>0.52560719172643644</v>
          </cell>
        </row>
        <row r="461">
          <cell r="R461">
            <v>429</v>
          </cell>
          <cell r="S461">
            <v>1.703986</v>
          </cell>
          <cell r="Z461">
            <v>429</v>
          </cell>
          <cell r="AA461">
            <v>135.32778880906335</v>
          </cell>
          <cell r="AC461">
            <v>191.16093516729262</v>
          </cell>
          <cell r="AD461">
            <v>79.494642450834064</v>
          </cell>
          <cell r="AI461">
            <v>5.1634000917145917</v>
          </cell>
          <cell r="AM461">
            <v>430</v>
          </cell>
          <cell r="AN461">
            <v>0.52560719172643644</v>
          </cell>
        </row>
        <row r="462">
          <cell r="R462">
            <v>430</v>
          </cell>
          <cell r="S462">
            <v>1.5475190000000001</v>
          </cell>
          <cell r="Z462">
            <v>430</v>
          </cell>
          <cell r="AA462">
            <v>134.80218161733691</v>
          </cell>
          <cell r="AC462">
            <v>190.40595190250306</v>
          </cell>
          <cell r="AD462">
            <v>79.198411332170764</v>
          </cell>
          <cell r="AI462">
            <v>5.9807332198036827</v>
          </cell>
          <cell r="AM462">
            <v>431</v>
          </cell>
          <cell r="AN462">
            <v>0.52560719172643644</v>
          </cell>
        </row>
        <row r="463">
          <cell r="R463">
            <v>431</v>
          </cell>
          <cell r="S463">
            <v>1.7663009999999999</v>
          </cell>
          <cell r="Z463">
            <v>431</v>
          </cell>
          <cell r="AA463">
            <v>134.27657442561048</v>
          </cell>
          <cell r="AC463">
            <v>189.65102553042595</v>
          </cell>
          <cell r="AD463">
            <v>78.902123320794999</v>
          </cell>
          <cell r="AI463">
            <v>6.7980663478927736</v>
          </cell>
          <cell r="AM463">
            <v>432</v>
          </cell>
          <cell r="AN463">
            <v>0.52560719172643644</v>
          </cell>
        </row>
        <row r="464">
          <cell r="R464">
            <v>432</v>
          </cell>
          <cell r="S464">
            <v>1.517617</v>
          </cell>
          <cell r="Z464">
            <v>432</v>
          </cell>
          <cell r="AA464">
            <v>133.75096723388404</v>
          </cell>
          <cell r="AC464">
            <v>188.89615676081996</v>
          </cell>
          <cell r="AD464">
            <v>78.605777706948132</v>
          </cell>
          <cell r="AI464">
            <v>7.1280705823479558</v>
          </cell>
          <cell r="AM464">
            <v>433</v>
          </cell>
          <cell r="AN464">
            <v>0.52560719172643644</v>
          </cell>
        </row>
        <row r="465">
          <cell r="R465">
            <v>433</v>
          </cell>
          <cell r="S465">
            <v>1.7445539999999999</v>
          </cell>
          <cell r="Z465">
            <v>433</v>
          </cell>
          <cell r="AA465">
            <v>133.2253600421576</v>
          </cell>
          <cell r="AC465">
            <v>188.1413463151161</v>
          </cell>
          <cell r="AD465">
            <v>78.309373769199098</v>
          </cell>
          <cell r="AI465">
            <v>7.2247619894756596</v>
          </cell>
          <cell r="AM465">
            <v>434</v>
          </cell>
          <cell r="AN465">
            <v>0.52757065751785603</v>
          </cell>
        </row>
        <row r="466">
          <cell r="R466">
            <v>434</v>
          </cell>
          <cell r="S466">
            <v>1.503941</v>
          </cell>
          <cell r="Z466">
            <v>434</v>
          </cell>
          <cell r="AA466">
            <v>132.69975285043117</v>
          </cell>
          <cell r="AC466">
            <v>187.38659492665522</v>
          </cell>
          <cell r="AD466">
            <v>78.012910774207114</v>
          </cell>
          <cell r="AI466">
            <v>8.594869830550957</v>
          </cell>
          <cell r="AM466">
            <v>435</v>
          </cell>
          <cell r="AN466">
            <v>0.53138164480279215</v>
          </cell>
        </row>
        <row r="467">
          <cell r="R467">
            <v>435</v>
          </cell>
          <cell r="S467">
            <v>1.6674360000000001</v>
          </cell>
          <cell r="Z467">
            <v>435</v>
          </cell>
          <cell r="AA467">
            <v>132.17218219291331</v>
          </cell>
          <cell r="AC467">
            <v>186.63103866813623</v>
          </cell>
          <cell r="AD467">
            <v>77.713325717690395</v>
          </cell>
          <cell r="AI467">
            <v>9.5060320838747927</v>
          </cell>
          <cell r="AM467">
            <v>436</v>
          </cell>
          <cell r="AN467">
            <v>0.52999993709150317</v>
          </cell>
        </row>
        <row r="468">
          <cell r="R468">
            <v>436</v>
          </cell>
          <cell r="S468">
            <v>1.5010870000000001</v>
          </cell>
          <cell r="Z468">
            <v>436</v>
          </cell>
          <cell r="AA468">
            <v>131.64080054811052</v>
          </cell>
          <cell r="AC468">
            <v>185.87388191431319</v>
          </cell>
          <cell r="AD468">
            <v>77.407719181907865</v>
          </cell>
          <cell r="AI468">
            <v>9.4748168703068938</v>
          </cell>
          <cell r="AM468">
            <v>437</v>
          </cell>
          <cell r="AN468">
            <v>0.52710888038765802</v>
          </cell>
        </row>
        <row r="469">
          <cell r="R469">
            <v>437</v>
          </cell>
          <cell r="S469">
            <v>1.5945339999999999</v>
          </cell>
          <cell r="Z469">
            <v>437</v>
          </cell>
          <cell r="AA469">
            <v>131.11080061101902</v>
          </cell>
          <cell r="AC469">
            <v>185.11717100541784</v>
          </cell>
          <cell r="AD469">
            <v>77.104430216620187</v>
          </cell>
          <cell r="AI469">
            <v>9.4200583555948594</v>
          </cell>
          <cell r="AM469">
            <v>438</v>
          </cell>
          <cell r="AN469">
            <v>0.52703341859347574</v>
          </cell>
        </row>
        <row r="470">
          <cell r="R470">
            <v>438</v>
          </cell>
          <cell r="S470">
            <v>1.507063</v>
          </cell>
          <cell r="Z470">
            <v>438</v>
          </cell>
          <cell r="AA470">
            <v>130.58369173063136</v>
          </cell>
          <cell r="AC470">
            <v>184.36134389895815</v>
          </cell>
          <cell r="AD470">
            <v>76.806039562304562</v>
          </cell>
          <cell r="AI470">
            <v>9.3652998408828232</v>
          </cell>
          <cell r="AM470">
            <v>439</v>
          </cell>
          <cell r="AN470">
            <v>0.52703341859344732</v>
          </cell>
        </row>
        <row r="471">
          <cell r="R471">
            <v>439</v>
          </cell>
          <cell r="S471">
            <v>1.5275619999999999</v>
          </cell>
          <cell r="Z471">
            <v>439</v>
          </cell>
          <cell r="AA471">
            <v>130.05665831203788</v>
          </cell>
          <cell r="AC471">
            <v>183.60564458747169</v>
          </cell>
          <cell r="AD471">
            <v>76.507672036604077</v>
          </cell>
          <cell r="AI471">
            <v>9.3105413261707888</v>
          </cell>
          <cell r="AM471">
            <v>440</v>
          </cell>
          <cell r="AN471">
            <v>0.52703341859344732</v>
          </cell>
        </row>
        <row r="472">
          <cell r="R472">
            <v>440</v>
          </cell>
          <cell r="S472">
            <v>1.532011</v>
          </cell>
          <cell r="Z472">
            <v>440</v>
          </cell>
          <cell r="AA472">
            <v>129.52962489344443</v>
          </cell>
          <cell r="AC472">
            <v>182.85005398956673</v>
          </cell>
          <cell r="AD472">
            <v>76.209195797322153</v>
          </cell>
          <cell r="AI472">
            <v>8.5762690277086282</v>
          </cell>
          <cell r="AM472">
            <v>441</v>
          </cell>
          <cell r="AN472">
            <v>0.52703341859347574</v>
          </cell>
        </row>
        <row r="473">
          <cell r="R473">
            <v>441</v>
          </cell>
          <cell r="S473">
            <v>1.4820259999999998</v>
          </cell>
          <cell r="Z473">
            <v>441</v>
          </cell>
          <cell r="AA473">
            <v>129.00259147485099</v>
          </cell>
          <cell r="AC473">
            <v>182.09457350925598</v>
          </cell>
          <cell r="AD473">
            <v>75.910609440445995</v>
          </cell>
          <cell r="AI473">
            <v>7.3392429489127444</v>
          </cell>
          <cell r="AM473">
            <v>442</v>
          </cell>
          <cell r="AN473">
            <v>0.52703341859344732</v>
          </cell>
        </row>
        <row r="474">
          <cell r="R474">
            <v>442</v>
          </cell>
          <cell r="S474">
            <v>1.5322789999999999</v>
          </cell>
          <cell r="Z474">
            <v>442</v>
          </cell>
          <cell r="AA474">
            <v>128.47555805625751</v>
          </cell>
          <cell r="AC474">
            <v>181.3392045741389</v>
          </cell>
          <cell r="AD474">
            <v>75.61191153837612</v>
          </cell>
          <cell r="AI474">
            <v>7.5369688975970242</v>
          </cell>
          <cell r="AM474">
            <v>443</v>
          </cell>
          <cell r="AN474">
            <v>0.52703341859346153</v>
          </cell>
        </row>
        <row r="475">
          <cell r="R475">
            <v>443</v>
          </cell>
          <cell r="S475">
            <v>1.4580489999999999</v>
          </cell>
          <cell r="Z475">
            <v>443</v>
          </cell>
          <cell r="AA475">
            <v>127.94852463766406</v>
          </cell>
          <cell r="AC475">
            <v>180.58394863588427</v>
          </cell>
          <cell r="AD475">
            <v>75.313100639443874</v>
          </cell>
          <cell r="AI475">
            <v>7.7689728026809846</v>
          </cell>
          <cell r="AM475">
            <v>444</v>
          </cell>
          <cell r="AN475">
            <v>0.52805933371946878</v>
          </cell>
        </row>
        <row r="476">
          <cell r="R476">
            <v>444</v>
          </cell>
          <cell r="S476">
            <v>1.513366</v>
          </cell>
          <cell r="Z476">
            <v>444</v>
          </cell>
          <cell r="AA476">
            <v>127.4214912190706</v>
          </cell>
          <cell r="AC476">
            <v>179.82880717072271</v>
          </cell>
          <cell r="AD476">
            <v>75.014175267418508</v>
          </cell>
          <cell r="AI476">
            <v>8.0009767077649432</v>
          </cell>
          <cell r="AM476">
            <v>445</v>
          </cell>
          <cell r="AN476">
            <v>0.53251032505353635</v>
          </cell>
        </row>
        <row r="477">
          <cell r="R477">
            <v>445</v>
          </cell>
          <cell r="S477">
            <v>1.4417180000000001</v>
          </cell>
          <cell r="Z477">
            <v>445</v>
          </cell>
          <cell r="AA477">
            <v>126.89343188535113</v>
          </cell>
          <cell r="AC477">
            <v>179.0716619190851</v>
          </cell>
          <cell r="AD477">
            <v>74.715201851617181</v>
          </cell>
          <cell r="AI477">
            <v>8.2329806128489</v>
          </cell>
          <cell r="AM477">
            <v>446</v>
          </cell>
          <cell r="AN477">
            <v>0.53758886132453654</v>
          </cell>
        </row>
        <row r="478">
          <cell r="R478">
            <v>446</v>
          </cell>
          <cell r="S478">
            <v>1.4856009999999999</v>
          </cell>
          <cell r="Z478">
            <v>446</v>
          </cell>
          <cell r="AA478">
            <v>126.3609215602976</v>
          </cell>
          <cell r="AC478">
            <v>178.30305121828846</v>
          </cell>
          <cell r="AD478">
            <v>74.418791902306737</v>
          </cell>
          <cell r="AI478">
            <v>8.4649845179328604</v>
          </cell>
          <cell r="AM478">
            <v>447</v>
          </cell>
          <cell r="AN478">
            <v>0.53771835291477998</v>
          </cell>
        </row>
        <row r="479">
          <cell r="R479">
            <v>447</v>
          </cell>
          <cell r="S479">
            <v>1.4303509999999999</v>
          </cell>
          <cell r="Z479">
            <v>447</v>
          </cell>
          <cell r="AA479">
            <v>125.82333269897306</v>
          </cell>
          <cell r="AC479">
            <v>177.51951319137692</v>
          </cell>
          <cell r="AD479">
            <v>74.127152206569207</v>
          </cell>
          <cell r="AI479">
            <v>8.6969884230168173</v>
          </cell>
          <cell r="AM479">
            <v>448</v>
          </cell>
          <cell r="AN479">
            <v>0.5377183529147942</v>
          </cell>
        </row>
        <row r="480">
          <cell r="R480">
            <v>448</v>
          </cell>
          <cell r="S480">
            <v>1.4590939999999999</v>
          </cell>
          <cell r="Z480">
            <v>448</v>
          </cell>
          <cell r="AA480">
            <v>125.28561434605828</v>
          </cell>
          <cell r="AC480">
            <v>176.73573075468195</v>
          </cell>
          <cell r="AD480">
            <v>73.83549793743461</v>
          </cell>
          <cell r="AI480">
            <v>8.5775350018472718</v>
          </cell>
          <cell r="AM480">
            <v>449</v>
          </cell>
          <cell r="AN480">
            <v>0.53718379239418823</v>
          </cell>
        </row>
        <row r="481">
          <cell r="R481">
            <v>449</v>
          </cell>
          <cell r="S481">
            <v>1.424525</v>
          </cell>
          <cell r="Z481">
            <v>449</v>
          </cell>
          <cell r="AA481">
            <v>124.74789599314349</v>
          </cell>
          <cell r="AC481">
            <v>175.95209096269599</v>
          </cell>
          <cell r="AD481">
            <v>73.543701023590998</v>
          </cell>
          <cell r="AI481">
            <v>7.7791454696618203</v>
          </cell>
          <cell r="AM481">
            <v>450</v>
          </cell>
          <cell r="AN481">
            <v>0.53614374696593359</v>
          </cell>
        </row>
        <row r="482">
          <cell r="R482">
            <v>450</v>
          </cell>
          <cell r="S482">
            <v>1.4189699999999998</v>
          </cell>
          <cell r="Z482">
            <v>450</v>
          </cell>
          <cell r="AA482">
            <v>124.2107122007493</v>
          </cell>
          <cell r="AC482">
            <v>175.16858000214989</v>
          </cell>
          <cell r="AD482">
            <v>73.252844399348717</v>
          </cell>
          <cell r="AI482">
            <v>5.5644701545037085</v>
          </cell>
          <cell r="AM482">
            <v>451</v>
          </cell>
          <cell r="AN482">
            <v>0.53611695541050608</v>
          </cell>
        </row>
        <row r="483">
          <cell r="R483">
            <v>451</v>
          </cell>
          <cell r="S483">
            <v>1.403311</v>
          </cell>
          <cell r="Z483">
            <v>451</v>
          </cell>
          <cell r="AA483">
            <v>123.67456845378337</v>
          </cell>
          <cell r="AC483">
            <v>174.38518883049861</v>
          </cell>
          <cell r="AD483">
            <v>72.963948077068125</v>
          </cell>
          <cell r="AI483">
            <v>4.1404931116430079</v>
          </cell>
          <cell r="AM483">
            <v>452</v>
          </cell>
          <cell r="AN483">
            <v>0.53611695541043503</v>
          </cell>
        </row>
        <row r="484">
          <cell r="R484">
            <v>452</v>
          </cell>
          <cell r="S484">
            <v>1.4139390000000001</v>
          </cell>
          <cell r="Z484">
            <v>452</v>
          </cell>
          <cell r="AA484">
            <v>123.13845149837286</v>
          </cell>
          <cell r="AC484">
            <v>173.60195177935597</v>
          </cell>
          <cell r="AD484">
            <v>72.674951217389747</v>
          </cell>
          <cell r="AI484">
            <v>9.3158528780443621</v>
          </cell>
          <cell r="AM484">
            <v>453</v>
          </cell>
          <cell r="AN484">
            <v>0.53611695541050608</v>
          </cell>
        </row>
        <row r="485">
          <cell r="R485">
            <v>453</v>
          </cell>
          <cell r="S485">
            <v>1.3939810000000001</v>
          </cell>
          <cell r="Z485">
            <v>453</v>
          </cell>
          <cell r="AA485">
            <v>122.60233454296242</v>
          </cell>
          <cell r="AC485">
            <v>172.81887193066251</v>
          </cell>
          <cell r="AD485">
            <v>72.385797155262338</v>
          </cell>
          <cell r="AI485">
            <v>13.177354947287268</v>
          </cell>
          <cell r="AM485">
            <v>454</v>
          </cell>
          <cell r="AN485">
            <v>0.53611695541046345</v>
          </cell>
        </row>
        <row r="486">
          <cell r="R486">
            <v>454</v>
          </cell>
          <cell r="S486">
            <v>1.388879</v>
          </cell>
          <cell r="Z486">
            <v>454</v>
          </cell>
          <cell r="AA486">
            <v>122.06621758755192</v>
          </cell>
          <cell r="AC486">
            <v>172.03595161521969</v>
          </cell>
          <cell r="AD486">
            <v>72.096483559884149</v>
          </cell>
          <cell r="AI486">
            <v>14.169582538006892</v>
          </cell>
          <cell r="AM486">
            <v>455</v>
          </cell>
          <cell r="AN486">
            <v>0.53611695541049187</v>
          </cell>
        </row>
        <row r="487">
          <cell r="R487">
            <v>455</v>
          </cell>
          <cell r="S487">
            <v>0.108877</v>
          </cell>
          <cell r="Z487">
            <v>455</v>
          </cell>
          <cell r="AA487">
            <v>121.53010063214145</v>
          </cell>
          <cell r="AC487">
            <v>171.25319320858409</v>
          </cell>
          <cell r="AD487">
            <v>71.807008055698802</v>
          </cell>
          <cell r="AI487">
            <v>13.996051276363232</v>
          </cell>
          <cell r="AM487">
            <v>456</v>
          </cell>
          <cell r="AN487">
            <v>0.53611695541046345</v>
          </cell>
        </row>
        <row r="488">
          <cell r="R488">
            <v>456</v>
          </cell>
          <cell r="S488">
            <v>1.4786409999999999</v>
          </cell>
          <cell r="Z488">
            <v>456</v>
          </cell>
          <cell r="AA488">
            <v>120.99398367673096</v>
          </cell>
          <cell r="AC488">
            <v>170.4705991321074</v>
          </cell>
          <cell r="AD488">
            <v>71.517368221354531</v>
          </cell>
          <cell r="AI488">
            <v>11.758584992078495</v>
          </cell>
          <cell r="AM488">
            <v>457</v>
          </cell>
          <cell r="AN488">
            <v>0.53611695541047766</v>
          </cell>
        </row>
        <row r="489">
          <cell r="R489">
            <v>457</v>
          </cell>
          <cell r="S489">
            <v>1.737757</v>
          </cell>
          <cell r="Z489">
            <v>457</v>
          </cell>
          <cell r="AA489">
            <v>120.4578667213205</v>
          </cell>
          <cell r="AC489">
            <v>169.68817185400229</v>
          </cell>
          <cell r="AD489">
            <v>71.227561588638721</v>
          </cell>
          <cell r="AI489">
            <v>9.472503905143002</v>
          </cell>
          <cell r="AM489">
            <v>458</v>
          </cell>
          <cell r="AN489">
            <v>0.53611695541047766</v>
          </cell>
        </row>
        <row r="490">
          <cell r="R490">
            <v>458</v>
          </cell>
          <cell r="S490">
            <v>1.342643</v>
          </cell>
          <cell r="Z490">
            <v>458</v>
          </cell>
          <cell r="AA490">
            <v>119.92174976591002</v>
          </cell>
          <cell r="AC490">
            <v>168.90591389043888</v>
          </cell>
          <cell r="AD490">
            <v>70.937585641381162</v>
          </cell>
          <cell r="AI490">
            <v>6.6187490253277543</v>
          </cell>
          <cell r="AM490">
            <v>459</v>
          </cell>
          <cell r="AN490">
            <v>0.53611695541047766</v>
          </cell>
        </row>
        <row r="491">
          <cell r="R491">
            <v>459</v>
          </cell>
          <cell r="S491">
            <v>1.558427</v>
          </cell>
          <cell r="Z491">
            <v>459</v>
          </cell>
          <cell r="AA491">
            <v>119.38563281049954</v>
          </cell>
          <cell r="AC491">
            <v>168.12382780666942</v>
          </cell>
          <cell r="AD491">
            <v>70.647437814329663</v>
          </cell>
          <cell r="AI491">
            <v>2.6944118321093136</v>
          </cell>
          <cell r="AM491">
            <v>460</v>
          </cell>
          <cell r="AN491">
            <v>0.53611695541047766</v>
          </cell>
        </row>
        <row r="492">
          <cell r="R492">
            <v>460</v>
          </cell>
          <cell r="S492">
            <v>1.3853710000000001</v>
          </cell>
          <cell r="Z492">
            <v>460</v>
          </cell>
          <cell r="AA492">
            <v>118.84951585508907</v>
          </cell>
          <cell r="AC492">
            <v>167.34191621818348</v>
          </cell>
          <cell r="AD492">
            <v>70.357115491994662</v>
          </cell>
          <cell r="AI492">
            <v>0.55441471878844617</v>
          </cell>
          <cell r="AM492">
            <v>461</v>
          </cell>
          <cell r="AN492">
            <v>0.53321410424014459</v>
          </cell>
        </row>
        <row r="493">
          <cell r="R493">
            <v>461</v>
          </cell>
          <cell r="S493">
            <v>1.409389</v>
          </cell>
          <cell r="Z493">
            <v>461</v>
          </cell>
          <cell r="AA493">
            <v>118.31339889967859</v>
          </cell>
          <cell r="AC493">
            <v>166.56018179189493</v>
          </cell>
          <cell r="AD493">
            <v>70.066616007462244</v>
          </cell>
          <cell r="AI493">
            <v>1.926511303775462</v>
          </cell>
          <cell r="AM493">
            <v>462</v>
          </cell>
          <cell r="AN493">
            <v>0.52763966776154803</v>
          </cell>
        </row>
        <row r="494">
          <cell r="R494">
            <v>462</v>
          </cell>
          <cell r="S494">
            <v>1.470515</v>
          </cell>
          <cell r="Z494">
            <v>462</v>
          </cell>
          <cell r="AA494">
            <v>117.78018479543844</v>
          </cell>
          <cell r="AC494">
            <v>165.78625040752911</v>
          </cell>
          <cell r="AD494">
            <v>69.774119183347793</v>
          </cell>
          <cell r="AI494">
            <v>3.3884496319886233</v>
          </cell>
          <cell r="AM494">
            <v>463</v>
          </cell>
          <cell r="AN494">
            <v>0.52750148219274706</v>
          </cell>
        </row>
        <row r="495">
          <cell r="R495">
            <v>463</v>
          </cell>
          <cell r="S495">
            <v>1.401831</v>
          </cell>
          <cell r="Z495">
            <v>463</v>
          </cell>
          <cell r="AA495">
            <v>117.2525451276769</v>
          </cell>
          <cell r="AC495">
            <v>165.02714627805818</v>
          </cell>
          <cell r="AD495">
            <v>69.477943977295595</v>
          </cell>
          <cell r="AI495">
            <v>2.8955233643872451</v>
          </cell>
          <cell r="AM495">
            <v>464</v>
          </cell>
          <cell r="AN495">
            <v>0.52750148219276127</v>
          </cell>
        </row>
        <row r="496">
          <cell r="R496">
            <v>464</v>
          </cell>
          <cell r="S496">
            <v>1.4815070000000001</v>
          </cell>
          <cell r="Z496">
            <v>464</v>
          </cell>
          <cell r="AA496">
            <v>116.72504364548415</v>
          </cell>
          <cell r="AC496">
            <v>164.26859913228776</v>
          </cell>
          <cell r="AD496">
            <v>69.181488158680523</v>
          </cell>
          <cell r="AI496">
            <v>0.38675134808804662</v>
          </cell>
          <cell r="AM496">
            <v>465</v>
          </cell>
          <cell r="AN496">
            <v>0.52750148219274706</v>
          </cell>
        </row>
        <row r="497">
          <cell r="R497">
            <v>465</v>
          </cell>
          <cell r="S497">
            <v>1.3569150000000001</v>
          </cell>
          <cell r="Z497">
            <v>465</v>
          </cell>
          <cell r="AA497">
            <v>116.19754216329139</v>
          </cell>
          <cell r="AC497">
            <v>163.51024890381709</v>
          </cell>
          <cell r="AD497">
            <v>68.88483542276569</v>
          </cell>
          <cell r="AI497">
            <v>1.2369363901841892</v>
          </cell>
          <cell r="AM497">
            <v>466</v>
          </cell>
          <cell r="AN497">
            <v>0.51122321091416723</v>
          </cell>
        </row>
        <row r="498">
          <cell r="R498">
            <v>466</v>
          </cell>
          <cell r="S498">
            <v>1.481636</v>
          </cell>
          <cell r="Z498">
            <v>466</v>
          </cell>
          <cell r="AA498">
            <v>115.67004068109864</v>
          </cell>
          <cell r="AC498">
            <v>162.75209848917078</v>
          </cell>
          <cell r="AD498">
            <v>68.587982873026505</v>
          </cell>
          <cell r="AI498">
            <v>2.1758384305959502</v>
          </cell>
          <cell r="AM498">
            <v>467</v>
          </cell>
          <cell r="AN498">
            <v>0.47930721285274558</v>
          </cell>
        </row>
        <row r="499">
          <cell r="R499">
            <v>467</v>
          </cell>
          <cell r="S499">
            <v>1.335958</v>
          </cell>
          <cell r="Z499">
            <v>467</v>
          </cell>
          <cell r="AA499">
            <v>115.15881747018447</v>
          </cell>
          <cell r="AC499">
            <v>162.00031680814232</v>
          </cell>
          <cell r="AD499">
            <v>68.317318132226632</v>
          </cell>
          <cell r="AI499">
            <v>3.1147404710077109</v>
          </cell>
          <cell r="AM499">
            <v>468</v>
          </cell>
          <cell r="AN499">
            <v>0.47846654829882596</v>
          </cell>
        </row>
        <row r="500">
          <cell r="R500">
            <v>468</v>
          </cell>
          <cell r="S500">
            <v>1.467068</v>
          </cell>
          <cell r="Z500">
            <v>468</v>
          </cell>
          <cell r="AA500">
            <v>114.67951025733173</v>
          </cell>
          <cell r="AC500">
            <v>161.26101957648538</v>
          </cell>
          <cell r="AD500">
            <v>68.098000938178075</v>
          </cell>
          <cell r="AI500">
            <v>2.4852304078908243</v>
          </cell>
          <cell r="AM500">
            <v>469</v>
          </cell>
          <cell r="AN500">
            <v>0.47846654829882596</v>
          </cell>
        </row>
        <row r="501">
          <cell r="R501">
            <v>469</v>
          </cell>
          <cell r="S501">
            <v>1.314584</v>
          </cell>
          <cell r="Z501">
            <v>469</v>
          </cell>
          <cell r="AA501">
            <v>114.2010437090329</v>
          </cell>
          <cell r="AC501">
            <v>160.52254956941439</v>
          </cell>
          <cell r="AD501">
            <v>67.87953784865141</v>
          </cell>
          <cell r="AI501">
            <v>0.31271954333671087</v>
          </cell>
          <cell r="AM501">
            <v>470</v>
          </cell>
          <cell r="AN501">
            <v>0.47846654829882596</v>
          </cell>
        </row>
        <row r="502">
          <cell r="R502">
            <v>470</v>
          </cell>
          <cell r="S502">
            <v>1.4450879999999999</v>
          </cell>
          <cell r="Z502">
            <v>470</v>
          </cell>
          <cell r="AA502">
            <v>113.72257716073408</v>
          </cell>
          <cell r="AC502">
            <v>159.78459589884966</v>
          </cell>
          <cell r="AD502">
            <v>67.660558422618493</v>
          </cell>
          <cell r="AI502">
            <v>0.98632451335172977</v>
          </cell>
          <cell r="AM502">
            <v>471</v>
          </cell>
          <cell r="AN502">
            <v>0.47846654829884017</v>
          </cell>
        </row>
        <row r="503">
          <cell r="R503">
            <v>471</v>
          </cell>
          <cell r="S503">
            <v>1.2983609999999999</v>
          </cell>
          <cell r="Z503">
            <v>471</v>
          </cell>
          <cell r="AA503">
            <v>113.24411061243525</v>
          </cell>
          <cell r="AC503">
            <v>159.04716734036398</v>
          </cell>
          <cell r="AD503">
            <v>67.441053884506516</v>
          </cell>
          <cell r="AI503">
            <v>1.7349983551743315</v>
          </cell>
          <cell r="AM503">
            <v>472</v>
          </cell>
          <cell r="AN503">
            <v>0.47846654829882596</v>
          </cell>
        </row>
        <row r="504">
          <cell r="R504">
            <v>472</v>
          </cell>
          <cell r="S504">
            <v>1.425732</v>
          </cell>
          <cell r="Z504">
            <v>472</v>
          </cell>
          <cell r="AA504">
            <v>112.76564406413641</v>
          </cell>
          <cell r="AC504">
            <v>158.31027285115596</v>
          </cell>
          <cell r="AD504">
            <v>67.221015277116848</v>
          </cell>
          <cell r="AI504">
            <v>2.4836721969969333</v>
          </cell>
          <cell r="AM504">
            <v>473</v>
          </cell>
          <cell r="AN504">
            <v>0.47846654829884017</v>
          </cell>
        </row>
        <row r="505">
          <cell r="R505">
            <v>473</v>
          </cell>
          <cell r="S505">
            <v>1.2834859999999999</v>
          </cell>
          <cell r="Z505">
            <v>473</v>
          </cell>
          <cell r="AA505">
            <v>112.28717751583758</v>
          </cell>
          <cell r="AC505">
            <v>157.5739215741948</v>
          </cell>
          <cell r="AD505">
            <v>67.000433457480355</v>
          </cell>
          <cell r="AI505">
            <v>1.9590393246351867</v>
          </cell>
          <cell r="AM505">
            <v>474</v>
          </cell>
          <cell r="AN505">
            <v>0.47846654829881174</v>
          </cell>
        </row>
        <row r="506">
          <cell r="R506">
            <v>474</v>
          </cell>
          <cell r="S506">
            <v>1.4086159999999999</v>
          </cell>
          <cell r="Z506">
            <v>474</v>
          </cell>
          <cell r="AA506">
            <v>111.80871096753874</v>
          </cell>
          <cell r="AC506">
            <v>156.83812284245769</v>
          </cell>
          <cell r="AD506">
            <v>66.779299092619794</v>
          </cell>
          <cell r="AI506">
            <v>0.34337486373075193</v>
          </cell>
          <cell r="AM506">
            <v>475</v>
          </cell>
          <cell r="AN506">
            <v>0.47846654829882596</v>
          </cell>
        </row>
        <row r="507">
          <cell r="R507">
            <v>475</v>
          </cell>
          <cell r="S507">
            <v>1.2494350000000001</v>
          </cell>
          <cell r="Z507">
            <v>475</v>
          </cell>
          <cell r="AA507">
            <v>111.33024441923993</v>
          </cell>
          <cell r="AC507">
            <v>156.10288618325941</v>
          </cell>
          <cell r="AD507">
            <v>66.55760265522045</v>
          </cell>
          <cell r="AI507">
            <v>1.1587876862559177</v>
          </cell>
          <cell r="AM507">
            <v>476</v>
          </cell>
          <cell r="AN507">
            <v>0.47846654829884017</v>
          </cell>
        </row>
        <row r="508">
          <cell r="R508">
            <v>476</v>
          </cell>
          <cell r="S508">
            <v>1.379632</v>
          </cell>
          <cell r="Z508">
            <v>476</v>
          </cell>
          <cell r="AA508">
            <v>110.85177787094111</v>
          </cell>
          <cell r="AC508">
            <v>155.36822132267648</v>
          </cell>
          <cell r="AD508">
            <v>66.335334419205736</v>
          </cell>
          <cell r="AI508">
            <v>2.0330365204033236</v>
          </cell>
          <cell r="AM508">
            <v>477</v>
          </cell>
          <cell r="AN508">
            <v>0.47846654829881174</v>
          </cell>
        </row>
        <row r="509">
          <cell r="R509">
            <v>477</v>
          </cell>
          <cell r="S509">
            <v>1.2435290000000001</v>
          </cell>
          <cell r="Z509">
            <v>477</v>
          </cell>
          <cell r="AA509">
            <v>110.37331132264227</v>
          </cell>
          <cell r="AC509">
            <v>154.63413819006635</v>
          </cell>
          <cell r="AD509">
            <v>66.11248445521818</v>
          </cell>
          <cell r="AI509">
            <v>2.9072853545507296</v>
          </cell>
          <cell r="AM509">
            <v>478</v>
          </cell>
          <cell r="AN509">
            <v>0.47846654829882596</v>
          </cell>
        </row>
        <row r="510">
          <cell r="R510">
            <v>478</v>
          </cell>
          <cell r="S510">
            <v>1.3506969999999998</v>
          </cell>
          <cell r="Z510">
            <v>478</v>
          </cell>
          <cell r="AA510">
            <v>109.89484477434345</v>
          </cell>
          <cell r="AC510">
            <v>153.90064692268299</v>
          </cell>
          <cell r="AD510">
            <v>65.889042626003928</v>
          </cell>
          <cell r="AI510">
            <v>3.7815341886981351</v>
          </cell>
          <cell r="AM510">
            <v>479</v>
          </cell>
          <cell r="AN510">
            <v>0.47846654829882596</v>
          </cell>
        </row>
        <row r="511">
          <cell r="R511">
            <v>479</v>
          </cell>
          <cell r="S511">
            <v>1.236208</v>
          </cell>
          <cell r="Z511">
            <v>479</v>
          </cell>
          <cell r="AA511">
            <v>109.41637822604463</v>
          </cell>
          <cell r="AC511">
            <v>153.16775787039094</v>
          </cell>
          <cell r="AD511">
            <v>65.664998581698313</v>
          </cell>
          <cell r="AI511">
            <v>6.4513719091803923</v>
          </cell>
          <cell r="AM511">
            <v>480</v>
          </cell>
          <cell r="AN511">
            <v>0.47846654829885438</v>
          </cell>
        </row>
        <row r="512">
          <cell r="R512">
            <v>480</v>
          </cell>
          <cell r="S512">
            <v>1.3243960000000001</v>
          </cell>
          <cell r="Z512">
            <v>480</v>
          </cell>
          <cell r="AA512">
            <v>108.9379116777458</v>
          </cell>
          <cell r="AC512">
            <v>152.43548160047632</v>
          </cell>
          <cell r="AD512">
            <v>65.440341755015282</v>
          </cell>
          <cell r="AI512">
            <v>11.344501977657751</v>
          </cell>
          <cell r="AM512">
            <v>481</v>
          </cell>
          <cell r="AN512">
            <v>0.47846654829881174</v>
          </cell>
        </row>
        <row r="513">
          <cell r="R513">
            <v>481</v>
          </cell>
          <cell r="S513">
            <v>1.231176</v>
          </cell>
          <cell r="Z513">
            <v>481</v>
          </cell>
          <cell r="AA513">
            <v>108.45944512944695</v>
          </cell>
          <cell r="AC513">
            <v>151.70382890255848</v>
          </cell>
          <cell r="AD513">
            <v>65.215061356335397</v>
          </cell>
          <cell r="AI513">
            <v>13.594848022875636</v>
          </cell>
          <cell r="AM513">
            <v>482</v>
          </cell>
          <cell r="AN513">
            <v>0.47846654829882596</v>
          </cell>
        </row>
        <row r="514">
          <cell r="R514">
            <v>482</v>
          </cell>
          <cell r="S514">
            <v>1.2968010000000001</v>
          </cell>
          <cell r="Z514">
            <v>482</v>
          </cell>
          <cell r="AA514">
            <v>107.98097858114814</v>
          </cell>
          <cell r="AC514">
            <v>150.97281079360044</v>
          </cell>
          <cell r="AD514">
            <v>64.989146368695828</v>
          </cell>
          <cell r="AI514">
            <v>14.622752676591146</v>
          </cell>
          <cell r="AM514">
            <v>483</v>
          </cell>
          <cell r="AN514">
            <v>0.47846654829882596</v>
          </cell>
        </row>
        <row r="515">
          <cell r="R515">
            <v>483</v>
          </cell>
          <cell r="S515">
            <v>1.221306</v>
          </cell>
          <cell r="Z515">
            <v>483</v>
          </cell>
          <cell r="AA515">
            <v>107.50251203284931</v>
          </cell>
          <cell r="AC515">
            <v>150.24243852302189</v>
          </cell>
          <cell r="AD515">
            <v>64.762585542676732</v>
          </cell>
          <cell r="AI515">
            <v>13.418611929214265</v>
          </cell>
          <cell r="AM515">
            <v>484</v>
          </cell>
          <cell r="AN515">
            <v>0.47846654829885438</v>
          </cell>
        </row>
        <row r="516">
          <cell r="R516">
            <v>484</v>
          </cell>
          <cell r="S516">
            <v>1.2753369999999999</v>
          </cell>
          <cell r="Z516">
            <v>484</v>
          </cell>
          <cell r="AA516">
            <v>107.02404548455048</v>
          </cell>
          <cell r="AC516">
            <v>149.51272357791149</v>
          </cell>
          <cell r="AD516">
            <v>64.535367391189482</v>
          </cell>
          <cell r="AI516">
            <v>12.156773228178025</v>
          </cell>
          <cell r="AM516">
            <v>485</v>
          </cell>
          <cell r="AN516">
            <v>0.47846654829881174</v>
          </cell>
        </row>
        <row r="517">
          <cell r="R517">
            <v>485</v>
          </cell>
          <cell r="S517">
            <v>1.2106599999999998</v>
          </cell>
          <cell r="Z517">
            <v>485</v>
          </cell>
          <cell r="AA517">
            <v>106.54557893625163</v>
          </cell>
          <cell r="AC517">
            <v>148.78367768834218</v>
          </cell>
          <cell r="AD517">
            <v>64.307480184161079</v>
          </cell>
          <cell r="AI517">
            <v>10.056597336249448</v>
          </cell>
          <cell r="AM517">
            <v>486</v>
          </cell>
          <cell r="AN517">
            <v>0.47846654829882596</v>
          </cell>
        </row>
        <row r="518">
          <cell r="R518">
            <v>486</v>
          </cell>
          <cell r="S518">
            <v>1.2550160000000001</v>
          </cell>
          <cell r="Z518">
            <v>486</v>
          </cell>
          <cell r="AA518">
            <v>106.06711238795282</v>
          </cell>
          <cell r="AC518">
            <v>148.05531283278773</v>
          </cell>
          <cell r="AD518">
            <v>64.078911943117902</v>
          </cell>
          <cell r="AI518">
            <v>6.3233900919991797</v>
          </cell>
          <cell r="AM518">
            <v>487</v>
          </cell>
          <cell r="AN518">
            <v>0.47846654829882596</v>
          </cell>
        </row>
        <row r="519">
          <cell r="R519">
            <v>487</v>
          </cell>
          <cell r="S519">
            <v>1.19953</v>
          </cell>
          <cell r="Z519">
            <v>487</v>
          </cell>
          <cell r="AA519">
            <v>105.58864583965399</v>
          </cell>
          <cell r="AC519">
            <v>147.32764124364189</v>
          </cell>
          <cell r="AD519">
            <v>63.849650435666106</v>
          </cell>
          <cell r="AI519">
            <v>2.5479692945459052</v>
          </cell>
          <cell r="AM519">
            <v>488</v>
          </cell>
          <cell r="AN519">
            <v>0.44327728463629512</v>
          </cell>
        </row>
        <row r="520">
          <cell r="R520">
            <v>488</v>
          </cell>
          <cell r="S520">
            <v>1.238184</v>
          </cell>
          <cell r="Z520">
            <v>488</v>
          </cell>
          <cell r="AA520">
            <v>105.11017929135517</v>
          </cell>
          <cell r="AC520">
            <v>146.60067541283826</v>
          </cell>
          <cell r="AD520">
            <v>63.619683169872069</v>
          </cell>
          <cell r="AI520">
            <v>0.2422784210867733</v>
          </cell>
          <cell r="AM520">
            <v>489</v>
          </cell>
          <cell r="AN520">
            <v>0.37642076717679629</v>
          </cell>
        </row>
        <row r="521">
          <cell r="R521">
            <v>489</v>
          </cell>
          <cell r="S521">
            <v>1.1713010000000001</v>
          </cell>
          <cell r="Z521">
            <v>489</v>
          </cell>
          <cell r="AA521">
            <v>104.66690200671887</v>
          </cell>
          <cell r="AC521">
            <v>145.88178820669677</v>
          </cell>
          <cell r="AD521">
            <v>63.452015806740974</v>
          </cell>
          <cell r="AI521">
            <v>0.71837957866386593</v>
          </cell>
          <cell r="AM521">
            <v>490</v>
          </cell>
          <cell r="AN521">
            <v>0.37481564070296258</v>
          </cell>
        </row>
        <row r="522">
          <cell r="R522">
            <v>490</v>
          </cell>
          <cell r="S522">
            <v>1.250583</v>
          </cell>
          <cell r="Z522">
            <v>490</v>
          </cell>
          <cell r="AA522">
            <v>104.29048123954207</v>
          </cell>
          <cell r="AC522">
            <v>145.17796159204096</v>
          </cell>
          <cell r="AD522">
            <v>63.403000887043177</v>
          </cell>
          <cell r="AI522">
            <v>1.2605051894970198</v>
          </cell>
          <cell r="AM522">
            <v>491</v>
          </cell>
          <cell r="AN522">
            <v>0.35481166251484808</v>
          </cell>
        </row>
        <row r="523">
          <cell r="R523">
            <v>491</v>
          </cell>
          <cell r="S523">
            <v>1.1633309999999999</v>
          </cell>
          <cell r="Z523">
            <v>491</v>
          </cell>
          <cell r="AA523">
            <v>103.91566559883911</v>
          </cell>
          <cell r="AC523">
            <v>144.47578587951401</v>
          </cell>
          <cell r="AD523">
            <v>63.355545318164211</v>
          </cell>
          <cell r="AI523">
            <v>1.8026308003301736</v>
          </cell>
          <cell r="AM523">
            <v>492</v>
          </cell>
          <cell r="AN523">
            <v>0.31593616424549964</v>
          </cell>
        </row>
        <row r="524">
          <cell r="R524">
            <v>492</v>
          </cell>
          <cell r="S524">
            <v>1.227106</v>
          </cell>
          <cell r="Z524">
            <v>492</v>
          </cell>
          <cell r="AA524">
            <v>103.56085393632426</v>
          </cell>
          <cell r="AC524">
            <v>143.78246373812914</v>
          </cell>
          <cell r="AD524">
            <v>63.339244134519397</v>
          </cell>
          <cell r="AI524">
            <v>2.3447564111633277</v>
          </cell>
          <cell r="AM524">
            <v>493</v>
          </cell>
          <cell r="AN524">
            <v>0.31493805408464937</v>
          </cell>
        </row>
        <row r="525">
          <cell r="R525">
            <v>493</v>
          </cell>
          <cell r="S525">
            <v>1.155305</v>
          </cell>
          <cell r="Z525">
            <v>493</v>
          </cell>
          <cell r="AA525">
            <v>103.24491777207876</v>
          </cell>
          <cell r="AC525">
            <v>143.10537968774781</v>
          </cell>
          <cell r="AD525">
            <v>63.384455856409708</v>
          </cell>
          <cell r="AI525">
            <v>2.8868820219964824</v>
          </cell>
          <cell r="AM525">
            <v>494</v>
          </cell>
          <cell r="AN525">
            <v>0.31493805408466358</v>
          </cell>
        </row>
        <row r="526">
          <cell r="R526">
            <v>494</v>
          </cell>
          <cell r="S526">
            <v>1.205093</v>
          </cell>
          <cell r="Z526">
            <v>494</v>
          </cell>
          <cell r="AA526">
            <v>102.92997971799412</v>
          </cell>
          <cell r="AC526">
            <v>142.43050767847149</v>
          </cell>
          <cell r="AD526">
            <v>63.429451757516759</v>
          </cell>
          <cell r="AI526">
            <v>2.1874079467236105</v>
          </cell>
          <cell r="AM526">
            <v>495</v>
          </cell>
          <cell r="AN526">
            <v>0.31493805408467779</v>
          </cell>
        </row>
        <row r="527">
          <cell r="R527">
            <v>495</v>
          </cell>
          <cell r="S527">
            <v>1.1496690000000001</v>
          </cell>
          <cell r="Z527">
            <v>495</v>
          </cell>
          <cell r="AA527">
            <v>102.61504166390945</v>
          </cell>
          <cell r="AC527">
            <v>141.75752177257502</v>
          </cell>
          <cell r="AD527">
            <v>63.472561555243892</v>
          </cell>
          <cell r="AI527">
            <v>6.0080949553649114E-2</v>
          </cell>
          <cell r="AM527">
            <v>496</v>
          </cell>
          <cell r="AN527">
            <v>0.31493805408467779</v>
          </cell>
        </row>
        <row r="528">
          <cell r="R528">
            <v>496</v>
          </cell>
          <cell r="S528">
            <v>0</v>
          </cell>
          <cell r="Z528">
            <v>496</v>
          </cell>
          <cell r="AA528">
            <v>102.30010360982477</v>
          </cell>
          <cell r="AC528">
            <v>141.08647420353952</v>
          </cell>
          <cell r="AD528">
            <v>63.513733016110024</v>
          </cell>
          <cell r="AI528">
            <v>0</v>
          </cell>
          <cell r="AM528">
            <v>497</v>
          </cell>
          <cell r="AN528">
            <v>0.28567516803612136</v>
          </cell>
        </row>
        <row r="529">
          <cell r="R529">
            <v>497</v>
          </cell>
          <cell r="S529">
            <v>0</v>
          </cell>
          <cell r="Z529">
            <v>497</v>
          </cell>
          <cell r="AA529">
            <v>101.9851655557401</v>
          </cell>
          <cell r="AC529">
            <v>140.41741885272427</v>
          </cell>
          <cell r="AD529">
            <v>63.55291225875591</v>
          </cell>
          <cell r="AI529">
            <v>0</v>
          </cell>
          <cell r="AM529">
            <v>498</v>
          </cell>
          <cell r="AN529">
            <v>0.22971466924489903</v>
          </cell>
        </row>
        <row r="530">
          <cell r="R530">
            <v>498</v>
          </cell>
          <cell r="S530">
            <v>0</v>
          </cell>
          <cell r="Z530">
            <v>498</v>
          </cell>
          <cell r="AA530">
            <v>101.69949038770397</v>
          </cell>
          <cell r="AC530">
            <v>139.76929113453201</v>
          </cell>
          <cell r="AD530">
            <v>63.629689640875938</v>
          </cell>
          <cell r="AI530">
            <v>0</v>
          </cell>
          <cell r="AM530">
            <v>499</v>
          </cell>
          <cell r="AN530">
            <v>0.22834458154314063</v>
          </cell>
        </row>
        <row r="531">
          <cell r="R531">
            <v>499</v>
          </cell>
          <cell r="S531">
            <v>0</v>
          </cell>
          <cell r="Z531">
            <v>499</v>
          </cell>
          <cell r="AA531">
            <v>101.46977571845908</v>
          </cell>
          <cell r="AC531">
            <v>139.15898117017557</v>
          </cell>
          <cell r="AD531">
            <v>63.780570266742586</v>
          </cell>
          <cell r="AI531">
            <v>0</v>
          </cell>
          <cell r="AM531">
            <v>500</v>
          </cell>
          <cell r="AN531">
            <v>0.22834458154314063</v>
          </cell>
        </row>
        <row r="532">
          <cell r="R532">
            <v>500</v>
          </cell>
          <cell r="S532">
            <v>0.17354299998311751</v>
          </cell>
          <cell r="Z532">
            <v>500</v>
          </cell>
          <cell r="AA532">
            <v>101.24143113691593</v>
          </cell>
          <cell r="AC532">
            <v>138.55114567173601</v>
          </cell>
          <cell r="AD532">
            <v>63.931716602095861</v>
          </cell>
          <cell r="AI532">
            <v>0</v>
          </cell>
          <cell r="AM532">
            <v>501</v>
          </cell>
          <cell r="AN532">
            <v>0.18650594397807652</v>
          </cell>
        </row>
        <row r="533">
          <cell r="R533">
            <v>501</v>
          </cell>
          <cell r="S533">
            <v>0.516629</v>
          </cell>
          <cell r="Z533">
            <v>501</v>
          </cell>
          <cell r="AA533">
            <v>101.01308655537279</v>
          </cell>
          <cell r="AC533">
            <v>137.94494564144446</v>
          </cell>
          <cell r="AD533">
            <v>64.081227469301126</v>
          </cell>
          <cell r="AI533">
            <v>0</v>
          </cell>
          <cell r="AM533">
            <v>502</v>
          </cell>
          <cell r="AN533">
            <v>8.6177044019976279E-2</v>
          </cell>
        </row>
        <row r="534">
          <cell r="R534">
            <v>502</v>
          </cell>
          <cell r="S534">
            <v>0.51246100000000006</v>
          </cell>
          <cell r="Z534">
            <v>502</v>
          </cell>
          <cell r="AA534">
            <v>100.82658061139472</v>
          </cell>
          <cell r="AC534">
            <v>137.39149462489399</v>
          </cell>
          <cell r="AD534">
            <v>64.261666597895456</v>
          </cell>
          <cell r="AI534">
            <v>0</v>
          </cell>
          <cell r="AM534">
            <v>503</v>
          </cell>
          <cell r="AN534">
            <v>4.1696640702667764E-2</v>
          </cell>
        </row>
        <row r="535">
          <cell r="R535">
            <v>503</v>
          </cell>
          <cell r="S535">
            <v>0.50759399999999999</v>
          </cell>
          <cell r="Z535">
            <v>503</v>
          </cell>
          <cell r="AA535">
            <v>100.74040356737474</v>
          </cell>
          <cell r="AC535">
            <v>136.93280208985149</v>
          </cell>
          <cell r="AD535">
            <v>64.548005044897991</v>
          </cell>
          <cell r="AI535">
            <v>0</v>
          </cell>
          <cell r="AM535">
            <v>504</v>
          </cell>
          <cell r="AN535">
            <v>4.0622453894854971E-2</v>
          </cell>
        </row>
        <row r="536">
          <cell r="R536">
            <v>504</v>
          </cell>
          <cell r="S536">
            <v>0.50337100000000001</v>
          </cell>
          <cell r="Z536">
            <v>504</v>
          </cell>
          <cell r="AA536">
            <v>100.69870692667207</v>
          </cell>
          <cell r="AC536">
            <v>136.47338383792996</v>
          </cell>
          <cell r="AD536">
            <v>64.924030015414189</v>
          </cell>
          <cell r="AI536">
            <v>0</v>
          </cell>
          <cell r="AM536">
            <v>505</v>
          </cell>
          <cell r="AN536">
            <v>4.062245389484076E-2</v>
          </cell>
        </row>
        <row r="537">
          <cell r="R537">
            <v>505</v>
          </cell>
          <cell r="S537">
            <v>0.49873299999999998</v>
          </cell>
          <cell r="Z537">
            <v>505</v>
          </cell>
          <cell r="AA537">
            <v>100.65808447277722</v>
          </cell>
          <cell r="AC537">
            <v>136.01429315104403</v>
          </cell>
          <cell r="AD537">
            <v>65.301875794510408</v>
          </cell>
          <cell r="AI537">
            <v>0</v>
          </cell>
          <cell r="AM537">
            <v>506</v>
          </cell>
          <cell r="AN537">
            <v>4.0622453894854971E-2</v>
          </cell>
        </row>
        <row r="538">
          <cell r="R538">
            <v>506</v>
          </cell>
          <cell r="S538">
            <v>0.49442299999999995</v>
          </cell>
          <cell r="Z538">
            <v>506</v>
          </cell>
          <cell r="AA538">
            <v>100.61746201888238</v>
          </cell>
          <cell r="AC538">
            <v>135.55563420258204</v>
          </cell>
          <cell r="AD538">
            <v>65.679289835182729</v>
          </cell>
          <cell r="AI538">
            <v>0</v>
          </cell>
          <cell r="AM538">
            <v>507</v>
          </cell>
          <cell r="AN538">
            <v>4.0622453894854971E-2</v>
          </cell>
        </row>
        <row r="539">
          <cell r="R539">
            <v>507</v>
          </cell>
          <cell r="S539">
            <v>0.48971100000000001</v>
          </cell>
          <cell r="Z539">
            <v>507</v>
          </cell>
          <cell r="AA539">
            <v>100.57683956498752</v>
          </cell>
          <cell r="AC539">
            <v>135.09742267731295</v>
          </cell>
          <cell r="AD539">
            <v>66.056256452662097</v>
          </cell>
          <cell r="AI539">
            <v>0</v>
          </cell>
          <cell r="AM539">
            <v>508</v>
          </cell>
          <cell r="AN539">
            <v>4.0622453894826549E-2</v>
          </cell>
        </row>
        <row r="540">
          <cell r="R540">
            <v>508</v>
          </cell>
          <cell r="S540">
            <v>0.48599800000000004</v>
          </cell>
          <cell r="Z540">
            <v>508</v>
          </cell>
          <cell r="AA540">
            <v>100.53621711109267</v>
          </cell>
          <cell r="AC540">
            <v>134.63967501102604</v>
          </cell>
          <cell r="AD540">
            <v>66.432759211159279</v>
          </cell>
          <cell r="AI540">
            <v>0</v>
          </cell>
          <cell r="AM540">
            <v>509</v>
          </cell>
          <cell r="AN540">
            <v>4.0622453894869182E-2</v>
          </cell>
        </row>
        <row r="541">
          <cell r="R541">
            <v>509</v>
          </cell>
          <cell r="S541">
            <v>0.481265</v>
          </cell>
          <cell r="Z541">
            <v>509</v>
          </cell>
          <cell r="AA541">
            <v>100.49559465719784</v>
          </cell>
          <cell r="AC541">
            <v>134.18240843485449</v>
          </cell>
          <cell r="AD541">
            <v>66.808780879541189</v>
          </cell>
          <cell r="AI541">
            <v>0</v>
          </cell>
          <cell r="AM541">
            <v>510</v>
          </cell>
          <cell r="AN541">
            <v>4.0622453894826549E-2</v>
          </cell>
        </row>
        <row r="542">
          <cell r="R542">
            <v>510</v>
          </cell>
          <cell r="S542">
            <v>0.47741100000000003</v>
          </cell>
          <cell r="Z542">
            <v>510</v>
          </cell>
          <cell r="AA542">
            <v>100.45497220330297</v>
          </cell>
          <cell r="AC542">
            <v>133.72564102268416</v>
          </cell>
          <cell r="AD542">
            <v>67.184303383921787</v>
          </cell>
          <cell r="AI542">
            <v>0</v>
          </cell>
          <cell r="AM542">
            <v>511</v>
          </cell>
          <cell r="AN542">
            <v>4.0622453894869182E-2</v>
          </cell>
        </row>
        <row r="543">
          <cell r="R543">
            <v>511</v>
          </cell>
          <cell r="S543">
            <v>0.47290899999999997</v>
          </cell>
          <cell r="Z543">
            <v>511</v>
          </cell>
          <cell r="AA543">
            <v>100.41434974940815</v>
          </cell>
          <cell r="AC543">
            <v>133.26939174189076</v>
          </cell>
          <cell r="AD543">
            <v>67.559307756925534</v>
          </cell>
          <cell r="AI543">
            <v>0</v>
          </cell>
          <cell r="AM543">
            <v>512</v>
          </cell>
          <cell r="AN543">
            <v>4.0622453894826549E-2</v>
          </cell>
        </row>
        <row r="544">
          <cell r="R544">
            <v>512</v>
          </cell>
          <cell r="S544">
            <v>0.46901900000000002</v>
          </cell>
          <cell r="Z544">
            <v>512</v>
          </cell>
          <cell r="AA544">
            <v>100.37372729551328</v>
          </cell>
          <cell r="AC544">
            <v>132.8136805076727</v>
          </cell>
          <cell r="AD544">
            <v>67.933774083353839</v>
          </cell>
          <cell r="AI544">
            <v>0</v>
          </cell>
          <cell r="AM544">
            <v>513</v>
          </cell>
          <cell r="AN544">
            <v>4.0622453894869182E-2</v>
          </cell>
        </row>
        <row r="545">
          <cell r="R545">
            <v>513</v>
          </cell>
          <cell r="S545">
            <v>0.46470100000000003</v>
          </cell>
          <cell r="Z545">
            <v>513</v>
          </cell>
          <cell r="AA545">
            <v>100.33310484161845</v>
          </cell>
          <cell r="AC545">
            <v>132.35852824126778</v>
          </cell>
          <cell r="AD545">
            <v>68.307681441969109</v>
          </cell>
          <cell r="AI545">
            <v>0</v>
          </cell>
          <cell r="AM545">
            <v>514</v>
          </cell>
          <cell r="AN545">
            <v>3.1025267791193301E-2</v>
          </cell>
        </row>
        <row r="546">
          <cell r="Z546">
            <v>514</v>
          </cell>
          <cell r="AA546">
            <v>100.29248238772358</v>
          </cell>
          <cell r="AC546">
            <v>131.90395693237221</v>
          </cell>
          <cell r="AD546">
            <v>68.681007843074951</v>
          </cell>
          <cell r="AI546">
            <v>0</v>
          </cell>
          <cell r="AM546">
            <v>515</v>
          </cell>
          <cell r="AN546">
            <v>1.2844854466962374E-2</v>
          </cell>
        </row>
        <row r="547">
          <cell r="Z547">
            <v>515</v>
          </cell>
          <cell r="AA547">
            <v>100.26145711993239</v>
          </cell>
          <cell r="AC547">
            <v>131.47457925960308</v>
          </cell>
          <cell r="AD547">
            <v>69.0483349802617</v>
          </cell>
          <cell r="AI547">
            <v>0</v>
          </cell>
          <cell r="AM547">
            <v>516</v>
          </cell>
          <cell r="AN547">
            <v>1.2412225967835866E-2</v>
          </cell>
        </row>
        <row r="548">
          <cell r="Z548">
            <v>516</v>
          </cell>
          <cell r="AA548">
            <v>100.24861226546543</v>
          </cell>
          <cell r="AC548">
            <v>131.09221301168571</v>
          </cell>
          <cell r="AD548">
            <v>69.405011519245122</v>
          </cell>
          <cell r="AI548">
            <v>0</v>
          </cell>
          <cell r="AM548">
            <v>517</v>
          </cell>
          <cell r="AN548">
            <v>1.2412225967821655E-2</v>
          </cell>
        </row>
        <row r="549">
          <cell r="Z549">
            <v>517</v>
          </cell>
          <cell r="AA549">
            <v>100.23620003949759</v>
          </cell>
          <cell r="AC549">
            <v>130.71130209205032</v>
          </cell>
          <cell r="AD549">
            <v>69.761097986944876</v>
          </cell>
          <cell r="AI549">
            <v>0</v>
          </cell>
          <cell r="AM549">
            <v>518</v>
          </cell>
          <cell r="AN549">
            <v>1.2412225967835866E-2</v>
          </cell>
        </row>
        <row r="550">
          <cell r="Z550">
            <v>518</v>
          </cell>
          <cell r="AA550">
            <v>100.22378781352977</v>
          </cell>
          <cell r="AC550">
            <v>130.33075040642737</v>
          </cell>
          <cell r="AD550">
            <v>70.116825220632165</v>
          </cell>
          <cell r="AI550">
            <v>0</v>
          </cell>
          <cell r="AM550">
            <v>519</v>
          </cell>
          <cell r="AN550">
            <v>1.2412225967821655E-2</v>
          </cell>
        </row>
        <row r="551">
          <cell r="Z551">
            <v>519</v>
          </cell>
          <cell r="AA551">
            <v>100.21137558756193</v>
          </cell>
          <cell r="AC551">
            <v>129.95057129561934</v>
          </cell>
          <cell r="AD551">
            <v>70.472179879504523</v>
          </cell>
          <cell r="AI551">
            <v>0</v>
          </cell>
          <cell r="AM551">
            <v>520</v>
          </cell>
          <cell r="AN551">
            <v>1.2412225967807444E-2</v>
          </cell>
        </row>
        <row r="552">
          <cell r="Z552">
            <v>520</v>
          </cell>
          <cell r="AA552">
            <v>100.19896336159411</v>
          </cell>
          <cell r="AC552">
            <v>129.5707787547482</v>
          </cell>
          <cell r="AD552">
            <v>70.82714796844003</v>
          </cell>
          <cell r="AI552">
            <v>0</v>
          </cell>
          <cell r="AM552">
            <v>521</v>
          </cell>
          <cell r="AN552">
            <v>1.2412225967835866E-2</v>
          </cell>
        </row>
        <row r="553">
          <cell r="Z553">
            <v>521</v>
          </cell>
          <cell r="AA553">
            <v>100.1865511356263</v>
          </cell>
          <cell r="AC553">
            <v>129.19138747290407</v>
          </cell>
          <cell r="AD553">
            <v>71.181714798348537</v>
          </cell>
          <cell r="AI553">
            <v>0</v>
          </cell>
          <cell r="AM553">
            <v>522</v>
          </cell>
          <cell r="AN553">
            <v>1.2412225967807444E-2</v>
          </cell>
        </row>
        <row r="554">
          <cell r="Z554">
            <v>522</v>
          </cell>
          <cell r="AA554">
            <v>100.17413890965847</v>
          </cell>
          <cell r="AC554">
            <v>128.81241287563623</v>
          </cell>
          <cell r="AD554">
            <v>71.535864943680707</v>
          </cell>
          <cell r="AI554">
            <v>0</v>
          </cell>
          <cell r="AM554">
            <v>523</v>
          </cell>
          <cell r="AN554">
            <v>1.2412225967835866E-2</v>
          </cell>
        </row>
        <row r="555">
          <cell r="Z555">
            <v>523</v>
          </cell>
          <cell r="AA555">
            <v>100.16172668369066</v>
          </cell>
          <cell r="AC555">
            <v>128.43387117051549</v>
          </cell>
          <cell r="AD555">
            <v>71.889582196865831</v>
          </cell>
          <cell r="AI555">
            <v>0</v>
          </cell>
          <cell r="AM555">
            <v>524</v>
          </cell>
          <cell r="AN555">
            <v>1.2412225967835866E-2</v>
          </cell>
        </row>
        <row r="556">
          <cell r="Z556">
            <v>524</v>
          </cell>
          <cell r="AA556">
            <v>100.14931445772282</v>
          </cell>
          <cell r="AC556">
            <v>128.05577939602665</v>
          </cell>
          <cell r="AD556">
            <v>72.242849519418996</v>
          </cell>
          <cell r="AI556">
            <v>0</v>
          </cell>
          <cell r="AM556">
            <v>525</v>
          </cell>
          <cell r="AN556">
            <v>1.618758055052183E-2</v>
          </cell>
        </row>
        <row r="557">
          <cell r="Z557">
            <v>525</v>
          </cell>
          <cell r="AA557">
            <v>100.13690223175499</v>
          </cell>
          <cell r="AC557">
            <v>127.67815547406462</v>
          </cell>
          <cell r="AD557">
            <v>72.595648989445351</v>
          </cell>
          <cell r="AI557">
            <v>0</v>
          </cell>
          <cell r="AM557">
            <v>526</v>
          </cell>
          <cell r="AN557">
            <v>2.3603250086935645E-2</v>
          </cell>
        </row>
        <row r="558">
          <cell r="Z558">
            <v>526</v>
          </cell>
          <cell r="AA558">
            <v>100.12071465120447</v>
          </cell>
          <cell r="AC558">
            <v>127.29936959870533</v>
          </cell>
          <cell r="AD558">
            <v>72.942059703703606</v>
          </cell>
          <cell r="AI558">
            <v>0</v>
          </cell>
          <cell r="AM558">
            <v>527</v>
          </cell>
          <cell r="AN558">
            <v>2.3799603662993718E-2</v>
          </cell>
        </row>
        <row r="559">
          <cell r="Z559">
            <v>527</v>
          </cell>
          <cell r="AA559">
            <v>100.09711140111753</v>
          </cell>
          <cell r="AC559">
            <v>126.91801495305992</v>
          </cell>
          <cell r="AD559">
            <v>73.276207849175137</v>
          </cell>
          <cell r="AI559">
            <v>0</v>
          </cell>
          <cell r="AM559">
            <v>528</v>
          </cell>
          <cell r="AN559">
            <v>2.3799603662993718E-2</v>
          </cell>
        </row>
        <row r="560">
          <cell r="Z560">
            <v>528</v>
          </cell>
          <cell r="AA560">
            <v>100.07331179745454</v>
          </cell>
          <cell r="AC560">
            <v>126.53735833583372</v>
          </cell>
          <cell r="AD560">
            <v>73.609265259075357</v>
          </cell>
          <cell r="AI560">
            <v>0</v>
          </cell>
          <cell r="AM560">
            <v>529</v>
          </cell>
          <cell r="AN560">
            <v>2.3799603662979507E-2</v>
          </cell>
        </row>
        <row r="561">
          <cell r="Z561">
            <v>529</v>
          </cell>
          <cell r="AA561">
            <v>100.04951219379154</v>
          </cell>
          <cell r="AC561">
            <v>126.15751752875151</v>
          </cell>
          <cell r="AD561">
            <v>73.941506858831573</v>
          </cell>
          <cell r="AI561">
            <v>0</v>
          </cell>
          <cell r="AM561">
            <v>530</v>
          </cell>
          <cell r="AN561">
            <v>2.3799603662979507E-2</v>
          </cell>
        </row>
        <row r="562">
          <cell r="Z562">
            <v>530</v>
          </cell>
          <cell r="AA562">
            <v>100.02571259012856</v>
          </cell>
          <cell r="AC562">
            <v>125.77852636837406</v>
          </cell>
          <cell r="AD562">
            <v>74.272898811883067</v>
          </cell>
          <cell r="AI562">
            <v>0</v>
          </cell>
          <cell r="AM562">
            <v>531</v>
          </cell>
          <cell r="AN562">
            <v>2.3799603662965296E-2</v>
          </cell>
        </row>
        <row r="563">
          <cell r="Z563">
            <v>531</v>
          </cell>
          <cell r="AA563">
            <v>100.00191298646558</v>
          </cell>
          <cell r="AC563">
            <v>125.40042050099456</v>
          </cell>
          <cell r="AD563">
            <v>74.603405471936611</v>
          </cell>
          <cell r="AI563">
            <v>0</v>
          </cell>
          <cell r="AM563">
            <v>532</v>
          </cell>
          <cell r="AN563">
            <v>2.3799603662993718E-2</v>
          </cell>
        </row>
        <row r="564">
          <cell r="Z564">
            <v>532</v>
          </cell>
          <cell r="AA564">
            <v>99.978113382802619</v>
          </cell>
          <cell r="AC564">
            <v>125.02323749860757</v>
          </cell>
          <cell r="AD564">
            <v>74.932989266997666</v>
          </cell>
          <cell r="AI564">
            <v>0</v>
          </cell>
          <cell r="AM564">
            <v>533</v>
          </cell>
          <cell r="AN564">
            <v>2.3799603662979507E-2</v>
          </cell>
        </row>
        <row r="565">
          <cell r="Z565">
            <v>533</v>
          </cell>
          <cell r="AA565">
            <v>99.954313779139625</v>
          </cell>
          <cell r="AC565">
            <v>124.64701698329424</v>
          </cell>
          <cell r="AD565">
            <v>75.261610574985013</v>
          </cell>
          <cell r="AI565">
            <v>0</v>
          </cell>
          <cell r="AM565">
            <v>534</v>
          </cell>
          <cell r="AN565">
            <v>2.3799603662993718E-2</v>
          </cell>
        </row>
        <row r="566">
          <cell r="Z566">
            <v>534</v>
          </cell>
          <cell r="AA566">
            <v>99.930514175476645</v>
          </cell>
          <cell r="AC566">
            <v>124.27180076067505</v>
          </cell>
          <cell r="AD566">
            <v>75.589227590278242</v>
          </cell>
          <cell r="AI566">
            <v>0</v>
          </cell>
          <cell r="AM566">
            <v>535</v>
          </cell>
          <cell r="AN566">
            <v>2.3799603662965296E-2</v>
          </cell>
        </row>
        <row r="567">
          <cell r="Z567">
            <v>535</v>
          </cell>
          <cell r="AA567">
            <v>99.906714571813652</v>
          </cell>
          <cell r="AC567">
            <v>123.89763296313312</v>
          </cell>
          <cell r="AD567">
            <v>75.915796180494183</v>
          </cell>
          <cell r="AI567">
            <v>0.20749870197355633</v>
          </cell>
          <cell r="AM567">
            <v>536</v>
          </cell>
          <cell r="AN567">
            <v>2.3799603663007929E-2</v>
          </cell>
        </row>
        <row r="568">
          <cell r="Z568">
            <v>536</v>
          </cell>
          <cell r="AA568">
            <v>99.882914968150686</v>
          </cell>
          <cell r="AC568">
            <v>123.52456020356172</v>
          </cell>
          <cell r="AD568">
            <v>76.241269732739653</v>
          </cell>
          <cell r="AI568">
            <v>0.82324111405319744</v>
          </cell>
          <cell r="AM568">
            <v>537</v>
          </cell>
          <cell r="AN568">
            <v>2.3799603662951085E-2</v>
          </cell>
        </row>
        <row r="569">
          <cell r="Z569">
            <v>537</v>
          </cell>
          <cell r="AA569">
            <v>99.859115364487678</v>
          </cell>
          <cell r="AC569">
            <v>123.15263174044566</v>
          </cell>
          <cell r="AD569">
            <v>76.5655989885297</v>
          </cell>
          <cell r="AI569">
            <v>1.4498438888219309</v>
          </cell>
          <cell r="AM569">
            <v>538</v>
          </cell>
          <cell r="AN569">
            <v>2.3799603662993718E-2</v>
          </cell>
        </row>
        <row r="570">
          <cell r="Z570">
            <v>538</v>
          </cell>
          <cell r="AA570">
            <v>99.835315760824727</v>
          </cell>
          <cell r="AC570">
            <v>122.7818996551411</v>
          </cell>
          <cell r="AD570">
            <v>76.888731866508351</v>
          </cell>
          <cell r="AI570">
            <v>2.0764466635906644</v>
          </cell>
          <cell r="AM570">
            <v>539</v>
          </cell>
          <cell r="AN570">
            <v>2.3799603662979507E-2</v>
          </cell>
        </row>
        <row r="571">
          <cell r="Z571">
            <v>539</v>
          </cell>
          <cell r="AA571">
            <v>99.811516157161734</v>
          </cell>
          <cell r="AC571">
            <v>122.41241904228302</v>
          </cell>
          <cell r="AD571">
            <v>77.210613272040447</v>
          </cell>
          <cell r="AI571">
            <v>2.7030494383593981</v>
          </cell>
          <cell r="AM571">
            <v>540</v>
          </cell>
          <cell r="AN571">
            <v>2.3799603662993718E-2</v>
          </cell>
        </row>
        <row r="572">
          <cell r="Z572">
            <v>540</v>
          </cell>
          <cell r="AA572">
            <v>99.787716553498754</v>
          </cell>
          <cell r="AC572">
            <v>122.04424821430254</v>
          </cell>
          <cell r="AD572">
            <v>77.531184892694966</v>
          </cell>
          <cell r="AI572">
            <v>3.3296522131281314</v>
          </cell>
          <cell r="AM572">
            <v>541</v>
          </cell>
          <cell r="AN572">
            <v>2.3799603662979507E-2</v>
          </cell>
        </row>
        <row r="573">
          <cell r="Z573">
            <v>541</v>
          </cell>
          <cell r="AA573">
            <v>99.76391694983576</v>
          </cell>
          <cell r="AC573">
            <v>121.67744892110744</v>
          </cell>
          <cell r="AD573">
            <v>77.85038497856408</v>
          </cell>
          <cell r="AI573">
            <v>3.9562549878968656</v>
          </cell>
          <cell r="AM573">
            <v>542</v>
          </cell>
          <cell r="AN573">
            <v>2.3799603662979507E-2</v>
          </cell>
        </row>
        <row r="574">
          <cell r="Z574">
            <v>542</v>
          </cell>
          <cell r="AA574">
            <v>99.740117346172781</v>
          </cell>
          <cell r="AC574">
            <v>121.31208658603182</v>
          </cell>
          <cell r="AD574">
            <v>78.168148106313737</v>
          </cell>
          <cell r="AI574">
            <v>4.0840412030765361</v>
          </cell>
          <cell r="AM574">
            <v>543</v>
          </cell>
          <cell r="AN574">
            <v>2.3799603662979507E-2</v>
          </cell>
        </row>
        <row r="575">
          <cell r="Z575">
            <v>543</v>
          </cell>
          <cell r="AA575">
            <v>99.716317742509801</v>
          </cell>
          <cell r="AC575">
            <v>120.9482305592297</v>
          </cell>
          <cell r="AD575">
            <v>78.484404925789903</v>
          </cell>
          <cell r="AI575">
            <v>3.2325945838177987</v>
          </cell>
          <cell r="AM575">
            <v>544</v>
          </cell>
          <cell r="AN575">
            <v>2.3799603662979507E-2</v>
          </cell>
        </row>
        <row r="576">
          <cell r="Z576">
            <v>544</v>
          </cell>
          <cell r="AA576">
            <v>99.692518138846822</v>
          </cell>
          <cell r="AC576">
            <v>120.58595438973849</v>
          </cell>
          <cell r="AD576">
            <v>78.799081887955154</v>
          </cell>
          <cell r="AI576">
            <v>2.3552619731787079</v>
          </cell>
          <cell r="AM576">
            <v>545</v>
          </cell>
          <cell r="AN576">
            <v>2.3799603662979507E-2</v>
          </cell>
        </row>
        <row r="577">
          <cell r="Z577">
            <v>545</v>
          </cell>
          <cell r="AA577">
            <v>99.668718535183842</v>
          </cell>
          <cell r="AC577">
            <v>120.22533611749162</v>
          </cell>
          <cell r="AD577">
            <v>79.112100952876062</v>
          </cell>
          <cell r="AI577">
            <v>1.4779293625396168</v>
          </cell>
          <cell r="AM577">
            <v>546</v>
          </cell>
          <cell r="AN577">
            <v>5.4111498593087504E-2</v>
          </cell>
        </row>
        <row r="578">
          <cell r="Z578">
            <v>546</v>
          </cell>
          <cell r="AA578">
            <v>99.644918931520863</v>
          </cell>
          <cell r="AC578">
            <v>119.86645858660926</v>
          </cell>
          <cell r="AD578">
            <v>79.42337927643247</v>
          </cell>
          <cell r="AI578">
            <v>0.60059675190052619</v>
          </cell>
          <cell r="AM578">
            <v>547</v>
          </cell>
          <cell r="AN578">
            <v>0.11315728029872218</v>
          </cell>
        </row>
        <row r="579">
          <cell r="Z579">
            <v>547</v>
          </cell>
          <cell r="AA579">
            <v>99.590807432927775</v>
          </cell>
          <cell r="AC579">
            <v>119.49144960074607</v>
          </cell>
          <cell r="AD579">
            <v>79.690165265109485</v>
          </cell>
          <cell r="AI579">
            <v>0.4504456239871007</v>
          </cell>
          <cell r="AM579">
            <v>548</v>
          </cell>
          <cell r="AN579">
            <v>0.14528020721625978</v>
          </cell>
        </row>
        <row r="580">
          <cell r="Z580">
            <v>548</v>
          </cell>
          <cell r="AA580">
            <v>99.477650152629053</v>
          </cell>
          <cell r="AC580">
            <v>119.08420108188169</v>
          </cell>
          <cell r="AD580">
            <v>79.871099223376419</v>
          </cell>
          <cell r="AI580">
            <v>1.7231189725438989</v>
          </cell>
          <cell r="AM580">
            <v>549</v>
          </cell>
          <cell r="AN580">
            <v>0.20568003737021456</v>
          </cell>
        </row>
        <row r="581">
          <cell r="Z581">
            <v>549</v>
          </cell>
          <cell r="AA581">
            <v>99.332369945412793</v>
          </cell>
          <cell r="AC581">
            <v>118.65906549012414</v>
          </cell>
          <cell r="AD581">
            <v>80.005674400701452</v>
          </cell>
          <cell r="AI581">
            <v>1.7294498757071926</v>
          </cell>
          <cell r="AM581">
            <v>550</v>
          </cell>
          <cell r="AN581">
            <v>0.2073023081946701</v>
          </cell>
        </row>
        <row r="582">
          <cell r="Z582">
            <v>550</v>
          </cell>
          <cell r="AA582">
            <v>99.126689908042579</v>
          </cell>
          <cell r="AC582">
            <v>118.19621649892788</v>
          </cell>
          <cell r="AD582">
            <v>80.057163317157276</v>
          </cell>
          <cell r="AI582">
            <v>0.53928679382247779</v>
          </cell>
          <cell r="AM582">
            <v>551</v>
          </cell>
          <cell r="AN582">
            <v>0.20730230819465589</v>
          </cell>
        </row>
        <row r="583">
          <cell r="Z583">
            <v>551</v>
          </cell>
          <cell r="AA583">
            <v>98.919387599847909</v>
          </cell>
          <cell r="AC583">
            <v>117.73434182520529</v>
          </cell>
          <cell r="AD583">
            <v>80.104433374490526</v>
          </cell>
          <cell r="AI583">
            <v>1.9585658322930559</v>
          </cell>
          <cell r="AM583">
            <v>552</v>
          </cell>
          <cell r="AN583">
            <v>0.2073023081946701</v>
          </cell>
        </row>
        <row r="584">
          <cell r="Z584">
            <v>552</v>
          </cell>
          <cell r="AA584">
            <v>98.712085291653253</v>
          </cell>
          <cell r="AC584">
            <v>117.27460139748322</v>
          </cell>
          <cell r="AD584">
            <v>80.149569185823282</v>
          </cell>
          <cell r="AI584">
            <v>1.9841211738782496</v>
          </cell>
          <cell r="AM584">
            <v>553</v>
          </cell>
          <cell r="AN584">
            <v>0.21600973065613971</v>
          </cell>
        </row>
        <row r="585">
          <cell r="Z585">
            <v>553</v>
          </cell>
          <cell r="AA585">
            <v>98.504782983458583</v>
          </cell>
          <cell r="AC585">
            <v>116.81708347878684</v>
          </cell>
          <cell r="AD585">
            <v>80.192482488130324</v>
          </cell>
          <cell r="AI585">
            <v>0.33398436522219305</v>
          </cell>
          <cell r="AM585">
            <v>554</v>
          </cell>
          <cell r="AN585">
            <v>0.2332668692974238</v>
          </cell>
        </row>
        <row r="586">
          <cell r="Z586">
            <v>554</v>
          </cell>
          <cell r="AA586">
            <v>98.288773252802443</v>
          </cell>
          <cell r="AC586">
            <v>116.36230716498301</v>
          </cell>
          <cell r="AD586">
            <v>80.215239340621878</v>
          </cell>
          <cell r="AI586">
            <v>1.1177971945826728</v>
          </cell>
          <cell r="AM586">
            <v>555</v>
          </cell>
          <cell r="AN586">
            <v>0.23373559579572145</v>
          </cell>
        </row>
        <row r="587">
          <cell r="Z587">
            <v>555</v>
          </cell>
          <cell r="AA587">
            <v>98.055506383505019</v>
          </cell>
          <cell r="AC587">
            <v>115.91033599870497</v>
          </cell>
          <cell r="AD587">
            <v>80.200676768305073</v>
          </cell>
          <cell r="AI587">
            <v>1.9719252350944316</v>
          </cell>
          <cell r="AM587">
            <v>556</v>
          </cell>
          <cell r="AN587">
            <v>0.23373559579572145</v>
          </cell>
        </row>
        <row r="588">
          <cell r="Z588">
            <v>556</v>
          </cell>
          <cell r="AA588">
            <v>97.821770787709298</v>
          </cell>
          <cell r="AC588">
            <v>115.46018797952284</v>
          </cell>
          <cell r="AD588">
            <v>80.183353595895753</v>
          </cell>
          <cell r="AI588">
            <v>2.8260532756061907</v>
          </cell>
          <cell r="AM588">
            <v>557</v>
          </cell>
          <cell r="AN588">
            <v>0.23483843305525909</v>
          </cell>
        </row>
        <row r="589">
          <cell r="Z589">
            <v>557</v>
          </cell>
          <cell r="AA589">
            <v>97.588035191913576</v>
          </cell>
          <cell r="AC589">
            <v>115.01190644817677</v>
          </cell>
          <cell r="AD589">
            <v>80.164163935650379</v>
          </cell>
          <cell r="AI589">
            <v>3.6801813161179502</v>
          </cell>
          <cell r="AM589">
            <v>558</v>
          </cell>
          <cell r="AN589">
            <v>0.23691721457882409</v>
          </cell>
        </row>
        <row r="590">
          <cell r="Z590">
            <v>558</v>
          </cell>
          <cell r="AA590">
            <v>97.353196758858317</v>
          </cell>
          <cell r="AC590">
            <v>114.56464806233814</v>
          </cell>
          <cell r="AD590">
            <v>80.141745455378498</v>
          </cell>
          <cell r="AI590">
            <v>4.5343093566297092</v>
          </cell>
          <cell r="AM590">
            <v>559</v>
          </cell>
          <cell r="AN590">
            <v>0.2219007497511285</v>
          </cell>
        </row>
        <row r="591">
          <cell r="Z591">
            <v>559</v>
          </cell>
          <cell r="AA591">
            <v>97.116279544279493</v>
          </cell>
          <cell r="AC591">
            <v>114.11759936819762</v>
          </cell>
          <cell r="AD591">
            <v>80.114959720361369</v>
          </cell>
          <cell r="AI591">
            <v>4.2359461146636077</v>
          </cell>
          <cell r="AM591">
            <v>560</v>
          </cell>
          <cell r="AN591">
            <v>0.19233453632875808</v>
          </cell>
        </row>
        <row r="592">
          <cell r="Z592">
            <v>560</v>
          </cell>
          <cell r="AA592">
            <v>96.894378794528365</v>
          </cell>
          <cell r="AC592">
            <v>113.71995982564974</v>
          </cell>
          <cell r="AD592">
            <v>80.068797763406991</v>
          </cell>
          <cell r="AI592">
            <v>1.7438478419860031</v>
          </cell>
          <cell r="AM592">
            <v>561</v>
          </cell>
          <cell r="AN592">
            <v>0.19155359402390104</v>
          </cell>
        </row>
        <row r="593">
          <cell r="Z593">
            <v>561</v>
          </cell>
          <cell r="AA593">
            <v>96.702044258199606</v>
          </cell>
          <cell r="AC593">
            <v>113.41786833152747</v>
          </cell>
          <cell r="AD593">
            <v>79.98622018487174</v>
          </cell>
          <cell r="AI593">
            <v>0.91378415723198003</v>
          </cell>
          <cell r="AM593">
            <v>562</v>
          </cell>
          <cell r="AN593">
            <v>0.19155359402390104</v>
          </cell>
        </row>
        <row r="594">
          <cell r="Z594">
            <v>562</v>
          </cell>
          <cell r="AA594">
            <v>96.510490664175705</v>
          </cell>
          <cell r="AC594">
            <v>113.12082126507714</v>
          </cell>
          <cell r="AD594">
            <v>79.900160063274271</v>
          </cell>
          <cell r="AI594">
            <v>1.7062168210101722</v>
          </cell>
          <cell r="AM594">
            <v>563</v>
          </cell>
          <cell r="AN594">
            <v>0.19155359402392946</v>
          </cell>
        </row>
        <row r="595">
          <cell r="Z595">
            <v>563</v>
          </cell>
          <cell r="AA595">
            <v>96.318937070151804</v>
          </cell>
          <cell r="AC595">
            <v>112.82640544434531</v>
          </cell>
          <cell r="AD595">
            <v>79.811468695958297</v>
          </cell>
          <cell r="AI595">
            <v>4.4983747296708038E-2</v>
          </cell>
          <cell r="AM595">
            <v>564</v>
          </cell>
          <cell r="AN595">
            <v>0.16891536774465976</v>
          </cell>
        </row>
        <row r="596">
          <cell r="Z596">
            <v>564</v>
          </cell>
          <cell r="AA596">
            <v>96.127383476127875</v>
          </cell>
          <cell r="AC596">
            <v>112.53467035762391</v>
          </cell>
          <cell r="AD596">
            <v>79.720096594631841</v>
          </cell>
          <cell r="AI596">
            <v>0</v>
          </cell>
          <cell r="AM596">
            <v>565</v>
          </cell>
          <cell r="AN596">
            <v>0.12291425734447614</v>
          </cell>
        </row>
        <row r="597">
          <cell r="Z597">
            <v>565</v>
          </cell>
          <cell r="AA597">
            <v>95.958468108383215</v>
          </cell>
          <cell r="AC597">
            <v>112.29620278609167</v>
          </cell>
          <cell r="AD597">
            <v>79.620733430674761</v>
          </cell>
          <cell r="AI597">
            <v>0</v>
          </cell>
          <cell r="AM597">
            <v>566</v>
          </cell>
          <cell r="AN597">
            <v>0.12157513399473885</v>
          </cell>
        </row>
        <row r="598">
          <cell r="Z598">
            <v>566</v>
          </cell>
          <cell r="AA598">
            <v>95.835553851038739</v>
          </cell>
          <cell r="AC598">
            <v>112.16255874871861</v>
          </cell>
          <cell r="AD598">
            <v>79.508548953358869</v>
          </cell>
          <cell r="AI598">
            <v>0</v>
          </cell>
          <cell r="AM598">
            <v>567</v>
          </cell>
          <cell r="AN598">
            <v>0.12157513399473885</v>
          </cell>
        </row>
        <row r="599">
          <cell r="Z599">
            <v>567</v>
          </cell>
          <cell r="AA599">
            <v>95.713978717044</v>
          </cell>
          <cell r="AC599">
            <v>112.03374595367565</v>
          </cell>
          <cell r="AD599">
            <v>79.394211480412352</v>
          </cell>
          <cell r="AI599">
            <v>0</v>
          </cell>
          <cell r="AM599">
            <v>568</v>
          </cell>
          <cell r="AN599">
            <v>0.12157513399473885</v>
          </cell>
        </row>
        <row r="600">
          <cell r="Z600">
            <v>568</v>
          </cell>
          <cell r="AA600">
            <v>95.592403583049261</v>
          </cell>
          <cell r="AC600">
            <v>111.90677173922359</v>
          </cell>
          <cell r="AD600">
            <v>79.278035426874936</v>
          </cell>
          <cell r="AI600">
            <v>0</v>
          </cell>
          <cell r="AM600">
            <v>569</v>
          </cell>
          <cell r="AN600">
            <v>0.12157513399472464</v>
          </cell>
        </row>
        <row r="601">
          <cell r="Z601">
            <v>569</v>
          </cell>
          <cell r="AA601">
            <v>95.470828449054522</v>
          </cell>
          <cell r="AC601">
            <v>111.78163793114157</v>
          </cell>
          <cell r="AD601">
            <v>79.160018966967471</v>
          </cell>
          <cell r="AI601">
            <v>0</v>
          </cell>
          <cell r="AM601">
            <v>570</v>
          </cell>
          <cell r="AN601">
            <v>0.12157513399471043</v>
          </cell>
        </row>
        <row r="602">
          <cell r="Z602">
            <v>570</v>
          </cell>
          <cell r="AA602">
            <v>95.349253315059798</v>
          </cell>
          <cell r="AC602">
            <v>111.6583457341697</v>
          </cell>
          <cell r="AD602">
            <v>79.040160895949896</v>
          </cell>
          <cell r="AI602">
            <v>0</v>
          </cell>
          <cell r="AM602">
            <v>571</v>
          </cell>
          <cell r="AN602">
            <v>0.12157513399473885</v>
          </cell>
        </row>
        <row r="603">
          <cell r="Z603">
            <v>571</v>
          </cell>
          <cell r="AA603">
            <v>95.227678181065087</v>
          </cell>
          <cell r="AC603">
            <v>111.53689572997207</v>
          </cell>
          <cell r="AD603">
            <v>78.918460632158101</v>
          </cell>
          <cell r="AI603">
            <v>0</v>
          </cell>
          <cell r="AM603">
            <v>572</v>
          </cell>
          <cell r="AN603">
            <v>0.12157513399473885</v>
          </cell>
        </row>
        <row r="604">
          <cell r="Z604">
            <v>572</v>
          </cell>
          <cell r="AA604">
            <v>95.106103047070349</v>
          </cell>
          <cell r="AC604">
            <v>111.4172878761525</v>
          </cell>
          <cell r="AD604">
            <v>78.794918217988197</v>
          </cell>
          <cell r="AI604">
            <v>0</v>
          </cell>
          <cell r="AM604">
            <v>573</v>
          </cell>
          <cell r="AN604">
            <v>0.12157513399472464</v>
          </cell>
        </row>
        <row r="605">
          <cell r="Z605">
            <v>573</v>
          </cell>
          <cell r="AA605">
            <v>94.98452791307561</v>
          </cell>
          <cell r="AC605">
            <v>111.29952150632478</v>
          </cell>
          <cell r="AD605">
            <v>78.66953431982644</v>
          </cell>
          <cell r="AI605">
            <v>0.65665691899933842</v>
          </cell>
          <cell r="AM605">
            <v>574</v>
          </cell>
          <cell r="AN605">
            <v>0.12157513399472464</v>
          </cell>
        </row>
        <row r="606">
          <cell r="Z606">
            <v>574</v>
          </cell>
          <cell r="AA606">
            <v>94.862952779080885</v>
          </cell>
          <cell r="AC606">
            <v>111.18359533124266</v>
          </cell>
          <cell r="AD606">
            <v>78.542310226919113</v>
          </cell>
          <cell r="AI606">
            <v>2.6076136413620712</v>
          </cell>
          <cell r="AM606">
            <v>575</v>
          </cell>
          <cell r="AN606">
            <v>0.12157513399473885</v>
          </cell>
        </row>
        <row r="607">
          <cell r="Z607">
            <v>575</v>
          </cell>
          <cell r="AA607">
            <v>94.74137764508616</v>
          </cell>
          <cell r="AC607">
            <v>111.0695074409779</v>
          </cell>
          <cell r="AD607">
            <v>78.41324784919442</v>
          </cell>
          <cell r="AI607">
            <v>4.0649489079014325</v>
          </cell>
          <cell r="AM607">
            <v>576</v>
          </cell>
          <cell r="AN607">
            <v>0.12157513399472464</v>
          </cell>
        </row>
        <row r="608">
          <cell r="Z608">
            <v>576</v>
          </cell>
          <cell r="AA608">
            <v>94.619802511091422</v>
          </cell>
          <cell r="AC608">
            <v>110.95725530814416</v>
          </cell>
          <cell r="AD608">
            <v>78.282349714038688</v>
          </cell>
          <cell r="AI608">
            <v>4.4729961982367614</v>
          </cell>
          <cell r="AM608">
            <v>577</v>
          </cell>
          <cell r="AN608">
            <v>0.12157513399473885</v>
          </cell>
        </row>
        <row r="609">
          <cell r="Z609">
            <v>577</v>
          </cell>
          <cell r="AA609">
            <v>94.498227377096697</v>
          </cell>
          <cell r="AC609">
            <v>110.84683579215002</v>
          </cell>
          <cell r="AD609">
            <v>78.149618962043377</v>
          </cell>
          <cell r="AI609">
            <v>4.852359511574786</v>
          </cell>
          <cell r="AM609">
            <v>578</v>
          </cell>
          <cell r="AN609">
            <v>0.12157513399472464</v>
          </cell>
        </row>
        <row r="610">
          <cell r="Z610">
            <v>578</v>
          </cell>
          <cell r="AA610">
            <v>94.376652243101958</v>
          </cell>
          <cell r="AC610">
            <v>110.73824514446603</v>
          </cell>
          <cell r="AD610">
            <v>78.015059341737881</v>
          </cell>
          <cell r="AI610">
            <v>4.6814316274812127</v>
          </cell>
          <cell r="AM610">
            <v>579</v>
          </cell>
          <cell r="AN610">
            <v>0.12157513399473885</v>
          </cell>
        </row>
        <row r="611">
          <cell r="Z611">
            <v>579</v>
          </cell>
          <cell r="AA611">
            <v>94.255077109107233</v>
          </cell>
          <cell r="AC611">
            <v>110.63147901488506</v>
          </cell>
          <cell r="AD611">
            <v>77.878675203329408</v>
          </cell>
          <cell r="AI611">
            <v>3.4328663667697903</v>
          </cell>
          <cell r="AM611">
            <v>580</v>
          </cell>
          <cell r="AN611">
            <v>0.12157513399472464</v>
          </cell>
        </row>
        <row r="612">
          <cell r="Z612">
            <v>580</v>
          </cell>
          <cell r="AA612">
            <v>94.133501975112495</v>
          </cell>
          <cell r="AC612">
            <v>110.52653245875246</v>
          </cell>
          <cell r="AD612">
            <v>77.740471491472533</v>
          </cell>
          <cell r="AI612">
            <v>2.156013833614955</v>
          </cell>
          <cell r="AM612">
            <v>581</v>
          </cell>
          <cell r="AN612">
            <v>0.12157513399473885</v>
          </cell>
        </row>
        <row r="613">
          <cell r="Z613">
            <v>581</v>
          </cell>
          <cell r="AA613">
            <v>94.01192684111777</v>
          </cell>
          <cell r="AC613">
            <v>110.423399945136</v>
          </cell>
          <cell r="AD613">
            <v>77.600453737099542</v>
          </cell>
          <cell r="AI613">
            <v>0.87916130046011887</v>
          </cell>
          <cell r="AM613">
            <v>582</v>
          </cell>
          <cell r="AN613">
            <v>0.10238334080621314</v>
          </cell>
        </row>
        <row r="614">
          <cell r="Z614">
            <v>582</v>
          </cell>
          <cell r="AA614">
            <v>93.890351707123031</v>
          </cell>
          <cell r="AC614">
            <v>110.32207536590791</v>
          </cell>
          <cell r="AD614">
            <v>77.458628048338156</v>
          </cell>
          <cell r="AI614">
            <v>5.5853743415166385E-2</v>
          </cell>
          <cell r="AM614">
            <v>583</v>
          </cell>
          <cell r="AN614">
            <v>6.4990331381267197E-2</v>
          </cell>
        </row>
        <row r="615">
          <cell r="Z615">
            <v>583</v>
          </cell>
          <cell r="AA615">
            <v>93.787968366316818</v>
          </cell>
          <cell r="AC615">
            <v>110.22162661206295</v>
          </cell>
          <cell r="AD615">
            <v>77.354310120570688</v>
          </cell>
          <cell r="AI615">
            <v>0.13208775864969549</v>
          </cell>
          <cell r="AM615">
            <v>584</v>
          </cell>
          <cell r="AN615">
            <v>4.3848036305888627E-2</v>
          </cell>
        </row>
        <row r="616">
          <cell r="Z616">
            <v>584</v>
          </cell>
          <cell r="AA616">
            <v>93.722978034935551</v>
          </cell>
          <cell r="AC616">
            <v>110.12207868035095</v>
          </cell>
          <cell r="AD616">
            <v>77.323877389520149</v>
          </cell>
          <cell r="AI616">
            <v>0.23280569309259916</v>
          </cell>
          <cell r="AM616">
            <v>585</v>
          </cell>
          <cell r="AN616">
            <v>4.503340051030591E-3</v>
          </cell>
        </row>
        <row r="617">
          <cell r="Z617">
            <v>585</v>
          </cell>
          <cell r="AA617">
            <v>93.679129998629662</v>
          </cell>
          <cell r="AC617">
            <v>110.03617208630666</v>
          </cell>
          <cell r="AD617">
            <v>77.322087910952661</v>
          </cell>
          <cell r="AI617">
            <v>0.33352362753550285</v>
          </cell>
          <cell r="AM617">
            <v>586</v>
          </cell>
          <cell r="AN617">
            <v>-3.537931905779601E-2</v>
          </cell>
        </row>
        <row r="618">
          <cell r="Z618">
            <v>586</v>
          </cell>
          <cell r="AA618">
            <v>93.674626658578632</v>
          </cell>
          <cell r="AC618">
            <v>109.97434530157594</v>
          </cell>
          <cell r="AD618">
            <v>77.374908015581326</v>
          </cell>
          <cell r="AI618">
            <v>0.43424156197840652</v>
          </cell>
          <cell r="AM618">
            <v>587</v>
          </cell>
          <cell r="AN618">
            <v>-0.11001081325906625</v>
          </cell>
        </row>
        <row r="619">
          <cell r="Z619">
            <v>587</v>
          </cell>
          <cell r="AA619">
            <v>93.710005977636428</v>
          </cell>
          <cell r="AC619">
            <v>109.90407330091233</v>
          </cell>
          <cell r="AD619">
            <v>77.515938654360525</v>
          </cell>
          <cell r="AI619">
            <v>0.53495949642131013</v>
          </cell>
          <cell r="AM619">
            <v>588</v>
          </cell>
          <cell r="AN619">
            <v>-0.12466443102213987</v>
          </cell>
        </row>
        <row r="620">
          <cell r="Z620">
            <v>588</v>
          </cell>
          <cell r="AA620">
            <v>93.820016790895494</v>
          </cell>
          <cell r="AC620">
            <v>109.81089210232292</v>
          </cell>
          <cell r="AD620">
            <v>77.829141479468063</v>
          </cell>
          <cell r="AI620">
            <v>0.6356774308642138</v>
          </cell>
          <cell r="AM620">
            <v>589</v>
          </cell>
          <cell r="AN620">
            <v>-0.14967724533819649</v>
          </cell>
        </row>
        <row r="621">
          <cell r="Z621">
            <v>589</v>
          </cell>
          <cell r="AA621">
            <v>93.944681221917634</v>
          </cell>
          <cell r="AC621">
            <v>109.72853119843096</v>
          </cell>
          <cell r="AD621">
            <v>78.16083124540431</v>
          </cell>
          <cell r="AI621">
            <v>0.73639536530711747</v>
          </cell>
          <cell r="AM621">
            <v>590</v>
          </cell>
          <cell r="AN621">
            <v>-0.15032929312302201</v>
          </cell>
        </row>
        <row r="622">
          <cell r="Z622">
            <v>590</v>
          </cell>
          <cell r="AA622">
            <v>94.09435846725583</v>
          </cell>
          <cell r="AC622">
            <v>109.66728496062179</v>
          </cell>
          <cell r="AD622">
            <v>78.521431973889875</v>
          </cell>
          <cell r="AI622">
            <v>0.83711329975002113</v>
          </cell>
          <cell r="AM622">
            <v>591</v>
          </cell>
          <cell r="AN622">
            <v>-0.15032929312302201</v>
          </cell>
        </row>
        <row r="623">
          <cell r="Z623">
            <v>591</v>
          </cell>
          <cell r="AA623">
            <v>94.244687760378852</v>
          </cell>
          <cell r="AC623">
            <v>109.60714620919286</v>
          </cell>
          <cell r="AD623">
            <v>78.882229311564842</v>
          </cell>
          <cell r="AI623">
            <v>0.93783123419292502</v>
          </cell>
          <cell r="AM623">
            <v>592</v>
          </cell>
          <cell r="AN623">
            <v>-0.15032929312302201</v>
          </cell>
        </row>
        <row r="624">
          <cell r="Z624">
            <v>592</v>
          </cell>
          <cell r="AA624">
            <v>94.395017053501874</v>
          </cell>
          <cell r="AC624">
            <v>109.54760456241829</v>
          </cell>
          <cell r="AD624">
            <v>79.242429544585463</v>
          </cell>
          <cell r="AI624">
            <v>1.0385491686358284</v>
          </cell>
          <cell r="AM624">
            <v>593</v>
          </cell>
          <cell r="AN624">
            <v>-0.1503292931230078</v>
          </cell>
        </row>
        <row r="625">
          <cell r="Z625">
            <v>593</v>
          </cell>
          <cell r="AA625">
            <v>94.545346346624896</v>
          </cell>
          <cell r="AC625">
            <v>109.48868517833428</v>
          </cell>
          <cell r="AD625">
            <v>79.602007514915513</v>
          </cell>
          <cell r="AI625">
            <v>1.1392671030787322</v>
          </cell>
          <cell r="AM625">
            <v>594</v>
          </cell>
          <cell r="AN625">
            <v>-0.15032929312302201</v>
          </cell>
        </row>
        <row r="626">
          <cell r="Z626">
            <v>594</v>
          </cell>
          <cell r="AA626">
            <v>94.695675639747904</v>
          </cell>
          <cell r="AC626">
            <v>109.43041456730488</v>
          </cell>
          <cell r="AD626">
            <v>79.960936712190929</v>
          </cell>
          <cell r="AI626">
            <v>1.2399850375216359</v>
          </cell>
          <cell r="AM626">
            <v>595</v>
          </cell>
          <cell r="AN626">
            <v>-0.1503292931230078</v>
          </cell>
        </row>
        <row r="627">
          <cell r="Z627">
            <v>595</v>
          </cell>
          <cell r="AA627">
            <v>94.846004932870926</v>
          </cell>
          <cell r="AC627">
            <v>109.37282067780673</v>
          </cell>
          <cell r="AD627">
            <v>80.319189187935123</v>
          </cell>
          <cell r="AI627">
            <v>1.9328982850237353</v>
          </cell>
          <cell r="AM627">
            <v>596</v>
          </cell>
          <cell r="AN627">
            <v>-0.15032929312303622</v>
          </cell>
        </row>
        <row r="628">
          <cell r="Z628">
            <v>596</v>
          </cell>
          <cell r="AA628">
            <v>94.996334225993934</v>
          </cell>
          <cell r="AC628">
            <v>109.3159329882306</v>
          </cell>
          <cell r="AD628">
            <v>80.676735463757268</v>
          </cell>
          <cell r="AI628">
            <v>3.8089907907968588</v>
          </cell>
          <cell r="AM628">
            <v>597</v>
          </cell>
          <cell r="AN628">
            <v>-0.15891587770545357</v>
          </cell>
        </row>
        <row r="629">
          <cell r="Z629">
            <v>597</v>
          </cell>
          <cell r="AA629">
            <v>95.14666351911697</v>
          </cell>
          <cell r="AC629">
            <v>109.25978260511826</v>
          </cell>
          <cell r="AD629">
            <v>81.033544433115679</v>
          </cell>
          <cell r="AI629">
            <v>4.977499147696772</v>
          </cell>
          <cell r="AM629">
            <v>598</v>
          </cell>
          <cell r="AN629">
            <v>-0.17580598388059343</v>
          </cell>
        </row>
        <row r="630">
          <cell r="Z630">
            <v>598</v>
          </cell>
          <cell r="AA630">
            <v>95.305579396822424</v>
          </cell>
          <cell r="AC630">
            <v>109.20615014827798</v>
          </cell>
          <cell r="AD630">
            <v>81.405008645366863</v>
          </cell>
          <cell r="AI630">
            <v>4.7066811146427137</v>
          </cell>
          <cell r="AM630">
            <v>599</v>
          </cell>
          <cell r="AN630">
            <v>-0.17625503277734822</v>
          </cell>
        </row>
        <row r="631">
          <cell r="Z631">
            <v>599</v>
          </cell>
          <cell r="AA631">
            <v>95.481385380703017</v>
          </cell>
          <cell r="AC631">
            <v>109.1564120801342</v>
          </cell>
          <cell r="AD631">
            <v>81.806358681271831</v>
          </cell>
          <cell r="AI631">
            <v>4.398884485899405</v>
          </cell>
        </row>
        <row r="632">
          <cell r="AA632">
            <v>95.657640413480365</v>
          </cell>
          <cell r="AC632">
            <v>109.1070664047258</v>
          </cell>
          <cell r="AD632">
            <v>82.208214422234931</v>
          </cell>
          <cell r="AI632">
            <v>2.7992029170888508</v>
          </cell>
        </row>
      </sheetData>
      <sheetData sheetId="2">
        <row r="30">
          <cell r="AI30" t="str">
            <v>Água gerada no BLD</v>
          </cell>
        </row>
        <row r="32">
          <cell r="D32" t="str">
            <v>TckSld(°C)</v>
          </cell>
          <cell r="F32" t="str">
            <v>Mvap(t/h)</v>
          </cell>
          <cell r="G32" t="str">
            <v>Nivel(m)</v>
          </cell>
          <cell r="Z32">
            <v>0</v>
          </cell>
          <cell r="AA32" t="str">
            <v>média</v>
          </cell>
          <cell r="AC32" t="str">
            <v>M + DP</v>
          </cell>
          <cell r="AD32" t="str">
            <v>M-Dp</v>
          </cell>
        </row>
        <row r="33">
          <cell r="A33">
            <v>0</v>
          </cell>
          <cell r="D33">
            <v>444.1</v>
          </cell>
          <cell r="F33">
            <v>3</v>
          </cell>
          <cell r="G33">
            <v>0</v>
          </cell>
          <cell r="Z33">
            <v>1</v>
          </cell>
          <cell r="AA33">
            <v>433.46952209150413</v>
          </cell>
          <cell r="AC33">
            <v>451.97549631714412</v>
          </cell>
          <cell r="AD33">
            <v>414.96354786586414</v>
          </cell>
          <cell r="AI33">
            <v>1.1835515987616383</v>
          </cell>
        </row>
        <row r="34">
          <cell r="A34">
            <v>5</v>
          </cell>
          <cell r="D34">
            <v>443.63099999999997</v>
          </cell>
          <cell r="F34">
            <v>3</v>
          </cell>
          <cell r="G34">
            <v>0</v>
          </cell>
          <cell r="Z34">
            <v>2</v>
          </cell>
          <cell r="AA34">
            <v>433.46597056066162</v>
          </cell>
          <cell r="AC34">
            <v>451.94813393903098</v>
          </cell>
          <cell r="AD34">
            <v>414.98380718229225</v>
          </cell>
          <cell r="AI34">
            <v>0.64164654471213001</v>
          </cell>
        </row>
        <row r="35">
          <cell r="A35">
            <v>10</v>
          </cell>
          <cell r="D35">
            <v>443.32299999999998</v>
          </cell>
          <cell r="F35">
            <v>3</v>
          </cell>
          <cell r="G35">
            <v>0</v>
          </cell>
          <cell r="Z35">
            <v>3</v>
          </cell>
          <cell r="AA35">
            <v>433.4624190298191</v>
          </cell>
          <cell r="AC35">
            <v>451.9207724440044</v>
          </cell>
          <cell r="AD35">
            <v>415.00406561563381</v>
          </cell>
          <cell r="AI35">
            <v>0.10529033440724013</v>
          </cell>
        </row>
        <row r="36">
          <cell r="A36">
            <v>15</v>
          </cell>
          <cell r="D36">
            <v>443.053</v>
          </cell>
          <cell r="F36">
            <v>3</v>
          </cell>
          <cell r="G36">
            <v>0</v>
          </cell>
          <cell r="Z36">
            <v>4</v>
          </cell>
          <cell r="AA36">
            <v>433.43304084636287</v>
          </cell>
          <cell r="AC36">
            <v>451.82653174070128</v>
          </cell>
          <cell r="AD36">
            <v>415.03954995202446</v>
          </cell>
          <cell r="AI36">
            <v>6.284712813794612E-4</v>
          </cell>
        </row>
        <row r="37">
          <cell r="A37">
            <v>20</v>
          </cell>
          <cell r="D37">
            <v>442.81900000000002</v>
          </cell>
          <cell r="F37">
            <v>3</v>
          </cell>
          <cell r="G37">
            <v>0</v>
          </cell>
          <cell r="Z37">
            <v>5</v>
          </cell>
          <cell r="AA37">
            <v>433.36374122266125</v>
          </cell>
          <cell r="AC37">
            <v>451.62900429742376</v>
          </cell>
          <cell r="AD37">
            <v>415.09847814789873</v>
          </cell>
          <cell r="AI37">
            <v>9.7334125312045208E-4</v>
          </cell>
        </row>
        <row r="38">
          <cell r="A38">
            <v>25</v>
          </cell>
          <cell r="D38">
            <v>442.58300000000003</v>
          </cell>
          <cell r="F38">
            <v>3</v>
          </cell>
          <cell r="G38">
            <v>0</v>
          </cell>
          <cell r="Z38">
            <v>6</v>
          </cell>
          <cell r="AA38">
            <v>433.29399108063359</v>
          </cell>
          <cell r="AC38">
            <v>451.43044729642929</v>
          </cell>
          <cell r="AD38">
            <v>415.15753486483788</v>
          </cell>
          <cell r="AI38">
            <v>1.318211224861443E-3</v>
          </cell>
        </row>
        <row r="39">
          <cell r="A39">
            <v>30</v>
          </cell>
          <cell r="D39">
            <v>442.35199999999998</v>
          </cell>
          <cell r="F39">
            <v>10</v>
          </cell>
          <cell r="G39">
            <v>0</v>
          </cell>
          <cell r="Z39">
            <v>7</v>
          </cell>
          <cell r="AA39">
            <v>433.22424093860587</v>
          </cell>
          <cell r="AC39">
            <v>451.23203018103686</v>
          </cell>
          <cell r="AD39">
            <v>415.21645169617489</v>
          </cell>
          <cell r="AI39">
            <v>1.6630811966024341E-3</v>
          </cell>
        </row>
        <row r="40">
          <cell r="A40">
            <v>35</v>
          </cell>
          <cell r="D40">
            <v>442.00799999999998</v>
          </cell>
          <cell r="F40">
            <v>10</v>
          </cell>
          <cell r="G40">
            <v>0</v>
          </cell>
          <cell r="Z40">
            <v>8</v>
          </cell>
          <cell r="AA40">
            <v>433.15449079657827</v>
          </cell>
          <cell r="AC40">
            <v>451.03375597128007</v>
          </cell>
          <cell r="AD40">
            <v>415.27522562187647</v>
          </cell>
          <cell r="AI40">
            <v>2.0079511683434247E-3</v>
          </cell>
        </row>
        <row r="41">
          <cell r="A41">
            <v>40</v>
          </cell>
          <cell r="D41">
            <v>441.65100000000001</v>
          </cell>
          <cell r="F41">
            <v>10</v>
          </cell>
          <cell r="G41">
            <v>0</v>
          </cell>
          <cell r="Z41">
            <v>9</v>
          </cell>
          <cell r="AA41">
            <v>433.08474065455056</v>
          </cell>
          <cell r="AC41">
            <v>450.83562777125388</v>
          </cell>
          <cell r="AD41">
            <v>415.33385353784723</v>
          </cell>
          <cell r="AI41">
            <v>2.352821140084416E-3</v>
          </cell>
        </row>
        <row r="42">
          <cell r="A42">
            <v>45</v>
          </cell>
          <cell r="D42">
            <v>441.31700000000001</v>
          </cell>
          <cell r="F42">
            <v>10</v>
          </cell>
          <cell r="G42">
            <v>0</v>
          </cell>
          <cell r="Z42">
            <v>10</v>
          </cell>
          <cell r="AA42">
            <v>433.0149905125229</v>
          </cell>
          <cell r="AC42">
            <v>450.63764877192682</v>
          </cell>
          <cell r="AD42">
            <v>415.39233225311898</v>
          </cell>
          <cell r="AI42">
            <v>2.6976911118254069E-3</v>
          </cell>
        </row>
        <row r="43">
          <cell r="A43">
            <v>50</v>
          </cell>
          <cell r="D43">
            <v>440.97699999999998</v>
          </cell>
          <cell r="F43">
            <v>10</v>
          </cell>
          <cell r="G43">
            <v>0</v>
          </cell>
          <cell r="Z43">
            <v>11</v>
          </cell>
          <cell r="AA43">
            <v>432.94524037049524</v>
          </cell>
          <cell r="AC43">
            <v>450.43982225405784</v>
          </cell>
          <cell r="AD43">
            <v>415.45065848693264</v>
          </cell>
          <cell r="AI43">
            <v>3.0425610835663978E-3</v>
          </cell>
        </row>
        <row r="44">
          <cell r="A44">
            <v>55</v>
          </cell>
          <cell r="D44">
            <v>440.64699999999999</v>
          </cell>
          <cell r="F44">
            <v>10</v>
          </cell>
          <cell r="G44">
            <v>0</v>
          </cell>
          <cell r="Z44">
            <v>12</v>
          </cell>
          <cell r="AA44">
            <v>432.8662342035293</v>
          </cell>
          <cell r="AC44">
            <v>450.23437282765423</v>
          </cell>
          <cell r="AD44">
            <v>415.49809557940438</v>
          </cell>
          <cell r="AI44">
            <v>3.3874310553073887E-3</v>
          </cell>
        </row>
        <row r="45">
          <cell r="A45">
            <v>60</v>
          </cell>
          <cell r="D45">
            <v>440.31200000000001</v>
          </cell>
          <cell r="F45">
            <v>10</v>
          </cell>
          <cell r="G45">
            <v>0</v>
          </cell>
          <cell r="Z45">
            <v>13</v>
          </cell>
          <cell r="AA45">
            <v>432.72781778374957</v>
          </cell>
          <cell r="AC45">
            <v>449.97920625032782</v>
          </cell>
          <cell r="AD45">
            <v>415.47642931717132</v>
          </cell>
          <cell r="AI45">
            <v>3.7323010270483795E-3</v>
          </cell>
        </row>
        <row r="46">
          <cell r="A46">
            <v>65</v>
          </cell>
          <cell r="D46">
            <v>439.98200000000003</v>
          </cell>
          <cell r="F46">
            <v>10</v>
          </cell>
          <cell r="G46">
            <v>0</v>
          </cell>
          <cell r="Z46">
            <v>14</v>
          </cell>
          <cell r="AA46">
            <v>432.57335844195364</v>
          </cell>
          <cell r="AC46">
            <v>449.71777701736511</v>
          </cell>
          <cell r="AD46">
            <v>415.42893986654218</v>
          </cell>
          <cell r="AI46">
            <v>4.4511804528883656E-3</v>
          </cell>
        </row>
        <row r="47">
          <cell r="A47">
            <v>70</v>
          </cell>
          <cell r="D47">
            <v>439.649</v>
          </cell>
          <cell r="F47">
            <v>10</v>
          </cell>
          <cell r="G47">
            <v>0</v>
          </cell>
          <cell r="Z47">
            <v>15</v>
          </cell>
          <cell r="AA47">
            <v>432.40113401488725</v>
          </cell>
          <cell r="AC47">
            <v>449.46383511313508</v>
          </cell>
          <cell r="AD47">
            <v>415.33843291663942</v>
          </cell>
          <cell r="AI47">
            <v>5.7149131575392354E-3</v>
          </cell>
        </row>
        <row r="48">
          <cell r="A48">
            <v>75</v>
          </cell>
          <cell r="D48">
            <v>439.31900000000002</v>
          </cell>
          <cell r="F48">
            <v>10</v>
          </cell>
          <cell r="G48">
            <v>0</v>
          </cell>
          <cell r="Z48">
            <v>16</v>
          </cell>
          <cell r="AA48">
            <v>432.22754304280011</v>
          </cell>
          <cell r="AC48">
            <v>449.21066105846222</v>
          </cell>
          <cell r="AD48">
            <v>415.24442502713799</v>
          </cell>
          <cell r="AI48">
            <v>6.983263262857994E-3</v>
          </cell>
        </row>
        <row r="49">
          <cell r="A49">
            <v>80</v>
          </cell>
          <cell r="D49">
            <v>438.988</v>
          </cell>
          <cell r="F49">
            <v>10</v>
          </cell>
          <cell r="G49">
            <v>0</v>
          </cell>
          <cell r="Z49">
            <v>17</v>
          </cell>
          <cell r="AA49">
            <v>432.05395207071291</v>
          </cell>
          <cell r="AC49">
            <v>448.95770468021931</v>
          </cell>
          <cell r="AD49">
            <v>415.15019946120651</v>
          </cell>
          <cell r="AI49">
            <v>8.2516133681767509E-3</v>
          </cell>
        </row>
        <row r="50">
          <cell r="A50">
            <v>85</v>
          </cell>
          <cell r="D50">
            <v>438.65899999999999</v>
          </cell>
          <cell r="F50">
            <v>10</v>
          </cell>
          <cell r="G50">
            <v>0</v>
          </cell>
          <cell r="Z50">
            <v>18</v>
          </cell>
          <cell r="AA50">
            <v>431.88036109862577</v>
          </cell>
          <cell r="AC50">
            <v>448.70496905889075</v>
          </cell>
          <cell r="AD50">
            <v>415.05575313836079</v>
          </cell>
          <cell r="AI50">
            <v>9.5199634734955095E-3</v>
          </cell>
        </row>
        <row r="51">
          <cell r="A51">
            <v>90</v>
          </cell>
          <cell r="D51">
            <v>438.32900000000001</v>
          </cell>
          <cell r="F51">
            <v>10</v>
          </cell>
          <cell r="G51">
            <v>0</v>
          </cell>
          <cell r="Z51">
            <v>19</v>
          </cell>
          <cell r="AA51">
            <v>431.70677012653852</v>
          </cell>
          <cell r="AC51">
            <v>448.45245732454742</v>
          </cell>
          <cell r="AD51">
            <v>414.96108292852961</v>
          </cell>
          <cell r="AI51">
            <v>1.0788313578814268E-2</v>
          </cell>
        </row>
        <row r="52">
          <cell r="A52">
            <v>95</v>
          </cell>
          <cell r="D52">
            <v>438</v>
          </cell>
          <cell r="F52">
            <v>10</v>
          </cell>
          <cell r="G52">
            <v>0</v>
          </cell>
          <cell r="Z52">
            <v>20</v>
          </cell>
          <cell r="AA52">
            <v>431.53317915445132</v>
          </cell>
          <cell r="AC52">
            <v>448.20017265760697</v>
          </cell>
          <cell r="AD52">
            <v>414.86618565129567</v>
          </cell>
          <cell r="AI52">
            <v>1.2056663684133027E-2</v>
          </cell>
        </row>
        <row r="53">
          <cell r="A53">
            <v>100</v>
          </cell>
          <cell r="D53">
            <v>437.67099999999999</v>
          </cell>
          <cell r="F53">
            <v>10</v>
          </cell>
          <cell r="G53">
            <v>0</v>
          </cell>
          <cell r="Z53">
            <v>21</v>
          </cell>
          <cell r="AA53">
            <v>431.35958818236412</v>
          </cell>
          <cell r="AC53">
            <v>447.94811828959888</v>
          </cell>
          <cell r="AD53">
            <v>414.77105807512936</v>
          </cell>
          <cell r="AI53">
            <v>1.3325013789451784E-2</v>
          </cell>
        </row>
        <row r="54">
          <cell r="A54">
            <v>105</v>
          </cell>
          <cell r="D54">
            <v>437.34300000000002</v>
          </cell>
          <cell r="F54">
            <v>10</v>
          </cell>
          <cell r="G54">
            <v>0</v>
          </cell>
          <cell r="Z54">
            <v>22</v>
          </cell>
          <cell r="AA54">
            <v>431.18599721027687</v>
          </cell>
          <cell r="AC54">
            <v>447.69629750393494</v>
          </cell>
          <cell r="AD54">
            <v>414.67569691661879</v>
          </cell>
          <cell r="AI54">
            <v>1.4593363894770542E-2</v>
          </cell>
        </row>
        <row r="55">
          <cell r="A55">
            <v>110</v>
          </cell>
          <cell r="D55">
            <v>437.01499999999999</v>
          </cell>
          <cell r="F55">
            <v>10</v>
          </cell>
          <cell r="G55">
            <v>0</v>
          </cell>
          <cell r="Z55">
            <v>23</v>
          </cell>
          <cell r="AA55">
            <v>431.01240623818984</v>
          </cell>
          <cell r="AC55">
            <v>447.44471363668464</v>
          </cell>
          <cell r="AD55">
            <v>414.58009883969504</v>
          </cell>
          <cell r="AI55">
            <v>1.5861714000089303E-2</v>
          </cell>
        </row>
        <row r="56">
          <cell r="A56">
            <v>115</v>
          </cell>
          <cell r="D56">
            <v>436.68799999999999</v>
          </cell>
          <cell r="F56">
            <v>10</v>
          </cell>
          <cell r="G56">
            <v>0</v>
          </cell>
          <cell r="Z56">
            <v>24</v>
          </cell>
          <cell r="AA56">
            <v>430.83881526610253</v>
          </cell>
          <cell r="AC56">
            <v>447.19337007735356</v>
          </cell>
          <cell r="AD56">
            <v>414.48426045485149</v>
          </cell>
          <cell r="AI56">
            <v>1.7130064105408058E-2</v>
          </cell>
        </row>
        <row r="57">
          <cell r="A57">
            <v>120</v>
          </cell>
          <cell r="D57">
            <v>436.36099999999999</v>
          </cell>
          <cell r="F57">
            <v>10</v>
          </cell>
          <cell r="G57">
            <v>0</v>
          </cell>
          <cell r="Z57">
            <v>25</v>
          </cell>
          <cell r="AA57">
            <v>430.66522429401533</v>
          </cell>
          <cell r="AC57">
            <v>446.9422702696686</v>
          </cell>
          <cell r="AD57">
            <v>414.38817831836207</v>
          </cell>
          <cell r="AI57">
            <v>1.839841421072682E-2</v>
          </cell>
        </row>
        <row r="58">
          <cell r="A58">
            <v>125</v>
          </cell>
          <cell r="D58">
            <v>436.03399999999999</v>
          </cell>
          <cell r="F58">
            <v>10</v>
          </cell>
          <cell r="G58">
            <v>0</v>
          </cell>
          <cell r="Z58">
            <v>26</v>
          </cell>
          <cell r="AA58">
            <v>430.49163332192819</v>
          </cell>
          <cell r="AC58">
            <v>446.69141771236303</v>
          </cell>
          <cell r="AD58">
            <v>414.29184893149335</v>
          </cell>
          <cell r="AI58">
            <v>1.9666764316045575E-2</v>
          </cell>
        </row>
        <row r="59">
          <cell r="A59">
            <v>130</v>
          </cell>
          <cell r="D59">
            <v>435.70800000000003</v>
          </cell>
          <cell r="F59">
            <v>10</v>
          </cell>
          <cell r="G59">
            <v>0</v>
          </cell>
          <cell r="Z59">
            <v>27</v>
          </cell>
          <cell r="AA59">
            <v>430.31804234984094</v>
          </cell>
          <cell r="AC59">
            <v>446.44081595996619</v>
          </cell>
          <cell r="AD59">
            <v>414.19526873971569</v>
          </cell>
          <cell r="AI59">
            <v>0.98181973878501194</v>
          </cell>
        </row>
        <row r="60">
          <cell r="A60">
            <v>135</v>
          </cell>
          <cell r="D60">
            <v>434.06400000000002</v>
          </cell>
          <cell r="F60">
            <v>4.2286200000000003</v>
          </cell>
          <cell r="G60">
            <v>8.08535</v>
          </cell>
          <cell r="Z60">
            <v>28</v>
          </cell>
          <cell r="AA60">
            <v>430.14445137775374</v>
          </cell>
          <cell r="AC60">
            <v>446.19046862359556</v>
          </cell>
          <cell r="AD60">
            <v>414.09843413191192</v>
          </cell>
          <cell r="AI60">
            <v>5.0501140177691424</v>
          </cell>
        </row>
        <row r="61">
          <cell r="A61">
            <v>140</v>
          </cell>
          <cell r="D61">
            <v>407.86200000000002</v>
          </cell>
          <cell r="F61">
            <v>30</v>
          </cell>
          <cell r="G61">
            <v>8.0056799999999999</v>
          </cell>
          <cell r="Z61">
            <v>29</v>
          </cell>
          <cell r="AA61">
            <v>429.97086040566654</v>
          </cell>
          <cell r="AC61">
            <v>445.94037937174954</v>
          </cell>
          <cell r="AD61">
            <v>414.00134143958354</v>
          </cell>
          <cell r="AI61">
            <v>6.5810864660474984</v>
          </cell>
        </row>
        <row r="62">
          <cell r="A62">
            <v>145</v>
          </cell>
          <cell r="D62">
            <v>397.85700000000003</v>
          </cell>
          <cell r="F62">
            <v>5.2087399999999997</v>
          </cell>
          <cell r="G62">
            <v>7.98386</v>
          </cell>
          <cell r="Z62">
            <v>30</v>
          </cell>
          <cell r="AA62">
            <v>429.7972694335794</v>
          </cell>
          <cell r="AC62">
            <v>445.6905519311016</v>
          </cell>
          <cell r="AD62">
            <v>413.90398693605721</v>
          </cell>
          <cell r="AI62">
            <v>8.3466189103919373</v>
          </cell>
        </row>
        <row r="63">
          <cell r="A63">
            <v>150</v>
          </cell>
          <cell r="D63">
            <v>388.07100000000003</v>
          </cell>
          <cell r="F63">
            <v>6.0927800000000003</v>
          </cell>
          <cell r="G63">
            <v>8.6017499999999991</v>
          </cell>
          <cell r="Z63">
            <v>31</v>
          </cell>
          <cell r="AA63">
            <v>429.62367846149215</v>
          </cell>
          <cell r="AC63">
            <v>445.44099008729421</v>
          </cell>
          <cell r="AD63">
            <v>413.80636683569008</v>
          </cell>
          <cell r="AI63">
            <v>11.574247992630546</v>
          </cell>
        </row>
        <row r="64">
          <cell r="A64">
            <v>155</v>
          </cell>
          <cell r="D64">
            <v>378.51900000000001</v>
          </cell>
          <cell r="F64">
            <v>4.2171099999999999</v>
          </cell>
          <cell r="G64">
            <v>8.7034400000000005</v>
          </cell>
          <cell r="Z64">
            <v>32</v>
          </cell>
          <cell r="AA64">
            <v>429.45008748940489</v>
          </cell>
          <cell r="AC64">
            <v>445.19169768573329</v>
          </cell>
          <cell r="AD64">
            <v>413.7084772930765</v>
          </cell>
          <cell r="AI64">
            <v>14.909938653156122</v>
          </cell>
        </row>
        <row r="65">
          <cell r="A65">
            <v>160</v>
          </cell>
          <cell r="D65">
            <v>369.173</v>
          </cell>
          <cell r="F65">
            <v>30</v>
          </cell>
          <cell r="G65">
            <v>9.2096999999999998</v>
          </cell>
          <cell r="Z65">
            <v>33</v>
          </cell>
          <cell r="AA65">
            <v>429.27649651731781</v>
          </cell>
          <cell r="AC65">
            <v>444.94267863238008</v>
          </cell>
          <cell r="AD65">
            <v>413.61031440225554</v>
          </cell>
          <cell r="AI65">
            <v>16.075376510620117</v>
          </cell>
        </row>
        <row r="66">
          <cell r="A66">
            <v>165</v>
          </cell>
          <cell r="D66">
            <v>359.97399999999999</v>
          </cell>
          <cell r="F66">
            <v>6.7355999999999998</v>
          </cell>
          <cell r="G66">
            <v>9.2024399999999993</v>
          </cell>
          <cell r="Z66">
            <v>34</v>
          </cell>
          <cell r="AA66">
            <v>429.10290554523061</v>
          </cell>
          <cell r="AC66">
            <v>444.69393689454074</v>
          </cell>
          <cell r="AD66">
            <v>413.51187419592048</v>
          </cell>
          <cell r="AI66">
            <v>16.248039103578758</v>
          </cell>
        </row>
        <row r="67">
          <cell r="A67">
            <v>170</v>
          </cell>
          <cell r="D67">
            <v>350.84699999999998</v>
          </cell>
          <cell r="F67">
            <v>30</v>
          </cell>
          <cell r="G67">
            <v>9.6420499999999993</v>
          </cell>
          <cell r="Z67">
            <v>35</v>
          </cell>
          <cell r="AA67">
            <v>428.92931457314336</v>
          </cell>
          <cell r="AC67">
            <v>444.44547650165435</v>
          </cell>
          <cell r="AD67">
            <v>413.41315264463236</v>
          </cell>
          <cell r="AI67">
            <v>16.784100178309849</v>
          </cell>
        </row>
        <row r="68">
          <cell r="A68">
            <v>175</v>
          </cell>
          <cell r="D68">
            <v>341.935</v>
          </cell>
          <cell r="F68">
            <v>5.0373200000000002</v>
          </cell>
          <cell r="G68">
            <v>9.7700399999999998</v>
          </cell>
          <cell r="Z68">
            <v>36</v>
          </cell>
          <cell r="AA68">
            <v>428.75572360105622</v>
          </cell>
          <cell r="AC68">
            <v>444.19730154607544</v>
          </cell>
          <cell r="AD68">
            <v>413.314145656037</v>
          </cell>
          <cell r="AI68">
            <v>17.601687349591934</v>
          </cell>
        </row>
        <row r="69">
          <cell r="A69">
            <v>180</v>
          </cell>
          <cell r="D69">
            <v>333.267</v>
          </cell>
          <cell r="F69">
            <v>7.7087899999999996</v>
          </cell>
          <cell r="G69">
            <v>10.2096</v>
          </cell>
          <cell r="Z69">
            <v>37</v>
          </cell>
          <cell r="AA69">
            <v>428.58213262896896</v>
          </cell>
          <cell r="AC69">
            <v>443.94941618385155</v>
          </cell>
          <cell r="AD69">
            <v>413.21484907408637</v>
          </cell>
          <cell r="AI69">
            <v>18.419274520874026</v>
          </cell>
        </row>
        <row r="70">
          <cell r="A70">
            <v>185</v>
          </cell>
          <cell r="D70">
            <v>324.81299999999999</v>
          </cell>
          <cell r="F70">
            <v>5.2580600000000004</v>
          </cell>
          <cell r="G70">
            <v>10.286300000000001</v>
          </cell>
          <cell r="Z70">
            <v>38</v>
          </cell>
          <cell r="AA70">
            <v>428.40854165688182</v>
          </cell>
          <cell r="AC70">
            <v>443.70182463549543</v>
          </cell>
          <cell r="AD70">
            <v>413.11525867826822</v>
          </cell>
          <cell r="AI70">
            <v>19.214652352508292</v>
          </cell>
        </row>
        <row r="71">
          <cell r="A71">
            <v>190</v>
          </cell>
          <cell r="D71">
            <v>316.60500000000002</v>
          </cell>
          <cell r="F71">
            <v>7.66228</v>
          </cell>
          <cell r="G71">
            <v>10.5619</v>
          </cell>
          <cell r="Z71">
            <v>39</v>
          </cell>
          <cell r="AA71">
            <v>428.23495068479457</v>
          </cell>
          <cell r="AC71">
            <v>443.45453118674891</v>
          </cell>
          <cell r="AD71">
            <v>413.01537018284023</v>
          </cell>
          <cell r="AI71">
            <v>19.906898925293525</v>
          </cell>
        </row>
        <row r="72">
          <cell r="A72">
            <v>195</v>
          </cell>
          <cell r="D72">
            <v>308.68</v>
          </cell>
          <cell r="F72">
            <v>5.2952300000000001</v>
          </cell>
          <cell r="G72">
            <v>10.504799999999999</v>
          </cell>
          <cell r="Z72">
            <v>40</v>
          </cell>
          <cell r="AA72">
            <v>428.06135971270737</v>
          </cell>
          <cell r="AC72">
            <v>443.20754018933962</v>
          </cell>
          <cell r="AD72">
            <v>412.91517923607512</v>
          </cell>
          <cell r="AI72">
            <v>20.586158029564981</v>
          </cell>
        </row>
        <row r="73">
          <cell r="A73">
            <v>200</v>
          </cell>
          <cell r="D73">
            <v>301.19200000000001</v>
          </cell>
          <cell r="F73">
            <v>7.5862600000000002</v>
          </cell>
          <cell r="G73">
            <v>10.7936</v>
          </cell>
          <cell r="Z73">
            <v>41</v>
          </cell>
          <cell r="AA73">
            <v>427.88776874062023</v>
          </cell>
          <cell r="AC73">
            <v>442.9608560617263</v>
          </cell>
          <cell r="AD73">
            <v>412.81468141951416</v>
          </cell>
          <cell r="AI73">
            <v>21.265417133836443</v>
          </cell>
        </row>
        <row r="74">
          <cell r="A74">
            <v>205</v>
          </cell>
          <cell r="D74">
            <v>293.91399999999999</v>
          </cell>
          <cell r="F74">
            <v>5.6040999999999999</v>
          </cell>
          <cell r="G74">
            <v>10.8536</v>
          </cell>
          <cell r="Z74">
            <v>42</v>
          </cell>
          <cell r="AA74">
            <v>427.71417776853303</v>
          </cell>
          <cell r="AC74">
            <v>442.71448328983462</v>
          </cell>
          <cell r="AD74">
            <v>412.71387224723145</v>
          </cell>
          <cell r="AI74">
            <v>21.55999644753804</v>
          </cell>
        </row>
        <row r="75">
          <cell r="A75">
            <v>210</v>
          </cell>
          <cell r="D75">
            <v>286.97899999999998</v>
          </cell>
          <cell r="F75">
            <v>8.2779900000000008</v>
          </cell>
          <cell r="G75">
            <v>11.2021</v>
          </cell>
          <cell r="Z75">
            <v>43</v>
          </cell>
          <cell r="AA75">
            <v>427.54058679644578</v>
          </cell>
          <cell r="AC75">
            <v>442.46842642777966</v>
          </cell>
          <cell r="AD75">
            <v>412.6127471651119</v>
          </cell>
          <cell r="AI75">
            <v>21.326833238639679</v>
          </cell>
        </row>
        <row r="76">
          <cell r="A76">
            <v>215</v>
          </cell>
          <cell r="D76">
            <v>280.31200000000001</v>
          </cell>
          <cell r="F76">
            <v>5.7301799999999998</v>
          </cell>
          <cell r="G76">
            <v>11.307</v>
          </cell>
          <cell r="Z76">
            <v>44</v>
          </cell>
          <cell r="AA76">
            <v>427.36699582435864</v>
          </cell>
          <cell r="AC76">
            <v>442.22269009857496</v>
          </cell>
          <cell r="AD76">
            <v>412.51130155014232</v>
          </cell>
          <cell r="AI76">
            <v>21.090490857918425</v>
          </cell>
        </row>
        <row r="77">
          <cell r="A77">
            <v>220</v>
          </cell>
          <cell r="D77">
            <v>273.78500000000003</v>
          </cell>
          <cell r="F77">
            <v>30</v>
          </cell>
          <cell r="G77">
            <v>11.5144</v>
          </cell>
          <cell r="Z77">
            <v>45</v>
          </cell>
          <cell r="AA77">
            <v>427.19340485227144</v>
          </cell>
          <cell r="AC77">
            <v>441.97727899482521</v>
          </cell>
          <cell r="AD77">
            <v>412.40953070971767</v>
          </cell>
          <cell r="AI77">
            <v>20.854148477197167</v>
          </cell>
        </row>
        <row r="78">
          <cell r="A78">
            <v>225</v>
          </cell>
          <cell r="D78">
            <v>267.40699999999998</v>
          </cell>
          <cell r="F78">
            <v>6.0782800000000003</v>
          </cell>
          <cell r="G78">
            <v>11.727600000000001</v>
          </cell>
          <cell r="Z78">
            <v>46</v>
          </cell>
          <cell r="AA78">
            <v>427.01981388018424</v>
          </cell>
          <cell r="AC78">
            <v>441.73219787940371</v>
          </cell>
          <cell r="AD78">
            <v>412.30742988096478</v>
          </cell>
          <cell r="AI78">
            <v>20.450823184482392</v>
          </cell>
        </row>
        <row r="79">
          <cell r="A79">
            <v>230</v>
          </cell>
          <cell r="D79">
            <v>261.19099999999997</v>
          </cell>
          <cell r="F79">
            <v>30</v>
          </cell>
          <cell r="G79">
            <v>12.0273</v>
          </cell>
          <cell r="Z79">
            <v>47</v>
          </cell>
          <cell r="AA79">
            <v>426.8462229080971</v>
          </cell>
          <cell r="AC79">
            <v>441.48745158610888</v>
          </cell>
          <cell r="AD79">
            <v>412.20499423008533</v>
          </cell>
          <cell r="AI79">
            <v>19.615550359090168</v>
          </cell>
        </row>
        <row r="80">
          <cell r="A80">
            <v>235</v>
          </cell>
          <cell r="D80">
            <v>255.126</v>
          </cell>
          <cell r="F80">
            <v>6.3305300000000004</v>
          </cell>
          <cell r="G80">
            <v>12.112399999999999</v>
          </cell>
          <cell r="Z80">
            <v>48</v>
          </cell>
          <cell r="AA80">
            <v>426.66949391311255</v>
          </cell>
          <cell r="AC80">
            <v>441.23468551782952</v>
          </cell>
          <cell r="AD80">
            <v>412.10430230839557</v>
          </cell>
          <cell r="AI80">
            <v>18.758197148640949</v>
          </cell>
        </row>
        <row r="81">
          <cell r="A81">
            <v>240</v>
          </cell>
          <cell r="D81">
            <v>249.22</v>
          </cell>
          <cell r="F81">
            <v>9.1999200000000005</v>
          </cell>
          <cell r="G81">
            <v>12.402100000000001</v>
          </cell>
          <cell r="Z81">
            <v>49</v>
          </cell>
          <cell r="AA81">
            <v>426.46373820632766</v>
          </cell>
          <cell r="AC81">
            <v>440.90486525290186</v>
          </cell>
          <cell r="AD81">
            <v>412.02261115975347</v>
          </cell>
          <cell r="AI81">
            <v>17.900843938191731</v>
          </cell>
        </row>
        <row r="82">
          <cell r="A82">
            <v>245</v>
          </cell>
          <cell r="D82">
            <v>243.48099999999999</v>
          </cell>
          <cell r="F82">
            <v>6.0227300000000001</v>
          </cell>
          <cell r="G82">
            <v>12.335900000000001</v>
          </cell>
          <cell r="Z82">
            <v>50</v>
          </cell>
          <cell r="AA82">
            <v>426.25092194802374</v>
          </cell>
          <cell r="AC82">
            <v>440.55642686725713</v>
          </cell>
          <cell r="AD82">
            <v>411.94541702879036</v>
          </cell>
          <cell r="AI82">
            <v>17.043490727742515</v>
          </cell>
        </row>
        <row r="83">
          <cell r="A83">
            <v>250</v>
          </cell>
          <cell r="D83">
            <v>237.88200000000001</v>
          </cell>
          <cell r="F83">
            <v>30</v>
          </cell>
          <cell r="G83">
            <v>12.8202</v>
          </cell>
          <cell r="Z83">
            <v>51</v>
          </cell>
          <cell r="AA83">
            <v>426.03810568972</v>
          </cell>
          <cell r="AC83">
            <v>440.20818494480113</v>
          </cell>
          <cell r="AD83">
            <v>411.86802643463886</v>
          </cell>
          <cell r="AI83">
            <v>16.186137517293297</v>
          </cell>
        </row>
        <row r="84">
          <cell r="A84">
            <v>255</v>
          </cell>
          <cell r="D84">
            <v>232.44399999999999</v>
          </cell>
          <cell r="F84">
            <v>9.0823300000000007</v>
          </cell>
          <cell r="G84">
            <v>12.7859</v>
          </cell>
          <cell r="Z84">
            <v>52</v>
          </cell>
          <cell r="AA84">
            <v>425.82528943141614</v>
          </cell>
          <cell r="AC84">
            <v>439.86014517269513</v>
          </cell>
          <cell r="AD84">
            <v>411.79043369013715</v>
          </cell>
          <cell r="AI84">
            <v>15.451828021694114</v>
          </cell>
        </row>
        <row r="85">
          <cell r="A85">
            <v>260</v>
          </cell>
          <cell r="D85">
            <v>227.137</v>
          </cell>
          <cell r="F85">
            <v>9.4027399999999997</v>
          </cell>
          <cell r="G85">
            <v>13.1907</v>
          </cell>
          <cell r="Z85">
            <v>53</v>
          </cell>
          <cell r="AA85">
            <v>425.61247317311228</v>
          </cell>
          <cell r="AC85">
            <v>439.51231345075212</v>
          </cell>
          <cell r="AD85">
            <v>411.71263289547244</v>
          </cell>
          <cell r="AI85">
            <v>15.254893117480808</v>
          </cell>
        </row>
        <row r="86">
          <cell r="A86">
            <v>265</v>
          </cell>
          <cell r="D86">
            <v>221.97</v>
          </cell>
          <cell r="F86">
            <v>30</v>
          </cell>
          <cell r="G86">
            <v>13.192299999999999</v>
          </cell>
          <cell r="Z86">
            <v>54</v>
          </cell>
          <cell r="AA86">
            <v>425.39965691480847</v>
          </cell>
          <cell r="AC86">
            <v>439.16469590100257</v>
          </cell>
          <cell r="AD86">
            <v>411.63461792861438</v>
          </cell>
          <cell r="AI86">
            <v>15.120735618803236</v>
          </cell>
        </row>
        <row r="87">
          <cell r="A87">
            <v>270</v>
          </cell>
          <cell r="D87">
            <v>217.517</v>
          </cell>
          <cell r="F87">
            <v>40</v>
          </cell>
          <cell r="G87">
            <v>13.846299999999999</v>
          </cell>
          <cell r="Z87">
            <v>55</v>
          </cell>
          <cell r="AA87">
            <v>425.18684065650456</v>
          </cell>
          <cell r="AC87">
            <v>438.81729887775111</v>
          </cell>
          <cell r="AD87">
            <v>411.556382435258</v>
          </cell>
          <cell r="AI87">
            <v>14.986578120125664</v>
          </cell>
        </row>
        <row r="88">
          <cell r="A88">
            <v>275</v>
          </cell>
          <cell r="D88">
            <v>211.99</v>
          </cell>
          <cell r="F88">
            <v>8.4696300000000004</v>
          </cell>
          <cell r="G88">
            <v>13.799899999999999</v>
          </cell>
          <cell r="Z88">
            <v>56</v>
          </cell>
          <cell r="AA88">
            <v>424.9740243982007</v>
          </cell>
          <cell r="AC88">
            <v>438.4701289781529</v>
          </cell>
          <cell r="AD88">
            <v>411.47791981824849</v>
          </cell>
          <cell r="AI88">
            <v>14.852420621448093</v>
          </cell>
        </row>
        <row r="89">
          <cell r="A89">
            <v>280</v>
          </cell>
          <cell r="D89">
            <v>206.66399999999999</v>
          </cell>
          <cell r="F89">
            <v>9.2844700000000007</v>
          </cell>
          <cell r="G89">
            <v>14.1572</v>
          </cell>
          <cell r="Z89">
            <v>57</v>
          </cell>
          <cell r="AA89">
            <v>424.76120813989684</v>
          </cell>
          <cell r="AC89">
            <v>438.1231930533379</v>
          </cell>
          <cell r="AD89">
            <v>411.39922322645577</v>
          </cell>
          <cell r="AI89">
            <v>14.718263122770521</v>
          </cell>
        </row>
        <row r="90">
          <cell r="A90">
            <v>285</v>
          </cell>
          <cell r="D90">
            <v>201.518</v>
          </cell>
          <cell r="F90">
            <v>7.1166</v>
          </cell>
          <cell r="G90">
            <v>14.573700000000001</v>
          </cell>
          <cell r="Z90">
            <v>58</v>
          </cell>
          <cell r="AA90">
            <v>424.54839188159298</v>
          </cell>
          <cell r="AC90">
            <v>437.77649822011341</v>
          </cell>
          <cell r="AD90">
            <v>411.32028554307254</v>
          </cell>
          <cell r="AI90">
            <v>14.584105624092949</v>
          </cell>
        </row>
        <row r="91">
          <cell r="A91">
            <v>290</v>
          </cell>
          <cell r="D91">
            <v>196.547</v>
          </cell>
          <cell r="F91">
            <v>40</v>
          </cell>
          <cell r="G91">
            <v>14.8353</v>
          </cell>
          <cell r="Z91">
            <v>59</v>
          </cell>
          <cell r="AA91">
            <v>424.33557562328923</v>
          </cell>
          <cell r="AC91">
            <v>437.43005187327873</v>
          </cell>
          <cell r="AD91">
            <v>411.24109937329973</v>
          </cell>
          <cell r="AI91">
            <v>14.449948125415379</v>
          </cell>
        </row>
        <row r="92">
          <cell r="A92">
            <v>295</v>
          </cell>
          <cell r="D92">
            <v>191.74299999999999</v>
          </cell>
          <cell r="F92">
            <v>40</v>
          </cell>
          <cell r="G92">
            <v>15.3866</v>
          </cell>
          <cell r="Z92">
            <v>60</v>
          </cell>
          <cell r="AA92">
            <v>424.12275936498531</v>
          </cell>
          <cell r="AC92">
            <v>437.08386169858454</v>
          </cell>
          <cell r="AD92">
            <v>411.16165703138608</v>
          </cell>
          <cell r="AI92">
            <v>14.315790626737806</v>
          </cell>
        </row>
        <row r="93">
          <cell r="A93">
            <v>300</v>
          </cell>
          <cell r="D93">
            <v>187.102</v>
          </cell>
          <cell r="F93">
            <v>40</v>
          </cell>
          <cell r="G93">
            <v>15.994400000000001</v>
          </cell>
          <cell r="Z93">
            <v>61</v>
          </cell>
          <cell r="AA93">
            <v>423.9099431066814</v>
          </cell>
          <cell r="AC93">
            <v>436.73793568637535</v>
          </cell>
          <cell r="AD93">
            <v>411.08195052698744</v>
          </cell>
          <cell r="AI93">
            <v>14.245514879624048</v>
          </cell>
        </row>
        <row r="94">
          <cell r="A94">
            <v>305</v>
          </cell>
          <cell r="D94">
            <v>182.619</v>
          </cell>
          <cell r="F94">
            <v>40</v>
          </cell>
          <cell r="G94">
            <v>16.4803</v>
          </cell>
          <cell r="Z94">
            <v>62</v>
          </cell>
          <cell r="AA94">
            <v>423.69712684837759</v>
          </cell>
          <cell r="AC94">
            <v>436.39228214595033</v>
          </cell>
          <cell r="AD94">
            <v>411.00197155080485</v>
          </cell>
          <cell r="AI94">
            <v>14.454232904646132</v>
          </cell>
        </row>
        <row r="95">
          <cell r="A95">
            <v>310</v>
          </cell>
          <cell r="D95">
            <v>178.28899999999999</v>
          </cell>
          <cell r="F95">
            <v>8.5048600000000008</v>
          </cell>
          <cell r="G95">
            <v>16.570799999999998</v>
          </cell>
          <cell r="Z95">
            <v>63</v>
          </cell>
          <cell r="AA95">
            <v>423.48431059007368</v>
          </cell>
          <cell r="AC95">
            <v>436.04690972068585</v>
          </cell>
          <cell r="AD95">
            <v>410.92171145946151</v>
          </cell>
          <cell r="AI95">
            <v>14.695543660057915</v>
          </cell>
        </row>
        <row r="96">
          <cell r="A96">
            <v>315</v>
          </cell>
          <cell r="D96">
            <v>174.10599999999999</v>
          </cell>
          <cell r="F96">
            <v>40</v>
          </cell>
          <cell r="G96">
            <v>16.620100000000001</v>
          </cell>
          <cell r="Z96">
            <v>64</v>
          </cell>
          <cell r="AA96">
            <v>423.27149433176987</v>
          </cell>
          <cell r="AC96">
            <v>435.70182740395995</v>
          </cell>
          <cell r="AD96">
            <v>410.84116125957979</v>
          </cell>
          <cell r="AI96">
            <v>14.9368544154697</v>
          </cell>
        </row>
        <row r="97">
          <cell r="A97">
            <v>320</v>
          </cell>
          <cell r="D97">
            <v>170.066</v>
          </cell>
          <cell r="F97">
            <v>11.966100000000001</v>
          </cell>
          <cell r="G97">
            <v>17.1614</v>
          </cell>
          <cell r="Z97">
            <v>65</v>
          </cell>
          <cell r="AA97">
            <v>423.05867807346607</v>
          </cell>
          <cell r="AC97">
            <v>435.3570445559248</v>
          </cell>
          <cell r="AD97">
            <v>410.76031159100734</v>
          </cell>
          <cell r="AI97">
            <v>15.175971531612365</v>
          </cell>
        </row>
        <row r="98">
          <cell r="A98">
            <v>325</v>
          </cell>
          <cell r="D98">
            <v>166.16399999999999</v>
          </cell>
          <cell r="F98">
            <v>40</v>
          </cell>
          <cell r="G98">
            <v>17.614100000000001</v>
          </cell>
          <cell r="Z98">
            <v>66</v>
          </cell>
          <cell r="AA98">
            <v>422.84586181516215</v>
          </cell>
          <cell r="AC98">
            <v>435.01257092117373</v>
          </cell>
          <cell r="AD98">
            <v>410.67915270915057</v>
          </cell>
          <cell r="AI98">
            <v>15.050944529081647</v>
          </cell>
        </row>
        <row r="99">
          <cell r="A99">
            <v>330</v>
          </cell>
          <cell r="D99">
            <v>162.39500000000001</v>
          </cell>
          <cell r="F99">
            <v>8.0017999999999994</v>
          </cell>
          <cell r="G99">
            <v>17.386500000000002</v>
          </cell>
          <cell r="Z99">
            <v>67</v>
          </cell>
          <cell r="AA99">
            <v>422.63304555685835</v>
          </cell>
          <cell r="AC99">
            <v>434.66841664735256</v>
          </cell>
          <cell r="AD99">
            <v>410.59767446636414</v>
          </cell>
          <cell r="AI99">
            <v>14.660487174987793</v>
          </cell>
        </row>
        <row r="100">
          <cell r="A100">
            <v>335</v>
          </cell>
          <cell r="D100">
            <v>158.75399999999999</v>
          </cell>
          <cell r="F100">
            <v>40</v>
          </cell>
          <cell r="G100">
            <v>17.286899999999999</v>
          </cell>
          <cell r="Z100">
            <v>68</v>
          </cell>
          <cell r="AA100">
            <v>422.42022929855449</v>
          </cell>
          <cell r="AC100">
            <v>434.32459230476616</v>
          </cell>
          <cell r="AD100">
            <v>410.51586629234282</v>
          </cell>
          <cell r="AI100">
            <v>14.270029820893939</v>
          </cell>
        </row>
        <row r="101">
          <cell r="A101">
            <v>340</v>
          </cell>
          <cell r="D101">
            <v>155.238</v>
          </cell>
          <cell r="F101">
            <v>11.1769</v>
          </cell>
          <cell r="G101">
            <v>17.478000000000002</v>
          </cell>
          <cell r="Z101">
            <v>69</v>
          </cell>
          <cell r="AA101">
            <v>422.20741304025063</v>
          </cell>
          <cell r="AC101">
            <v>433.98110890703663</v>
          </cell>
          <cell r="AD101">
            <v>410.43371717346463</v>
          </cell>
          <cell r="AI101">
            <v>14.160902725529201</v>
          </cell>
        </row>
        <row r="102">
          <cell r="A102">
            <v>345</v>
          </cell>
          <cell r="D102">
            <v>151.84200000000001</v>
          </cell>
          <cell r="F102">
            <v>40</v>
          </cell>
          <cell r="G102">
            <v>17.607700000000001</v>
          </cell>
          <cell r="Z102">
            <v>70</v>
          </cell>
          <cell r="AA102">
            <v>421.99459678194677</v>
          </cell>
          <cell r="AC102">
            <v>433.63797793286875</v>
          </cell>
          <cell r="AD102">
            <v>410.35121563102479</v>
          </cell>
          <cell r="AI102">
            <v>14.437732844619275</v>
          </cell>
        </row>
        <row r="103">
          <cell r="A103">
            <v>350</v>
          </cell>
          <cell r="D103">
            <v>148.56200000000001</v>
          </cell>
          <cell r="F103">
            <v>7.5628399999999996</v>
          </cell>
          <cell r="G103">
            <v>17.356100000000001</v>
          </cell>
          <cell r="Z103">
            <v>71</v>
          </cell>
          <cell r="AA103">
            <v>421.78178052364291</v>
          </cell>
          <cell r="AC103">
            <v>433.29521134898232</v>
          </cell>
          <cell r="AD103">
            <v>410.2683496983035</v>
          </cell>
          <cell r="AI103">
            <v>14.766849205013758</v>
          </cell>
        </row>
        <row r="104">
          <cell r="A104">
            <v>355</v>
          </cell>
          <cell r="D104">
            <v>145.39400000000001</v>
          </cell>
          <cell r="F104">
            <v>10.265599999999999</v>
          </cell>
          <cell r="G104">
            <v>17.228999999999999</v>
          </cell>
          <cell r="Z104">
            <v>72</v>
          </cell>
          <cell r="AA104">
            <v>421.56896426533905</v>
          </cell>
          <cell r="AC104">
            <v>432.95282163427441</v>
          </cell>
          <cell r="AD104">
            <v>410.18510689640368</v>
          </cell>
          <cell r="AI104">
            <v>16.341936662656451</v>
          </cell>
        </row>
        <row r="105">
          <cell r="A105">
            <v>360</v>
          </cell>
          <cell r="D105">
            <v>142.334</v>
          </cell>
          <cell r="F105">
            <v>40</v>
          </cell>
          <cell r="G105">
            <v>17.299900000000001</v>
          </cell>
          <cell r="Z105">
            <v>73</v>
          </cell>
          <cell r="AA105">
            <v>421.35614800703524</v>
          </cell>
          <cell r="AC105">
            <v>432.61082180527615</v>
          </cell>
          <cell r="AD105">
            <v>410.10147420879434</v>
          </cell>
          <cell r="AI105">
            <v>18.254427520454897</v>
          </cell>
        </row>
        <row r="106">
          <cell r="A106">
            <v>365</v>
          </cell>
          <cell r="D106">
            <v>139.37899999999999</v>
          </cell>
          <cell r="F106">
            <v>10.41</v>
          </cell>
          <cell r="G106">
            <v>17.6234</v>
          </cell>
          <cell r="Z106">
            <v>74</v>
          </cell>
          <cell r="AA106">
            <v>421.12918986673259</v>
          </cell>
          <cell r="AC106">
            <v>432.23089996275957</v>
          </cell>
          <cell r="AD106">
            <v>410.02747977070561</v>
          </cell>
          <cell r="AI106">
            <v>18.438024248395649</v>
          </cell>
        </row>
        <row r="107">
          <cell r="A107">
            <v>370</v>
          </cell>
          <cell r="D107">
            <v>136.524</v>
          </cell>
          <cell r="F107">
            <v>6.5905500000000004</v>
          </cell>
          <cell r="G107">
            <v>17.309999999999999</v>
          </cell>
          <cell r="Z107">
            <v>75</v>
          </cell>
          <cell r="AA107">
            <v>420.77141931794182</v>
          </cell>
          <cell r="AC107">
            <v>431.49669404711466</v>
          </cell>
          <cell r="AD107">
            <v>410.04614458876898</v>
          </cell>
          <cell r="AI107">
            <v>18.225752694266184</v>
          </cell>
        </row>
        <row r="108">
          <cell r="A108">
            <v>375</v>
          </cell>
          <cell r="D108">
            <v>133.76599999999999</v>
          </cell>
          <cell r="F108">
            <v>9.2166300000000003</v>
          </cell>
          <cell r="G108">
            <v>17.227599999999999</v>
          </cell>
          <cell r="Z108">
            <v>76</v>
          </cell>
          <cell r="AA108">
            <v>420.38182953465383</v>
          </cell>
          <cell r="AC108">
            <v>430.67629341593306</v>
          </cell>
          <cell r="AD108">
            <v>410.0873656533746</v>
          </cell>
          <cell r="AI108">
            <v>18.013481140136719</v>
          </cell>
        </row>
        <row r="109">
          <cell r="A109">
            <v>380</v>
          </cell>
          <cell r="D109">
            <v>131.102</v>
          </cell>
          <cell r="F109">
            <v>9.3834700000000009</v>
          </cell>
          <cell r="G109">
            <v>17.402200000000001</v>
          </cell>
          <cell r="Z109">
            <v>77</v>
          </cell>
          <cell r="AA109">
            <v>419.99223975136584</v>
          </cell>
          <cell r="AC109">
            <v>429.85593748569852</v>
          </cell>
          <cell r="AD109">
            <v>410.12854201703317</v>
          </cell>
          <cell r="AI109">
            <v>17.57377600291419</v>
          </cell>
        </row>
        <row r="110">
          <cell r="A110">
            <v>385</v>
          </cell>
          <cell r="D110">
            <v>128.529</v>
          </cell>
          <cell r="F110">
            <v>40</v>
          </cell>
          <cell r="G110">
            <v>17.6327</v>
          </cell>
          <cell r="Z110">
            <v>78</v>
          </cell>
          <cell r="AA110">
            <v>419.60264996807791</v>
          </cell>
          <cell r="AC110">
            <v>429.03563238034752</v>
          </cell>
          <cell r="AD110">
            <v>410.1696675558083</v>
          </cell>
          <cell r="AI110">
            <v>16.822054545084637</v>
          </cell>
        </row>
        <row r="111">
          <cell r="A111">
            <v>390</v>
          </cell>
          <cell r="D111">
            <v>126.04300000000001</v>
          </cell>
          <cell r="F111">
            <v>6.3768900000000004</v>
          </cell>
          <cell r="G111">
            <v>17.673500000000001</v>
          </cell>
          <cell r="Z111">
            <v>79</v>
          </cell>
          <cell r="AA111">
            <v>419.21146759585139</v>
          </cell>
          <cell r="AC111">
            <v>428.21480532999544</v>
          </cell>
          <cell r="AD111">
            <v>410.20812986170733</v>
          </cell>
          <cell r="AI111">
            <v>16.120947067617468</v>
          </cell>
        </row>
        <row r="112">
          <cell r="A112">
            <v>395</v>
          </cell>
          <cell r="D112">
            <v>123.717</v>
          </cell>
          <cell r="F112">
            <v>3.4568500000000002</v>
          </cell>
          <cell r="G112">
            <v>19.9346</v>
          </cell>
          <cell r="Z112">
            <v>80</v>
          </cell>
          <cell r="AA112">
            <v>418.81133954715216</v>
          </cell>
          <cell r="AC112">
            <v>427.39086218063312</v>
          </cell>
          <cell r="AD112">
            <v>410.2318169136712</v>
          </cell>
          <cell r="AI112">
            <v>15.869184778343817</v>
          </cell>
        </row>
        <row r="113">
          <cell r="A113">
            <v>400</v>
          </cell>
          <cell r="D113">
            <v>120.854</v>
          </cell>
          <cell r="F113">
            <v>2.1829800000000001</v>
          </cell>
          <cell r="G113">
            <v>19.317900000000002</v>
          </cell>
          <cell r="Z113">
            <v>81</v>
          </cell>
          <cell r="AA113">
            <v>418.34926865322615</v>
          </cell>
          <cell r="AC113">
            <v>426.40223163834332</v>
          </cell>
          <cell r="AD113">
            <v>410.29630566810897</v>
          </cell>
          <cell r="AI113">
            <v>15.720309938703265</v>
          </cell>
        </row>
        <row r="114">
          <cell r="A114">
            <v>405</v>
          </cell>
          <cell r="D114">
            <v>118.10899999999999</v>
          </cell>
          <cell r="F114">
            <v>127</v>
          </cell>
          <cell r="G114">
            <v>19.378799999999998</v>
          </cell>
          <cell r="Z114">
            <v>82</v>
          </cell>
          <cell r="AA114">
            <v>417.72143266499182</v>
          </cell>
          <cell r="AC114">
            <v>424.96355465112106</v>
          </cell>
          <cell r="AD114">
            <v>410.47931067886259</v>
          </cell>
          <cell r="AI114">
            <v>15.469772265897237</v>
          </cell>
        </row>
        <row r="115">
          <cell r="A115">
            <v>410</v>
          </cell>
          <cell r="D115">
            <v>115.508</v>
          </cell>
          <cell r="F115">
            <v>0.22054399999999999</v>
          </cell>
          <cell r="G115">
            <v>19.579899999999999</v>
          </cell>
          <cell r="Z115">
            <v>83</v>
          </cell>
          <cell r="AA115">
            <v>417.0841328063002</v>
          </cell>
          <cell r="AC115">
            <v>423.49919285054216</v>
          </cell>
          <cell r="AD115">
            <v>410.66907276205825</v>
          </cell>
          <cell r="AI115">
            <v>14.956255528787132</v>
          </cell>
        </row>
        <row r="116">
          <cell r="A116">
            <v>415</v>
          </cell>
          <cell r="D116">
            <v>113.021</v>
          </cell>
          <cell r="F116">
            <v>0.52934599999999998</v>
          </cell>
          <cell r="G116">
            <v>19.814399999999999</v>
          </cell>
          <cell r="Z116">
            <v>84</v>
          </cell>
          <cell r="AA116">
            <v>416.44683294760847</v>
          </cell>
          <cell r="AC116">
            <v>422.03485038380182</v>
          </cell>
          <cell r="AD116">
            <v>410.85881551141512</v>
          </cell>
          <cell r="AI116">
            <v>14.429295772415479</v>
          </cell>
        </row>
        <row r="117">
          <cell r="A117">
            <v>420</v>
          </cell>
          <cell r="D117">
            <v>110.63500000000001</v>
          </cell>
          <cell r="F117">
            <v>0.221054</v>
          </cell>
          <cell r="G117">
            <v>19.991299999999999</v>
          </cell>
          <cell r="Z117">
            <v>85</v>
          </cell>
          <cell r="AA117">
            <v>415.83267753374821</v>
          </cell>
          <cell r="AC117">
            <v>420.63334615233902</v>
          </cell>
          <cell r="AD117">
            <v>411.03200891515741</v>
          </cell>
          <cell r="AI117">
            <v>13.902336016043822</v>
          </cell>
        </row>
        <row r="118">
          <cell r="A118">
            <v>425</v>
          </cell>
          <cell r="D118">
            <v>108.354</v>
          </cell>
          <cell r="F118">
            <v>0.221054</v>
          </cell>
          <cell r="G118">
            <v>20.2637</v>
          </cell>
          <cell r="Z118">
            <v>86</v>
          </cell>
          <cell r="AA118">
            <v>415.43245282168868</v>
          </cell>
          <cell r="AC118">
            <v>419.81310650114227</v>
          </cell>
          <cell r="AD118">
            <v>411.0517991422351</v>
          </cell>
          <cell r="AI118">
            <v>13.375376259672169</v>
          </cell>
        </row>
        <row r="119">
          <cell r="A119">
            <v>430</v>
          </cell>
          <cell r="D119">
            <v>106.16800000000001</v>
          </cell>
          <cell r="F119">
            <v>0.221054</v>
          </cell>
          <cell r="G119">
            <v>20.536100000000001</v>
          </cell>
          <cell r="Z119">
            <v>87</v>
          </cell>
          <cell r="AA119">
            <v>415.07829466838206</v>
          </cell>
          <cell r="AC119">
            <v>419.13528734018882</v>
          </cell>
          <cell r="AD119">
            <v>411.02130199657529</v>
          </cell>
          <cell r="AI119">
            <v>12.848416503300513</v>
          </cell>
        </row>
        <row r="120">
          <cell r="A120">
            <v>435</v>
          </cell>
          <cell r="D120">
            <v>104.074</v>
          </cell>
          <cell r="F120">
            <v>0.221054</v>
          </cell>
          <cell r="G120">
            <v>20.808499999999999</v>
          </cell>
          <cell r="Z120">
            <v>88</v>
          </cell>
          <cell r="AA120">
            <v>414.72105266096588</v>
          </cell>
          <cell r="AC120">
            <v>418.45835578498588</v>
          </cell>
          <cell r="AD120">
            <v>410.98374953694588</v>
          </cell>
          <cell r="AI120">
            <v>12.321456746928861</v>
          </cell>
        </row>
        <row r="121">
          <cell r="A121">
            <v>440</v>
          </cell>
          <cell r="D121">
            <v>102.068</v>
          </cell>
          <cell r="F121">
            <v>0.221054</v>
          </cell>
          <cell r="G121">
            <v>21.0808</v>
          </cell>
          <cell r="Z121">
            <v>89</v>
          </cell>
          <cell r="AA121">
            <v>414.36381065354971</v>
          </cell>
          <cell r="AC121">
            <v>417.78232926780976</v>
          </cell>
          <cell r="AD121">
            <v>410.94529203928965</v>
          </cell>
          <cell r="AI121">
            <v>11.794496990557203</v>
          </cell>
        </row>
        <row r="122">
          <cell r="A122">
            <v>445</v>
          </cell>
          <cell r="D122">
            <v>100.146</v>
          </cell>
          <cell r="F122">
            <v>0.221054</v>
          </cell>
          <cell r="G122">
            <v>21.353200000000001</v>
          </cell>
          <cell r="Z122">
            <v>90</v>
          </cell>
          <cell r="AA122">
            <v>414.00656864613347</v>
          </cell>
          <cell r="AC122">
            <v>417.10748692380412</v>
          </cell>
          <cell r="AD122">
            <v>410.90565036846283</v>
          </cell>
          <cell r="AI122">
            <v>11.267537234185548</v>
          </cell>
        </row>
        <row r="123">
          <cell r="A123">
            <v>450</v>
          </cell>
          <cell r="D123">
            <v>98.303399999999996</v>
          </cell>
          <cell r="F123">
            <v>0.221054</v>
          </cell>
          <cell r="G123">
            <v>21.625599999999999</v>
          </cell>
          <cell r="Z123">
            <v>91</v>
          </cell>
          <cell r="AA123">
            <v>413.64932663871724</v>
          </cell>
          <cell r="AC123">
            <v>416.43423392389883</v>
          </cell>
          <cell r="AD123">
            <v>410.86441935353565</v>
          </cell>
          <cell r="AI123">
            <v>10.967913220172116</v>
          </cell>
        </row>
        <row r="124">
          <cell r="A124">
            <v>455</v>
          </cell>
          <cell r="D124">
            <v>96.537000000000006</v>
          </cell>
          <cell r="F124">
            <v>0.221054</v>
          </cell>
          <cell r="G124">
            <v>21.898</v>
          </cell>
          <cell r="Z124">
            <v>92</v>
          </cell>
          <cell r="AA124">
            <v>413.29208463130112</v>
          </cell>
          <cell r="AC124">
            <v>415.76318009340679</v>
          </cell>
          <cell r="AD124">
            <v>410.82098916919546</v>
          </cell>
          <cell r="AI124">
            <v>10.984543238681498</v>
          </cell>
        </row>
        <row r="125">
          <cell r="A125">
            <v>460</v>
          </cell>
          <cell r="D125">
            <v>94.843199999999996</v>
          </cell>
          <cell r="F125">
            <v>0.221054</v>
          </cell>
          <cell r="G125">
            <v>22.170300000000001</v>
          </cell>
          <cell r="Z125">
            <v>93</v>
          </cell>
          <cell r="AA125">
            <v>412.93484262388483</v>
          </cell>
          <cell r="AC125">
            <v>415.09528395660772</v>
          </cell>
          <cell r="AD125">
            <v>410.77440129116195</v>
          </cell>
          <cell r="AI125">
            <v>11.099234738396209</v>
          </cell>
        </row>
        <row r="126">
          <cell r="A126">
            <v>465</v>
          </cell>
          <cell r="D126">
            <v>93.218199999999996</v>
          </cell>
          <cell r="F126">
            <v>0.221054</v>
          </cell>
          <cell r="G126">
            <v>22.442699999999999</v>
          </cell>
          <cell r="Z126">
            <v>94</v>
          </cell>
          <cell r="AA126">
            <v>412.57760061646871</v>
          </cell>
          <cell r="AC126">
            <v>414.43213303596212</v>
          </cell>
          <cell r="AD126">
            <v>410.7230681969753</v>
          </cell>
          <cell r="AI126">
            <v>11.253273695417978</v>
          </cell>
        </row>
        <row r="127">
          <cell r="A127">
            <v>470</v>
          </cell>
          <cell r="D127">
            <v>91.659700000000001</v>
          </cell>
          <cell r="F127">
            <v>0.221054</v>
          </cell>
          <cell r="G127">
            <v>22.7151</v>
          </cell>
          <cell r="Z127">
            <v>95</v>
          </cell>
          <cell r="AA127">
            <v>412.22035860905248</v>
          </cell>
          <cell r="AC127">
            <v>413.77652826923844</v>
          </cell>
          <cell r="AD127">
            <v>410.66418894886652</v>
          </cell>
          <cell r="AI127">
            <v>11.407312652439746</v>
          </cell>
        </row>
        <row r="128">
          <cell r="A128">
            <v>475</v>
          </cell>
          <cell r="D128">
            <v>90.164599999999993</v>
          </cell>
          <cell r="F128">
            <v>0.221054</v>
          </cell>
          <cell r="G128">
            <v>22.987500000000001</v>
          </cell>
          <cell r="Z128">
            <v>96</v>
          </cell>
          <cell r="AA128">
            <v>411.86311660163636</v>
          </cell>
          <cell r="AC128">
            <v>413.13379645948049</v>
          </cell>
          <cell r="AD128">
            <v>410.59243674379223</v>
          </cell>
          <cell r="AI128">
            <v>11.561351609461516</v>
          </cell>
        </row>
        <row r="129">
          <cell r="A129">
            <v>480</v>
          </cell>
          <cell r="D129">
            <v>88.729200000000006</v>
          </cell>
          <cell r="F129">
            <v>0.221054</v>
          </cell>
          <cell r="G129">
            <v>23.259899999999998</v>
          </cell>
          <cell r="Z129">
            <v>97</v>
          </cell>
          <cell r="AA129">
            <v>411.48534612543477</v>
          </cell>
          <cell r="AC129">
            <v>412.46228298598123</v>
          </cell>
          <cell r="AD129">
            <v>410.50840926488831</v>
          </cell>
          <cell r="AI129">
            <v>11.715916512440181</v>
          </cell>
        </row>
        <row r="130">
          <cell r="A130">
            <v>485</v>
          </cell>
          <cell r="D130">
            <v>87.351699999999994</v>
          </cell>
          <cell r="F130">
            <v>0.221054</v>
          </cell>
          <cell r="G130">
            <v>23.5322</v>
          </cell>
          <cell r="Z130">
            <v>98</v>
          </cell>
          <cell r="AA130">
            <v>411.01792070392617</v>
          </cell>
          <cell r="AC130">
            <v>411.65853906607191</v>
          </cell>
          <cell r="AD130">
            <v>410.37730234178042</v>
          </cell>
          <cell r="AI130">
            <v>11.932543038332613</v>
          </cell>
        </row>
        <row r="131">
          <cell r="A131">
            <v>490</v>
          </cell>
          <cell r="D131">
            <v>86.029200000000003</v>
          </cell>
          <cell r="F131">
            <v>0.221054</v>
          </cell>
          <cell r="G131">
            <v>23.804600000000001</v>
          </cell>
          <cell r="Z131">
            <v>99</v>
          </cell>
          <cell r="AA131">
            <v>410.54002157385349</v>
          </cell>
          <cell r="AC131">
            <v>411.16634996121724</v>
          </cell>
          <cell r="AD131">
            <v>409.91369318648975</v>
          </cell>
          <cell r="AI131">
            <v>12.191771186733643</v>
          </cell>
        </row>
        <row r="132">
          <cell r="A132">
            <v>495</v>
          </cell>
          <cell r="D132">
            <v>84.759299999999996</v>
          </cell>
          <cell r="F132">
            <v>0.221054</v>
          </cell>
          <cell r="G132">
            <v>24.077000000000002</v>
          </cell>
          <cell r="Z132">
            <v>100</v>
          </cell>
          <cell r="AA132">
            <v>410.06212244378094</v>
          </cell>
          <cell r="AC132">
            <v>411.02768648433454</v>
          </cell>
          <cell r="AD132">
            <v>409.09655840322733</v>
          </cell>
          <cell r="AI132">
            <v>12.450999335134671</v>
          </cell>
        </row>
        <row r="133">
          <cell r="A133">
            <v>500</v>
          </cell>
          <cell r="D133">
            <v>83.539900000000003</v>
          </cell>
          <cell r="F133">
            <v>0.221054</v>
          </cell>
          <cell r="G133">
            <v>24.349399999999999</v>
          </cell>
          <cell r="Z133">
            <v>101</v>
          </cell>
          <cell r="AA133">
            <v>409.58422331370838</v>
          </cell>
          <cell r="AC133">
            <v>411.00916958943088</v>
          </cell>
          <cell r="AD133">
            <v>408.15927703798587</v>
          </cell>
          <cell r="AI133">
            <v>12.709237347367337</v>
          </cell>
        </row>
        <row r="134">
          <cell r="A134">
            <v>505</v>
          </cell>
          <cell r="D134">
            <v>82.368200000000002</v>
          </cell>
          <cell r="F134">
            <v>0.221054</v>
          </cell>
          <cell r="G134">
            <v>24.621700000000001</v>
          </cell>
          <cell r="Z134">
            <v>102</v>
          </cell>
          <cell r="AA134">
            <v>409.10632418363576</v>
          </cell>
          <cell r="AC134">
            <v>411.02641823489319</v>
          </cell>
          <cell r="AD134">
            <v>407.18623013237834</v>
          </cell>
          <cell r="AI134">
            <v>12.80311275565106</v>
          </cell>
        </row>
        <row r="135">
          <cell r="A135">
            <v>514</v>
          </cell>
          <cell r="D135">
            <v>80.373900000000006</v>
          </cell>
          <cell r="F135">
            <v>0.221054</v>
          </cell>
          <cell r="G135">
            <v>25.111999999999998</v>
          </cell>
          <cell r="Z135">
            <v>103</v>
          </cell>
          <cell r="AA135">
            <v>408.62842505356326</v>
          </cell>
          <cell r="AC135">
            <v>411.05765986052313</v>
          </cell>
          <cell r="AD135">
            <v>406.19919024660339</v>
          </cell>
          <cell r="AI135">
            <v>12.777181687562363</v>
          </cell>
        </row>
        <row r="136">
          <cell r="Z136">
            <v>104</v>
          </cell>
          <cell r="AA136">
            <v>408.24129556232924</v>
          </cell>
          <cell r="AC136">
            <v>411.04048747360298</v>
          </cell>
          <cell r="AD136">
            <v>405.4421036510555</v>
          </cell>
          <cell r="AI136">
            <v>12.751250619473666</v>
          </cell>
        </row>
        <row r="137">
          <cell r="Z137">
            <v>105</v>
          </cell>
          <cell r="AA137">
            <v>407.97869301363409</v>
          </cell>
          <cell r="AC137">
            <v>410.94921373264168</v>
          </cell>
          <cell r="AD137">
            <v>405.00817229462649</v>
          </cell>
          <cell r="AI137">
            <v>12.725319551384967</v>
          </cell>
        </row>
        <row r="138">
          <cell r="Z138">
            <v>106</v>
          </cell>
          <cell r="AA138">
            <v>407.71684062724353</v>
          </cell>
          <cell r="AC138">
            <v>410.85774285040253</v>
          </cell>
          <cell r="AD138">
            <v>404.57593840408452</v>
          </cell>
          <cell r="AI138">
            <v>12.699388483296271</v>
          </cell>
        </row>
        <row r="139">
          <cell r="Z139">
            <v>107</v>
          </cell>
          <cell r="AA139">
            <v>407.45498824085286</v>
          </cell>
          <cell r="AC139">
            <v>410.76648651550448</v>
          </cell>
          <cell r="AD139">
            <v>404.14348996620123</v>
          </cell>
          <cell r="AI139">
            <v>12.673457415207572</v>
          </cell>
        </row>
        <row r="140">
          <cell r="Z140">
            <v>108</v>
          </cell>
          <cell r="AA140">
            <v>407.19313585446224</v>
          </cell>
          <cell r="AC140">
            <v>410.67541319620005</v>
          </cell>
          <cell r="AD140">
            <v>403.71085851272443</v>
          </cell>
          <cell r="AI140">
            <v>12.647526347118877</v>
          </cell>
        </row>
        <row r="141">
          <cell r="Z141">
            <v>109</v>
          </cell>
          <cell r="AA141">
            <v>406.93128346807157</v>
          </cell>
          <cell r="AC141">
            <v>410.58449722594611</v>
          </cell>
          <cell r="AD141">
            <v>403.27806971019703</v>
          </cell>
          <cell r="AI141">
            <v>12.627733418682185</v>
          </cell>
        </row>
        <row r="142">
          <cell r="Z142">
            <v>110</v>
          </cell>
          <cell r="AA142">
            <v>406.6694310816809</v>
          </cell>
          <cell r="AC142">
            <v>410.49371750542741</v>
          </cell>
          <cell r="AD142">
            <v>402.84514465793438</v>
          </cell>
          <cell r="AI142">
            <v>12.660482965666672</v>
          </cell>
        </row>
        <row r="143">
          <cell r="Z143">
            <v>111</v>
          </cell>
          <cell r="AA143">
            <v>406.40757869529028</v>
          </cell>
          <cell r="AC143">
            <v>410.40305653344228</v>
          </cell>
          <cell r="AD143">
            <v>402.41210085713828</v>
          </cell>
          <cell r="AI143">
            <v>12.705263266369093</v>
          </cell>
        </row>
        <row r="144">
          <cell r="Z144">
            <v>112</v>
          </cell>
          <cell r="AA144">
            <v>406.14572630889961</v>
          </cell>
          <cell r="AC144">
            <v>410.31249967370604</v>
          </cell>
          <cell r="AD144">
            <v>401.97895294409318</v>
          </cell>
          <cell r="AI144">
            <v>12.750043567071515</v>
          </cell>
        </row>
        <row r="145">
          <cell r="Z145">
            <v>113</v>
          </cell>
          <cell r="AA145">
            <v>405.88387392250894</v>
          </cell>
          <cell r="AC145">
            <v>410.22203459338544</v>
          </cell>
          <cell r="AD145">
            <v>401.54571325163244</v>
          </cell>
          <cell r="AI145">
            <v>12.794823867773935</v>
          </cell>
        </row>
        <row r="146">
          <cell r="Z146">
            <v>114</v>
          </cell>
          <cell r="AA146">
            <v>405.62202153611833</v>
          </cell>
          <cell r="AC146">
            <v>410.13165082833336</v>
          </cell>
          <cell r="AD146">
            <v>401.11239224390329</v>
          </cell>
          <cell r="AI146">
            <v>12.839310175997763</v>
          </cell>
        </row>
        <row r="147">
          <cell r="Z147">
            <v>115</v>
          </cell>
          <cell r="AA147">
            <v>405.31032819839464</v>
          </cell>
          <cell r="AC147">
            <v>410.06901478842735</v>
          </cell>
          <cell r="AD147">
            <v>400.55164160836193</v>
          </cell>
          <cell r="AI147">
            <v>12.849105371747697</v>
          </cell>
        </row>
        <row r="148">
          <cell r="Z148">
            <v>116</v>
          </cell>
          <cell r="AA148">
            <v>404.93026349413458</v>
          </cell>
          <cell r="AC148">
            <v>410.04508799620777</v>
          </cell>
          <cell r="AD148">
            <v>399.81543899206139</v>
          </cell>
          <cell r="AI148">
            <v>12.835087176731655</v>
          </cell>
        </row>
        <row r="149">
          <cell r="Z149">
            <v>117</v>
          </cell>
          <cell r="AA149">
            <v>404.57014586113615</v>
          </cell>
          <cell r="AC149">
            <v>410.04615958058008</v>
          </cell>
          <cell r="AD149">
            <v>399.09413214169223</v>
          </cell>
          <cell r="AI149">
            <v>12.821068981715614</v>
          </cell>
        </row>
        <row r="150">
          <cell r="Z150">
            <v>118</v>
          </cell>
          <cell r="AA150">
            <v>404.22908944632172</v>
          </cell>
          <cell r="AC150">
            <v>410.07198403995039</v>
          </cell>
          <cell r="AD150">
            <v>398.38619485269305</v>
          </cell>
          <cell r="AI150">
            <v>12.807050786699566</v>
          </cell>
        </row>
        <row r="151">
          <cell r="Z151">
            <v>119</v>
          </cell>
          <cell r="AA151">
            <v>403.88803303150729</v>
          </cell>
          <cell r="AC151">
            <v>410.10025418345822</v>
          </cell>
          <cell r="AD151">
            <v>397.67581187955636</v>
          </cell>
          <cell r="AI151">
            <v>12.793032591683524</v>
          </cell>
        </row>
        <row r="152">
          <cell r="Z152">
            <v>120</v>
          </cell>
          <cell r="AA152">
            <v>403.5469766166928</v>
          </cell>
          <cell r="AC152">
            <v>410.13055842912684</v>
          </cell>
          <cell r="AD152">
            <v>396.96339480425877</v>
          </cell>
          <cell r="AI152">
            <v>12.781542419839639</v>
          </cell>
        </row>
        <row r="153">
          <cell r="Z153">
            <v>121</v>
          </cell>
          <cell r="AA153">
            <v>403.20592020187843</v>
          </cell>
          <cell r="AC153">
            <v>410.16257103062151</v>
          </cell>
          <cell r="AD153">
            <v>396.24926937313535</v>
          </cell>
          <cell r="AI153">
            <v>12.819506701301126</v>
          </cell>
        </row>
        <row r="154">
          <cell r="Z154">
            <v>122</v>
          </cell>
          <cell r="AA154">
            <v>402.86486378706394</v>
          </cell>
          <cell r="AC154">
            <v>410.19603118774899</v>
          </cell>
          <cell r="AD154">
            <v>395.53369638637889</v>
          </cell>
          <cell r="AI154">
            <v>12.876589158002069</v>
          </cell>
        </row>
        <row r="155">
          <cell r="Z155">
            <v>123</v>
          </cell>
          <cell r="AA155">
            <v>402.52380737224945</v>
          </cell>
          <cell r="AC155">
            <v>410.23072787219331</v>
          </cell>
          <cell r="AD155">
            <v>394.81688687230559</v>
          </cell>
          <cell r="AI155">
            <v>12.933671614703009</v>
          </cell>
        </row>
        <row r="156">
          <cell r="Z156">
            <v>124</v>
          </cell>
          <cell r="AA156">
            <v>402.18275095743508</v>
          </cell>
          <cell r="AC156">
            <v>410.26648865480121</v>
          </cell>
          <cell r="AD156">
            <v>394.09901326006894</v>
          </cell>
          <cell r="AI156">
            <v>12.990754071403952</v>
          </cell>
        </row>
        <row r="157">
          <cell r="Z157">
            <v>125</v>
          </cell>
          <cell r="AA157">
            <v>401.84169454262064</v>
          </cell>
          <cell r="AC157">
            <v>410.30317137346742</v>
          </cell>
          <cell r="AD157">
            <v>393.38021771177387</v>
          </cell>
          <cell r="AI157">
            <v>13.047836528104897</v>
          </cell>
        </row>
        <row r="158">
          <cell r="Z158">
            <v>126</v>
          </cell>
          <cell r="AA158">
            <v>401.50063812780621</v>
          </cell>
          <cell r="AC158">
            <v>410.34065784440571</v>
          </cell>
          <cell r="AD158">
            <v>392.66061841120671</v>
          </cell>
          <cell r="AI158">
            <v>13.039028450460993</v>
          </cell>
        </row>
        <row r="159">
          <cell r="Z159">
            <v>127</v>
          </cell>
          <cell r="AA159">
            <v>401.15958171299172</v>
          </cell>
          <cell r="AC159">
            <v>410.3788490620035</v>
          </cell>
          <cell r="AD159">
            <v>391.94031436397995</v>
          </cell>
          <cell r="AI159">
            <v>12.75933706495497</v>
          </cell>
        </row>
        <row r="160">
          <cell r="Z160">
            <v>128</v>
          </cell>
          <cell r="AA160">
            <v>400.81716525450247</v>
          </cell>
          <cell r="AC160">
            <v>410.41856986947778</v>
          </cell>
          <cell r="AD160">
            <v>391.21576063952716</v>
          </cell>
          <cell r="AI160">
            <v>12.450360997517903</v>
          </cell>
        </row>
        <row r="161">
          <cell r="Z161">
            <v>129</v>
          </cell>
          <cell r="AA161">
            <v>400.46843329908717</v>
          </cell>
          <cell r="AC161">
            <v>410.46309009388068</v>
          </cell>
          <cell r="AD161">
            <v>390.47377650429365</v>
          </cell>
          <cell r="AI161">
            <v>12.141384930080838</v>
          </cell>
        </row>
        <row r="162">
          <cell r="Z162">
            <v>130</v>
          </cell>
          <cell r="AA162">
            <v>400.11890602401428</v>
          </cell>
          <cell r="AC162">
            <v>410.50868353287592</v>
          </cell>
          <cell r="AD162">
            <v>389.72912851515264</v>
          </cell>
          <cell r="AI162">
            <v>11.831459747382572</v>
          </cell>
        </row>
        <row r="163">
          <cell r="Z163">
            <v>131</v>
          </cell>
          <cell r="AA163">
            <v>399.76937874894139</v>
          </cell>
          <cell r="AC163">
            <v>410.55475941748387</v>
          </cell>
          <cell r="AD163">
            <v>388.98399808039892</v>
          </cell>
          <cell r="AI163">
            <v>11.409538963862831</v>
          </cell>
        </row>
        <row r="164">
          <cell r="Z164">
            <v>132</v>
          </cell>
          <cell r="AA164">
            <v>399.4198514738685</v>
          </cell>
          <cell r="AC164">
            <v>410.6012665404366</v>
          </cell>
          <cell r="AD164">
            <v>388.23843640730041</v>
          </cell>
          <cell r="AI164">
            <v>10.910739844185965</v>
          </cell>
        </row>
        <row r="165">
          <cell r="Z165">
            <v>133</v>
          </cell>
          <cell r="AA165">
            <v>399.07032419879562</v>
          </cell>
          <cell r="AC165">
            <v>410.64816064867557</v>
          </cell>
          <cell r="AD165">
            <v>387.49248774891566</v>
          </cell>
          <cell r="AI165">
            <v>10.411940724509103</v>
          </cell>
        </row>
        <row r="166">
          <cell r="Z166">
            <v>134</v>
          </cell>
          <cell r="AA166">
            <v>398.72079692372273</v>
          </cell>
          <cell r="AC166">
            <v>410.69540330862094</v>
          </cell>
          <cell r="AD166">
            <v>386.74619053882452</v>
          </cell>
          <cell r="AI166">
            <v>9.9131416048322407</v>
          </cell>
        </row>
        <row r="167">
          <cell r="Z167">
            <v>135</v>
          </cell>
          <cell r="AA167">
            <v>398.37126964864984</v>
          </cell>
          <cell r="AC167">
            <v>410.74296098533085</v>
          </cell>
          <cell r="AD167">
            <v>385.99957831196883</v>
          </cell>
          <cell r="AI167">
            <v>9.2731739741673405</v>
          </cell>
        </row>
        <row r="168">
          <cell r="Z168">
            <v>136</v>
          </cell>
          <cell r="AA168">
            <v>398.02174237357696</v>
          </cell>
          <cell r="AC168">
            <v>410.79080429020792</v>
          </cell>
          <cell r="AD168">
            <v>385.252680456946</v>
          </cell>
          <cell r="AI168">
            <v>7.5122114219287841</v>
          </cell>
        </row>
        <row r="169">
          <cell r="Z169">
            <v>137</v>
          </cell>
          <cell r="AA169">
            <v>397.67221509850418</v>
          </cell>
          <cell r="AC169">
            <v>410.8389073625159</v>
          </cell>
          <cell r="AD169">
            <v>384.50552283449247</v>
          </cell>
          <cell r="AI169">
            <v>4.7366950318135306</v>
          </cell>
        </row>
        <row r="170">
          <cell r="Z170">
            <v>138</v>
          </cell>
          <cell r="AA170">
            <v>397.32268782343118</v>
          </cell>
          <cell r="AC170">
            <v>410.88724735787252</v>
          </cell>
          <cell r="AD170">
            <v>383.75812828898984</v>
          </cell>
          <cell r="AI170">
            <v>5.002068748204116</v>
          </cell>
        </row>
        <row r="171">
          <cell r="Z171">
            <v>139</v>
          </cell>
          <cell r="AA171">
            <v>396.94674646796261</v>
          </cell>
          <cell r="AC171">
            <v>410.95411316071574</v>
          </cell>
          <cell r="AD171">
            <v>382.93937977520949</v>
          </cell>
          <cell r="AI171">
            <v>4.3064607117458804</v>
          </cell>
        </row>
        <row r="172">
          <cell r="Z172">
            <v>140</v>
          </cell>
          <cell r="AA172">
            <v>396.50247778056126</v>
          </cell>
          <cell r="AC172">
            <v>411.06875005578172</v>
          </cell>
          <cell r="AD172">
            <v>381.93620550534081</v>
          </cell>
          <cell r="AI172">
            <v>2.3956979538855099</v>
          </cell>
        </row>
        <row r="173">
          <cell r="Z173">
            <v>141</v>
          </cell>
          <cell r="AA173">
            <v>396.05471632219843</v>
          </cell>
          <cell r="AC173">
            <v>411.18630276316225</v>
          </cell>
          <cell r="AD173">
            <v>380.92312988123462</v>
          </cell>
          <cell r="AI173">
            <v>7.8261807377679</v>
          </cell>
        </row>
        <row r="174">
          <cell r="Z174">
            <v>142</v>
          </cell>
          <cell r="AA174">
            <v>395.60695486383565</v>
          </cell>
          <cell r="AC174">
            <v>411.30429644528749</v>
          </cell>
          <cell r="AD174">
            <v>379.90961328238382</v>
          </cell>
          <cell r="AI174">
            <v>10.409013061523439</v>
          </cell>
        </row>
        <row r="175">
          <cell r="Z175">
            <v>143</v>
          </cell>
          <cell r="AA175">
            <v>395.14507234115098</v>
          </cell>
          <cell r="AC175">
            <v>411.43258124470407</v>
          </cell>
          <cell r="AD175">
            <v>378.85756343759789</v>
          </cell>
          <cell r="AI175">
            <v>11.815843658447266</v>
          </cell>
        </row>
        <row r="176">
          <cell r="Z176">
            <v>144</v>
          </cell>
          <cell r="AA176">
            <v>394.37252640338346</v>
          </cell>
          <cell r="AC176">
            <v>411.7797542451458</v>
          </cell>
          <cell r="AD176">
            <v>376.96529856162113</v>
          </cell>
          <cell r="AI176">
            <v>13.985812908409544</v>
          </cell>
        </row>
        <row r="177">
          <cell r="Z177">
            <v>145</v>
          </cell>
          <cell r="AA177">
            <v>393.47289088671852</v>
          </cell>
          <cell r="AC177">
            <v>412.21848560625915</v>
          </cell>
          <cell r="AD177">
            <v>374.72729616717788</v>
          </cell>
          <cell r="AI177">
            <v>16.507476072133699</v>
          </cell>
        </row>
        <row r="178">
          <cell r="Z178">
            <v>146</v>
          </cell>
          <cell r="AA178">
            <v>392.57325537005357</v>
          </cell>
          <cell r="AC178">
            <v>412.65924987968566</v>
          </cell>
          <cell r="AD178">
            <v>372.48726086042149</v>
          </cell>
          <cell r="AI178">
            <v>17.397971419814212</v>
          </cell>
        </row>
        <row r="179">
          <cell r="Z179">
            <v>147</v>
          </cell>
          <cell r="AA179">
            <v>391.67361985338863</v>
          </cell>
          <cell r="AC179">
            <v>413.10166557132862</v>
          </cell>
          <cell r="AD179">
            <v>370.24557413544863</v>
          </cell>
          <cell r="AI179">
            <v>18.055937056956086</v>
          </cell>
        </row>
        <row r="180">
          <cell r="Z180">
            <v>148</v>
          </cell>
          <cell r="AA180">
            <v>390.77398433672369</v>
          </cell>
          <cell r="AC180">
            <v>413.54544070070585</v>
          </cell>
          <cell r="AD180">
            <v>368.00252797274152</v>
          </cell>
          <cell r="AI180">
            <v>16.723448371887208</v>
          </cell>
        </row>
        <row r="181">
          <cell r="Z181">
            <v>149</v>
          </cell>
          <cell r="AA181">
            <v>389.87434882005874</v>
          </cell>
          <cell r="AC181">
            <v>413.99034808156182</v>
          </cell>
          <cell r="AD181">
            <v>365.75834955855566</v>
          </cell>
          <cell r="AI181">
            <v>15.911646794421333</v>
          </cell>
        </row>
        <row r="182">
          <cell r="Z182">
            <v>150</v>
          </cell>
          <cell r="AA182">
            <v>388.74228220218373</v>
          </cell>
          <cell r="AC182">
            <v>414.60300572003678</v>
          </cell>
          <cell r="AD182">
            <v>362.88155868433068</v>
          </cell>
          <cell r="AI182">
            <v>17.486711604254587</v>
          </cell>
        </row>
        <row r="183">
          <cell r="Z183">
            <v>151</v>
          </cell>
          <cell r="AA183">
            <v>387.27161225168157</v>
          </cell>
          <cell r="AC183">
            <v>415.46075795122141</v>
          </cell>
          <cell r="AD183">
            <v>359.08246655214174</v>
          </cell>
          <cell r="AI183">
            <v>19.170270340783254</v>
          </cell>
        </row>
        <row r="184">
          <cell r="Z184">
            <v>152</v>
          </cell>
          <cell r="AA184">
            <v>385.79807278141152</v>
          </cell>
          <cell r="AC184">
            <v>416.32272430377259</v>
          </cell>
          <cell r="AD184">
            <v>355.27342125905045</v>
          </cell>
          <cell r="AI184">
            <v>20.18124128199759</v>
          </cell>
        </row>
        <row r="185">
          <cell r="Z185">
            <v>153</v>
          </cell>
          <cell r="AA185">
            <v>384.32453331114135</v>
          </cell>
          <cell r="AC185">
            <v>417.1863856073</v>
          </cell>
          <cell r="AD185">
            <v>351.46268101498271</v>
          </cell>
          <cell r="AI185">
            <v>20.376163873218353</v>
          </cell>
        </row>
        <row r="186">
          <cell r="Z186">
            <v>154</v>
          </cell>
          <cell r="AA186">
            <v>382.85099384087124</v>
          </cell>
          <cell r="AC186">
            <v>418.05140424456937</v>
          </cell>
          <cell r="AD186">
            <v>347.65058343717311</v>
          </cell>
          <cell r="AI186">
            <v>20.569223340352377</v>
          </cell>
        </row>
        <row r="187">
          <cell r="Z187">
            <v>155</v>
          </cell>
          <cell r="AA187">
            <v>381.34467253311033</v>
          </cell>
          <cell r="AC187">
            <v>418.86105476396006</v>
          </cell>
          <cell r="AD187">
            <v>343.8282903022606</v>
          </cell>
          <cell r="AI187">
            <v>20.762282807486404</v>
          </cell>
        </row>
        <row r="188">
          <cell r="Z188">
            <v>156</v>
          </cell>
          <cell r="AA188">
            <v>379.73776305296542</v>
          </cell>
          <cell r="AC188">
            <v>419.49780454496977</v>
          </cell>
          <cell r="AD188">
            <v>339.97772156096107</v>
          </cell>
          <cell r="AI188">
            <v>20.955342274620421</v>
          </cell>
        </row>
        <row r="189">
          <cell r="Z189">
            <v>157</v>
          </cell>
          <cell r="AA189">
            <v>378.06800693142822</v>
          </cell>
          <cell r="AC189">
            <v>420.16287534926971</v>
          </cell>
          <cell r="AD189">
            <v>335.97313851358672</v>
          </cell>
          <cell r="AI189">
            <v>21.148401741754437</v>
          </cell>
        </row>
        <row r="190">
          <cell r="Z190">
            <v>158</v>
          </cell>
          <cell r="AA190">
            <v>376.16882351454342</v>
          </cell>
          <cell r="AC190">
            <v>420.99411526097896</v>
          </cell>
          <cell r="AD190">
            <v>331.34353176810788</v>
          </cell>
          <cell r="AI190">
            <v>21.341461208888461</v>
          </cell>
        </row>
        <row r="191">
          <cell r="Z191">
            <v>159</v>
          </cell>
          <cell r="AA191">
            <v>374.24483714681037</v>
          </cell>
          <cell r="AC191">
            <v>421.84332632526343</v>
          </cell>
          <cell r="AD191">
            <v>326.6463479683573</v>
          </cell>
          <cell r="AI191">
            <v>21.534520676022485</v>
          </cell>
        </row>
        <row r="192">
          <cell r="Z192">
            <v>160</v>
          </cell>
          <cell r="AA192">
            <v>372.32085077907726</v>
          </cell>
          <cell r="AC192">
            <v>422.69254412929479</v>
          </cell>
          <cell r="AD192">
            <v>321.94915742885973</v>
          </cell>
          <cell r="AI192">
            <v>21.727580143156505</v>
          </cell>
        </row>
        <row r="193">
          <cell r="Z193">
            <v>161</v>
          </cell>
          <cell r="AA193">
            <v>370.3968644113441</v>
          </cell>
          <cell r="AC193">
            <v>423.54176761799334</v>
          </cell>
          <cell r="AD193">
            <v>317.25196120469485</v>
          </cell>
          <cell r="AI193">
            <v>21.920639610290529</v>
          </cell>
        </row>
        <row r="194">
          <cell r="Z194">
            <v>162</v>
          </cell>
          <cell r="AA194">
            <v>368.47287804361099</v>
          </cell>
          <cell r="AC194">
            <v>424.39099594558002</v>
          </cell>
          <cell r="AD194">
            <v>312.55476014164196</v>
          </cell>
          <cell r="AI194">
            <v>22.081469338801501</v>
          </cell>
        </row>
        <row r="195">
          <cell r="Z195">
            <v>163</v>
          </cell>
          <cell r="AA195">
            <v>366.54889167587788</v>
          </cell>
          <cell r="AC195">
            <v>425.24022842613164</v>
          </cell>
          <cell r="AD195">
            <v>307.85755492562413</v>
          </cell>
          <cell r="AI195">
            <v>22.004356058712663</v>
          </cell>
        </row>
        <row r="196">
          <cell r="Z196">
            <v>164</v>
          </cell>
          <cell r="AA196">
            <v>364.62490530814466</v>
          </cell>
          <cell r="AC196">
            <v>426.08946449751426</v>
          </cell>
          <cell r="AD196">
            <v>303.16034611877507</v>
          </cell>
          <cell r="AI196">
            <v>21.8790971196931</v>
          </cell>
        </row>
        <row r="197">
          <cell r="Z197">
            <v>165</v>
          </cell>
          <cell r="AA197">
            <v>362.70091894041167</v>
          </cell>
          <cell r="AC197">
            <v>426.93870369466663</v>
          </cell>
          <cell r="AD197">
            <v>298.46313418615671</v>
          </cell>
          <cell r="AI197">
            <v>21.753838180673533</v>
          </cell>
        </row>
        <row r="198">
          <cell r="Z198">
            <v>166</v>
          </cell>
          <cell r="AA198">
            <v>360.80681466175889</v>
          </cell>
          <cell r="AC198">
            <v>427.7662913168657</v>
          </cell>
          <cell r="AD198">
            <v>293.84733800665208</v>
          </cell>
          <cell r="AI198">
            <v>21.62857924165397</v>
          </cell>
        </row>
        <row r="199">
          <cell r="Z199">
            <v>167</v>
          </cell>
          <cell r="AA199">
            <v>359.14999892479801</v>
          </cell>
          <cell r="AC199">
            <v>428.42193404522527</v>
          </cell>
          <cell r="AD199">
            <v>289.87806380437075</v>
          </cell>
          <cell r="AI199">
            <v>21.503320302634403</v>
          </cell>
        </row>
        <row r="200">
          <cell r="Z200">
            <v>168</v>
          </cell>
          <cell r="AA200">
            <v>357.54428332833555</v>
          </cell>
          <cell r="AC200">
            <v>429.04056623661165</v>
          </cell>
          <cell r="AD200">
            <v>286.04800042005945</v>
          </cell>
          <cell r="AI200">
            <v>21.37806136361484</v>
          </cell>
        </row>
        <row r="201">
          <cell r="Z201">
            <v>169</v>
          </cell>
          <cell r="AA201">
            <v>355.93856773187309</v>
          </cell>
          <cell r="AC201">
            <v>429.6592164590117</v>
          </cell>
          <cell r="AD201">
            <v>282.21791900473448</v>
          </cell>
          <cell r="AI201">
            <v>21.25280242459527</v>
          </cell>
        </row>
        <row r="202">
          <cell r="Z202">
            <v>170</v>
          </cell>
          <cell r="AA202">
            <v>354.2771059418676</v>
          </cell>
          <cell r="AC202">
            <v>430.18200273445893</v>
          </cell>
          <cell r="AD202">
            <v>278.37220914927627</v>
          </cell>
          <cell r="AI202">
            <v>21.127543485575707</v>
          </cell>
        </row>
        <row r="203">
          <cell r="Z203">
            <v>171</v>
          </cell>
          <cell r="AA203">
            <v>352.32210560148752</v>
          </cell>
          <cell r="AC203">
            <v>430.20245411692218</v>
          </cell>
          <cell r="AD203">
            <v>274.44175708605286</v>
          </cell>
          <cell r="AI203">
            <v>21.002284546556144</v>
          </cell>
        </row>
        <row r="204">
          <cell r="Z204">
            <v>172</v>
          </cell>
          <cell r="AA204">
            <v>350.32442458167611</v>
          </cell>
          <cell r="AC204">
            <v>430.15467585649503</v>
          </cell>
          <cell r="AD204">
            <v>270.49417330685719</v>
          </cell>
          <cell r="AI204">
            <v>20.877025607536584</v>
          </cell>
        </row>
        <row r="205">
          <cell r="Z205">
            <v>173</v>
          </cell>
          <cell r="AA205">
            <v>348.3267435618647</v>
          </cell>
          <cell r="AC205">
            <v>430.11169750486135</v>
          </cell>
          <cell r="AD205">
            <v>266.54178961886805</v>
          </cell>
          <cell r="AI205">
            <v>20.751766668517014</v>
          </cell>
        </row>
        <row r="206">
          <cell r="Z206">
            <v>174</v>
          </cell>
          <cell r="AA206">
            <v>346.32906254205324</v>
          </cell>
          <cell r="AC206">
            <v>430.07318295332522</v>
          </cell>
          <cell r="AD206">
            <v>262.58494213078126</v>
          </cell>
          <cell r="AI206">
            <v>20.626507729497447</v>
          </cell>
        </row>
        <row r="207">
          <cell r="Z207">
            <v>175</v>
          </cell>
          <cell r="AA207">
            <v>344.35853329221874</v>
          </cell>
          <cell r="AC207">
            <v>430.01936258526206</v>
          </cell>
          <cell r="AD207">
            <v>258.69770399917542</v>
          </cell>
          <cell r="AI207">
            <v>20.501248790477884</v>
          </cell>
        </row>
        <row r="208">
          <cell r="Z208">
            <v>176</v>
          </cell>
          <cell r="AA208">
            <v>342.53628460704164</v>
          </cell>
          <cell r="AC208">
            <v>429.70438810633453</v>
          </cell>
          <cell r="AD208">
            <v>255.36818110774874</v>
          </cell>
          <cell r="AI208">
            <v>20.375989851458321</v>
          </cell>
        </row>
        <row r="209">
          <cell r="Z209">
            <v>177</v>
          </cell>
          <cell r="AA209">
            <v>340.56535621064575</v>
          </cell>
          <cell r="AC209">
            <v>429.04432802975413</v>
          </cell>
          <cell r="AD209">
            <v>252.08638439153736</v>
          </cell>
          <cell r="AI209">
            <v>20.250730912438755</v>
          </cell>
        </row>
        <row r="210">
          <cell r="Z210">
            <v>178</v>
          </cell>
          <cell r="AA210">
            <v>338.58206163396511</v>
          </cell>
          <cell r="AC210">
            <v>428.37651452124351</v>
          </cell>
          <cell r="AD210">
            <v>248.78760874668674</v>
          </cell>
          <cell r="AI210">
            <v>20.125471973419188</v>
          </cell>
        </row>
        <row r="211">
          <cell r="Z211">
            <v>179</v>
          </cell>
          <cell r="AA211">
            <v>336.59876705728442</v>
          </cell>
          <cell r="AC211">
            <v>427.72076346941549</v>
          </cell>
          <cell r="AD211">
            <v>245.47677064515338</v>
          </cell>
          <cell r="AI211">
            <v>20.000213034399625</v>
          </cell>
        </row>
        <row r="212">
          <cell r="Z212">
            <v>180</v>
          </cell>
          <cell r="AA212">
            <v>334.61547248060378</v>
          </cell>
          <cell r="AC212">
            <v>427.0765553024421</v>
          </cell>
          <cell r="AD212">
            <v>242.15438965876547</v>
          </cell>
          <cell r="AI212">
            <v>19.874954095380062</v>
          </cell>
        </row>
        <row r="213">
          <cell r="Z213">
            <v>181</v>
          </cell>
          <cell r="AA213">
            <v>332.63217790392309</v>
          </cell>
          <cell r="AC213">
            <v>426.4433957229503</v>
          </cell>
          <cell r="AD213">
            <v>238.82096008489589</v>
          </cell>
          <cell r="AI213">
            <v>19.749695156360495</v>
          </cell>
        </row>
        <row r="214">
          <cell r="Z214">
            <v>182</v>
          </cell>
          <cell r="AA214">
            <v>330.64888332724246</v>
          </cell>
          <cell r="AC214">
            <v>425.82081451726685</v>
          </cell>
          <cell r="AD214">
            <v>235.47695213721806</v>
          </cell>
          <cell r="AI214">
            <v>19.624436217340929</v>
          </cell>
        </row>
        <row r="215">
          <cell r="Z215">
            <v>183</v>
          </cell>
          <cell r="AA215">
            <v>328.66558875056177</v>
          </cell>
          <cell r="AC215">
            <v>425.2083643986457</v>
          </cell>
          <cell r="AD215">
            <v>232.12281310247783</v>
          </cell>
          <cell r="AI215">
            <v>19.499177278321365</v>
          </cell>
        </row>
        <row r="216">
          <cell r="Z216">
            <v>184</v>
          </cell>
          <cell r="AA216">
            <v>326.68229417388113</v>
          </cell>
          <cell r="AC216">
            <v>424.60561988783661</v>
          </cell>
          <cell r="AD216">
            <v>228.75896845992563</v>
          </cell>
          <cell r="AI216">
            <v>19.373918339301799</v>
          </cell>
        </row>
        <row r="217">
          <cell r="Z217">
            <v>185</v>
          </cell>
          <cell r="AA217">
            <v>324.6989995972005</v>
          </cell>
          <cell r="AC217">
            <v>424.01217623340642</v>
          </cell>
          <cell r="AD217">
            <v>225.3858229609946</v>
          </cell>
          <cell r="AI217">
            <v>19.248659400282236</v>
          </cell>
        </row>
        <row r="218">
          <cell r="Z218">
            <v>186</v>
          </cell>
          <cell r="AA218">
            <v>322.72371871882223</v>
          </cell>
          <cell r="AC218">
            <v>423.42220512223582</v>
          </cell>
          <cell r="AD218">
            <v>222.02523231540863</v>
          </cell>
          <cell r="AI218">
            <v>19.123400461262669</v>
          </cell>
        </row>
        <row r="219">
          <cell r="Z219">
            <v>187</v>
          </cell>
          <cell r="AA219">
            <v>320.90520581348471</v>
          </cell>
          <cell r="AC219">
            <v>422.7350052186581</v>
          </cell>
          <cell r="AD219">
            <v>219.07540640831135</v>
          </cell>
          <cell r="AI219">
            <v>18.998141522243106</v>
          </cell>
        </row>
        <row r="220">
          <cell r="Z220">
            <v>188</v>
          </cell>
          <cell r="AA220">
            <v>319.1472965015592</v>
          </cell>
          <cell r="AC220">
            <v>422.01672327471528</v>
          </cell>
          <cell r="AD220">
            <v>216.27786972840312</v>
          </cell>
          <cell r="AI220">
            <v>18.872882583223539</v>
          </cell>
        </row>
        <row r="221">
          <cell r="Z221">
            <v>189</v>
          </cell>
          <cell r="AA221">
            <v>317.38938718963362</v>
          </cell>
          <cell r="AC221">
            <v>421.30822403605976</v>
          </cell>
          <cell r="AD221">
            <v>213.47055034320746</v>
          </cell>
          <cell r="AI221">
            <v>18.747623644203976</v>
          </cell>
        </row>
        <row r="222">
          <cell r="Z222">
            <v>190</v>
          </cell>
          <cell r="AA222">
            <v>315.63147787770805</v>
          </cell>
          <cell r="AC222">
            <v>420.60921412462415</v>
          </cell>
          <cell r="AD222">
            <v>210.65374163079196</v>
          </cell>
          <cell r="AI222">
            <v>18.62236470518441</v>
          </cell>
        </row>
        <row r="223">
          <cell r="Z223">
            <v>191</v>
          </cell>
          <cell r="AA223">
            <v>313.87356856578248</v>
          </cell>
          <cell r="AC223">
            <v>419.9194092794877</v>
          </cell>
          <cell r="AD223">
            <v>207.82772785207723</v>
          </cell>
          <cell r="AI223">
            <v>18.502263776393498</v>
          </cell>
        </row>
        <row r="224">
          <cell r="Z224">
            <v>192</v>
          </cell>
          <cell r="AA224">
            <v>312.11565925385702</v>
          </cell>
          <cell r="AC224">
            <v>419.23853415442403</v>
          </cell>
          <cell r="AD224">
            <v>204.99278435329001</v>
          </cell>
          <cell r="AI224">
            <v>18.420242972500557</v>
          </cell>
        </row>
        <row r="225">
          <cell r="Z225">
            <v>193</v>
          </cell>
          <cell r="AA225">
            <v>310.35774994193139</v>
          </cell>
          <cell r="AC225">
            <v>418.56632210876614</v>
          </cell>
          <cell r="AD225">
            <v>202.14917777509663</v>
          </cell>
          <cell r="AI225">
            <v>18.34592734438128</v>
          </cell>
        </row>
        <row r="226">
          <cell r="Z226">
            <v>194</v>
          </cell>
          <cell r="AA226">
            <v>308.59984063000587</v>
          </cell>
          <cell r="AC226">
            <v>417.90251499318941</v>
          </cell>
          <cell r="AD226">
            <v>199.29716626682233</v>
          </cell>
          <cell r="AI226">
            <v>18.271611716262008</v>
          </cell>
        </row>
        <row r="227">
          <cell r="Z227">
            <v>195</v>
          </cell>
          <cell r="AA227">
            <v>306.86968201203769</v>
          </cell>
          <cell r="AC227">
            <v>417.28382976150806</v>
          </cell>
          <cell r="AD227">
            <v>196.45553426256734</v>
          </cell>
          <cell r="AI227">
            <v>18.197296088142732</v>
          </cell>
        </row>
        <row r="228">
          <cell r="Z228">
            <v>196</v>
          </cell>
          <cell r="AA228">
            <v>305.18241891317348</v>
          </cell>
          <cell r="AC228">
            <v>416.72888603086756</v>
          </cell>
          <cell r="AD228">
            <v>193.6359517954794</v>
          </cell>
          <cell r="AI228">
            <v>18.122980460023459</v>
          </cell>
        </row>
        <row r="229">
          <cell r="Z229">
            <v>197</v>
          </cell>
          <cell r="AA229">
            <v>303.49563989547835</v>
          </cell>
          <cell r="AC229">
            <v>416.18041098120761</v>
          </cell>
          <cell r="AD229">
            <v>190.81086880974908</v>
          </cell>
          <cell r="AI229">
            <v>18.048664831904183</v>
          </cell>
        </row>
        <row r="230">
          <cell r="Z230">
            <v>198</v>
          </cell>
          <cell r="AA230">
            <v>301.80886087778322</v>
          </cell>
          <cell r="AC230">
            <v>415.63758488073188</v>
          </cell>
          <cell r="AD230">
            <v>187.98013687483456</v>
          </cell>
          <cell r="AI230">
            <v>17.974349203784911</v>
          </cell>
        </row>
        <row r="231">
          <cell r="Z231">
            <v>199</v>
          </cell>
          <cell r="AA231">
            <v>300.12208186008803</v>
          </cell>
          <cell r="AC231">
            <v>415.10023912018414</v>
          </cell>
          <cell r="AD231">
            <v>185.14392459999192</v>
          </cell>
          <cell r="AI231">
            <v>17.900033575665635</v>
          </cell>
        </row>
        <row r="232">
          <cell r="Z232">
            <v>200</v>
          </cell>
          <cell r="AA232">
            <v>298.4353028423929</v>
          </cell>
          <cell r="AC232">
            <v>414.56821097358147</v>
          </cell>
          <cell r="AD232">
            <v>182.30239471120433</v>
          </cell>
          <cell r="AI232">
            <v>17.825717947546359</v>
          </cell>
        </row>
        <row r="233">
          <cell r="Z233">
            <v>201</v>
          </cell>
          <cell r="AA233">
            <v>296.78399827906225</v>
          </cell>
          <cell r="AC233">
            <v>414.01958167952574</v>
          </cell>
          <cell r="AD233">
            <v>179.54841487859875</v>
          </cell>
          <cell r="AI233">
            <v>17.751402319427086</v>
          </cell>
        </row>
        <row r="234">
          <cell r="Z234">
            <v>202</v>
          </cell>
          <cell r="AA234">
            <v>295.27853313922998</v>
          </cell>
          <cell r="AC234">
            <v>413.38745577304087</v>
          </cell>
          <cell r="AD234">
            <v>177.16961050541906</v>
          </cell>
          <cell r="AI234">
            <v>17.67708669130781</v>
          </cell>
        </row>
        <row r="235">
          <cell r="Z235">
            <v>203</v>
          </cell>
          <cell r="AA235">
            <v>293.78883442355959</v>
          </cell>
          <cell r="AC235">
            <v>412.75227656384089</v>
          </cell>
          <cell r="AD235">
            <v>174.82539228327829</v>
          </cell>
          <cell r="AI235">
            <v>17.602771063188534</v>
          </cell>
        </row>
        <row r="236">
          <cell r="Z236">
            <v>204</v>
          </cell>
          <cell r="AA236">
            <v>292.29913570788921</v>
          </cell>
          <cell r="AC236">
            <v>412.12357380707664</v>
          </cell>
          <cell r="AD236">
            <v>172.47469760870177</v>
          </cell>
          <cell r="AI236">
            <v>17.528455435069262</v>
          </cell>
        </row>
        <row r="237">
          <cell r="Z237">
            <v>205</v>
          </cell>
          <cell r="AA237">
            <v>290.80943699221882</v>
          </cell>
          <cell r="AC237">
            <v>411.50120889687338</v>
          </cell>
          <cell r="AD237">
            <v>170.11766508756426</v>
          </cell>
          <cell r="AI237">
            <v>17.454139806949989</v>
          </cell>
        </row>
        <row r="238">
          <cell r="Z238">
            <v>206</v>
          </cell>
          <cell r="AA238">
            <v>289.31973827654849</v>
          </cell>
          <cell r="AC238">
            <v>410.88504617712351</v>
          </cell>
          <cell r="AD238">
            <v>167.75443037597344</v>
          </cell>
          <cell r="AI238">
            <v>17.379824178830713</v>
          </cell>
        </row>
        <row r="239">
          <cell r="Z239">
            <v>207</v>
          </cell>
          <cell r="AA239">
            <v>287.83003956087811</v>
          </cell>
          <cell r="AC239">
            <v>410.27495290649392</v>
          </cell>
          <cell r="AD239">
            <v>165.38512621526226</v>
          </cell>
          <cell r="AI239">
            <v>17.305508550711433</v>
          </cell>
        </row>
        <row r="240">
          <cell r="Z240">
            <v>208</v>
          </cell>
          <cell r="AA240">
            <v>286.34034084520778</v>
          </cell>
          <cell r="AC240">
            <v>409.67079922125708</v>
          </cell>
          <cell r="AD240">
            <v>163.00988246915847</v>
          </cell>
          <cell r="AI240">
            <v>17.231192922592165</v>
          </cell>
        </row>
        <row r="241">
          <cell r="Z241">
            <v>209</v>
          </cell>
          <cell r="AA241">
            <v>284.85064212953739</v>
          </cell>
          <cell r="AC241">
            <v>409.07245809619741</v>
          </cell>
          <cell r="AD241">
            <v>160.62882616287737</v>
          </cell>
          <cell r="AI241">
            <v>17.156877294472888</v>
          </cell>
        </row>
        <row r="242">
          <cell r="Z242">
            <v>210</v>
          </cell>
          <cell r="AA242">
            <v>283.36094341386701</v>
          </cell>
          <cell r="AC242">
            <v>408.47980530383319</v>
          </cell>
          <cell r="AD242">
            <v>158.24208152390082</v>
          </cell>
          <cell r="AI242">
            <v>17.082561666353612</v>
          </cell>
        </row>
        <row r="243">
          <cell r="Z243">
            <v>211</v>
          </cell>
          <cell r="AA243">
            <v>281.8714394808286</v>
          </cell>
          <cell r="AC243">
            <v>407.89294133598781</v>
          </cell>
          <cell r="AD243">
            <v>155.84993762566938</v>
          </cell>
          <cell r="AI243">
            <v>17.00824603823434</v>
          </cell>
        </row>
        <row r="244">
          <cell r="Z244">
            <v>212</v>
          </cell>
          <cell r="AA244">
            <v>280.4672503405954</v>
          </cell>
          <cell r="AC244">
            <v>407.40786560835818</v>
          </cell>
          <cell r="AD244">
            <v>153.52663507283262</v>
          </cell>
          <cell r="AI244">
            <v>16.933930410115067</v>
          </cell>
        </row>
        <row r="245">
          <cell r="Z245">
            <v>213</v>
          </cell>
          <cell r="AA245">
            <v>279.20250690625738</v>
          </cell>
          <cell r="AC245">
            <v>406.96674625754662</v>
          </cell>
          <cell r="AD245">
            <v>151.43826755496815</v>
          </cell>
          <cell r="AI245">
            <v>16.859614781995788</v>
          </cell>
        </row>
        <row r="246">
          <cell r="Z246">
            <v>214</v>
          </cell>
          <cell r="AA246">
            <v>278.0974531746968</v>
          </cell>
          <cell r="AC246">
            <v>406.4401001952964</v>
          </cell>
          <cell r="AD246">
            <v>149.75480615409722</v>
          </cell>
          <cell r="AI246">
            <v>16.785299153876515</v>
          </cell>
        </row>
        <row r="247">
          <cell r="Z247">
            <v>215</v>
          </cell>
          <cell r="AA247">
            <v>276.99880271272372</v>
          </cell>
          <cell r="AC247">
            <v>405.91398420958922</v>
          </cell>
          <cell r="AD247">
            <v>148.08362121585824</v>
          </cell>
          <cell r="AI247">
            <v>16.710983525757243</v>
          </cell>
        </row>
        <row r="248">
          <cell r="Z248">
            <v>216</v>
          </cell>
          <cell r="AA248">
            <v>275.90015225075081</v>
          </cell>
          <cell r="AC248">
            <v>405.39191264339087</v>
          </cell>
          <cell r="AD248">
            <v>146.40839185811075</v>
          </cell>
          <cell r="AI248">
            <v>16.636667897637967</v>
          </cell>
        </row>
        <row r="249">
          <cell r="Z249">
            <v>217</v>
          </cell>
          <cell r="AA249">
            <v>274.80150178877784</v>
          </cell>
          <cell r="AC249">
            <v>404.87383171293834</v>
          </cell>
          <cell r="AD249">
            <v>144.72917186461734</v>
          </cell>
          <cell r="AI249">
            <v>16.562352269518691</v>
          </cell>
        </row>
        <row r="250">
          <cell r="Z250">
            <v>218</v>
          </cell>
          <cell r="AA250">
            <v>273.70285132680482</v>
          </cell>
          <cell r="AC250">
            <v>404.35968822145071</v>
          </cell>
          <cell r="AD250">
            <v>143.04601443215896</v>
          </cell>
          <cell r="AI250">
            <v>16.488036641399418</v>
          </cell>
        </row>
        <row r="251">
          <cell r="Z251">
            <v>219</v>
          </cell>
          <cell r="AA251">
            <v>272.60420086483185</v>
          </cell>
          <cell r="AC251">
            <v>403.84942956221391</v>
          </cell>
          <cell r="AD251">
            <v>141.35897216744976</v>
          </cell>
          <cell r="AI251">
            <v>16.413721013280142</v>
          </cell>
        </row>
        <row r="252">
          <cell r="Z252">
            <v>220</v>
          </cell>
          <cell r="AA252">
            <v>271.50555040285889</v>
          </cell>
          <cell r="AC252">
            <v>403.34300372110908</v>
          </cell>
          <cell r="AD252">
            <v>139.66809708460872</v>
          </cell>
          <cell r="AI252">
            <v>16.339405385160866</v>
          </cell>
        </row>
        <row r="253">
          <cell r="Z253">
            <v>221</v>
          </cell>
          <cell r="AA253">
            <v>270.40689994088592</v>
          </cell>
          <cell r="AC253">
            <v>402.84035927860413</v>
          </cell>
          <cell r="AD253">
            <v>137.97344060316772</v>
          </cell>
          <cell r="AI253">
            <v>16.265089757041594</v>
          </cell>
        </row>
        <row r="254">
          <cell r="Z254">
            <v>222</v>
          </cell>
          <cell r="AA254">
            <v>269.30824947891296</v>
          </cell>
          <cell r="AC254">
            <v>402.34144541123635</v>
          </cell>
          <cell r="AD254">
            <v>136.27505354658959</v>
          </cell>
          <cell r="AI254">
            <v>16.190774128922321</v>
          </cell>
        </row>
        <row r="255">
          <cell r="Z255">
            <v>223</v>
          </cell>
          <cell r="AA255">
            <v>268.20959901693999</v>
          </cell>
          <cell r="AC255">
            <v>401.84621189260548</v>
          </cell>
          <cell r="AD255">
            <v>134.5729861412745</v>
          </cell>
          <cell r="AI255">
            <v>16.116458500803045</v>
          </cell>
        </row>
        <row r="256">
          <cell r="Z256">
            <v>224</v>
          </cell>
          <cell r="AA256">
            <v>267.11094855496697</v>
          </cell>
          <cell r="AC256">
            <v>401.3546090939011</v>
          </cell>
          <cell r="AD256">
            <v>132.8672880160328</v>
          </cell>
          <cell r="AI256">
            <v>16.042142872683769</v>
          </cell>
        </row>
        <row r="257">
          <cell r="Z257">
            <v>225</v>
          </cell>
          <cell r="AA257">
            <v>266.01229809299406</v>
          </cell>
          <cell r="AC257">
            <v>400.86658798398838</v>
          </cell>
          <cell r="AD257">
            <v>131.15800820199973</v>
          </cell>
          <cell r="AI257">
            <v>15.967827244564496</v>
          </cell>
        </row>
        <row r="258">
          <cell r="Z258">
            <v>226</v>
          </cell>
          <cell r="AA258">
            <v>264.91371937202956</v>
          </cell>
          <cell r="AC258">
            <v>400.29122172759861</v>
          </cell>
          <cell r="AD258">
            <v>129.53621701646051</v>
          </cell>
          <cell r="AI258">
            <v>15.89351161644522</v>
          </cell>
        </row>
        <row r="259">
          <cell r="Z259">
            <v>227</v>
          </cell>
          <cell r="AA259">
            <v>263.89115084204235</v>
          </cell>
          <cell r="AC259">
            <v>399.55702246919714</v>
          </cell>
          <cell r="AD259">
            <v>128.22527921488754</v>
          </cell>
          <cell r="AI259">
            <v>15.819195988325946</v>
          </cell>
        </row>
        <row r="260">
          <cell r="Z260">
            <v>228</v>
          </cell>
          <cell r="AA260">
            <v>262.88006070116785</v>
          </cell>
          <cell r="AC260">
            <v>398.82059832549248</v>
          </cell>
          <cell r="AD260">
            <v>126.93952307684322</v>
          </cell>
          <cell r="AI260">
            <v>15.744880360206672</v>
          </cell>
        </row>
        <row r="261">
          <cell r="Z261">
            <v>229</v>
          </cell>
          <cell r="AA261">
            <v>261.86914274781697</v>
          </cell>
          <cell r="AC261">
            <v>398.08858727082634</v>
          </cell>
          <cell r="AD261">
            <v>125.64969822480762</v>
          </cell>
          <cell r="AI261">
            <v>15.677731020615772</v>
          </cell>
        </row>
        <row r="262">
          <cell r="Z262">
            <v>230</v>
          </cell>
          <cell r="AA262">
            <v>260.93364292976815</v>
          </cell>
          <cell r="AC262">
            <v>397.43344383590284</v>
          </cell>
          <cell r="AD262">
            <v>124.43384202363347</v>
          </cell>
          <cell r="AI262">
            <v>15.626224887581609</v>
          </cell>
        </row>
        <row r="263">
          <cell r="Z263">
            <v>231</v>
          </cell>
          <cell r="AA263">
            <v>260.06030280771046</v>
          </cell>
          <cell r="AC263">
            <v>396.84065142943348</v>
          </cell>
          <cell r="AD263">
            <v>123.27995418598741</v>
          </cell>
          <cell r="AI263">
            <v>15.575267012927389</v>
          </cell>
        </row>
        <row r="264">
          <cell r="Z264">
            <v>232</v>
          </cell>
          <cell r="AA264">
            <v>259.18696268565287</v>
          </cell>
          <cell r="AC264">
            <v>396.24981512203703</v>
          </cell>
          <cell r="AD264">
            <v>122.12411024926868</v>
          </cell>
          <cell r="AI264">
            <v>15.524309138273169</v>
          </cell>
        </row>
        <row r="265">
          <cell r="Z265">
            <v>233</v>
          </cell>
          <cell r="AA265">
            <v>258.31362256359517</v>
          </cell>
          <cell r="AC265">
            <v>395.66092284346337</v>
          </cell>
          <cell r="AD265">
            <v>120.96632228372695</v>
          </cell>
          <cell r="AI265">
            <v>15.47335126361895</v>
          </cell>
        </row>
        <row r="266">
          <cell r="Z266">
            <v>234</v>
          </cell>
          <cell r="AA266">
            <v>257.44028244153759</v>
          </cell>
          <cell r="AC266">
            <v>395.07396254052674</v>
          </cell>
          <cell r="AD266">
            <v>119.80660234254844</v>
          </cell>
          <cell r="AI266">
            <v>15.42239338896473</v>
          </cell>
        </row>
        <row r="267">
          <cell r="Z267">
            <v>235</v>
          </cell>
          <cell r="AA267">
            <v>256.56694231947995</v>
          </cell>
          <cell r="AC267">
            <v>394.48892217862243</v>
          </cell>
          <cell r="AD267">
            <v>118.64496246033747</v>
          </cell>
          <cell r="AI267">
            <v>15.371435514310511</v>
          </cell>
        </row>
        <row r="268">
          <cell r="Z268">
            <v>236</v>
          </cell>
          <cell r="AA268">
            <v>255.69360219742234</v>
          </cell>
          <cell r="AC268">
            <v>393.9057897432134</v>
          </cell>
          <cell r="AD268">
            <v>117.4814146516313</v>
          </cell>
          <cell r="AI268">
            <v>15.320477639656291</v>
          </cell>
        </row>
        <row r="269">
          <cell r="Z269">
            <v>237</v>
          </cell>
          <cell r="AA269">
            <v>254.82026207536464</v>
          </cell>
          <cell r="AC269">
            <v>393.32455324127932</v>
          </cell>
          <cell r="AD269">
            <v>116.31597090944993</v>
          </cell>
          <cell r="AI269">
            <v>15.269519765002071</v>
          </cell>
        </row>
        <row r="270">
          <cell r="Z270">
            <v>238</v>
          </cell>
          <cell r="AA270">
            <v>253.946921953307</v>
          </cell>
          <cell r="AC270">
            <v>392.7452007027365</v>
          </cell>
          <cell r="AD270">
            <v>115.14864320387753</v>
          </cell>
          <cell r="AI270">
            <v>15.218561890347852</v>
          </cell>
        </row>
        <row r="271">
          <cell r="Z271">
            <v>239</v>
          </cell>
          <cell r="AA271">
            <v>253.07358183124936</v>
          </cell>
          <cell r="AC271">
            <v>392.1677201818228</v>
          </cell>
          <cell r="AD271">
            <v>113.97944348067591</v>
          </cell>
          <cell r="AI271">
            <v>15.167604015693632</v>
          </cell>
        </row>
        <row r="272">
          <cell r="Z272">
            <v>240</v>
          </cell>
          <cell r="AA272">
            <v>252.20024170919172</v>
          </cell>
          <cell r="AC272">
            <v>391.59209975845124</v>
          </cell>
          <cell r="AD272">
            <v>112.80838365993216</v>
          </cell>
          <cell r="AI272">
            <v>15.116646141039412</v>
          </cell>
        </row>
        <row r="273">
          <cell r="Z273">
            <v>241</v>
          </cell>
          <cell r="AA273">
            <v>251.3269015871341</v>
          </cell>
          <cell r="AC273">
            <v>391.01832753953005</v>
          </cell>
          <cell r="AD273">
            <v>111.63547563473816</v>
          </cell>
          <cell r="AI273">
            <v>15.065688266385193</v>
          </cell>
        </row>
        <row r="274">
          <cell r="Z274">
            <v>242</v>
          </cell>
          <cell r="AA274">
            <v>250.45356146507643</v>
          </cell>
          <cell r="AC274">
            <v>390.44639166025036</v>
          </cell>
          <cell r="AD274">
            <v>110.46073126990251</v>
          </cell>
          <cell r="AI274">
            <v>15.014730391730973</v>
          </cell>
        </row>
        <row r="275">
          <cell r="Z275">
            <v>243</v>
          </cell>
          <cell r="AA275">
            <v>249.58022134301882</v>
          </cell>
          <cell r="AC275">
            <v>389.87628028534346</v>
          </cell>
          <cell r="AD275">
            <v>109.28416240069421</v>
          </cell>
          <cell r="AI275">
            <v>14.963772517076753</v>
          </cell>
        </row>
        <row r="276">
          <cell r="Z276">
            <v>244</v>
          </cell>
          <cell r="AA276">
            <v>248.64763045955149</v>
          </cell>
          <cell r="AC276">
            <v>389.15638564671042</v>
          </cell>
          <cell r="AD276">
            <v>108.13887527239254</v>
          </cell>
          <cell r="AI276">
            <v>14.912814642422534</v>
          </cell>
        </row>
        <row r="277">
          <cell r="Z277">
            <v>245</v>
          </cell>
          <cell r="AA277">
            <v>247.57065415087104</v>
          </cell>
          <cell r="AC277">
            <v>388.06692934213675</v>
          </cell>
          <cell r="AD277">
            <v>107.07437895960533</v>
          </cell>
          <cell r="AI277">
            <v>14.861856767768314</v>
          </cell>
        </row>
        <row r="278">
          <cell r="Z278">
            <v>246</v>
          </cell>
          <cell r="AA278">
            <v>246.54016720680673</v>
          </cell>
          <cell r="AC278">
            <v>386.93871738150426</v>
          </cell>
          <cell r="AD278">
            <v>106.14161703210922</v>
          </cell>
          <cell r="AI278">
            <v>14.810898893114095</v>
          </cell>
        </row>
        <row r="279">
          <cell r="Z279">
            <v>247</v>
          </cell>
          <cell r="AA279">
            <v>245.54611157957802</v>
          </cell>
          <cell r="AC279">
            <v>385.79611636556365</v>
          </cell>
          <cell r="AD279">
            <v>105.29610679359237</v>
          </cell>
          <cell r="AI279">
            <v>14.759941018459875</v>
          </cell>
        </row>
        <row r="280">
          <cell r="Z280">
            <v>248</v>
          </cell>
          <cell r="AA280">
            <v>244.55205595234921</v>
          </cell>
          <cell r="AC280">
            <v>384.65485051228461</v>
          </cell>
          <cell r="AD280">
            <v>104.4492613924138</v>
          </cell>
          <cell r="AI280">
            <v>14.708983143805655</v>
          </cell>
        </row>
        <row r="281">
          <cell r="Z281">
            <v>249</v>
          </cell>
          <cell r="AA281">
            <v>243.55800032512056</v>
          </cell>
          <cell r="AC281">
            <v>383.51492403474026</v>
          </cell>
          <cell r="AD281">
            <v>103.60107661550089</v>
          </cell>
          <cell r="AI281">
            <v>14.658025269151436</v>
          </cell>
        </row>
        <row r="282">
          <cell r="Z282">
            <v>250</v>
          </cell>
          <cell r="AA282">
            <v>242.5639446978918</v>
          </cell>
          <cell r="AC282">
            <v>382.37634112517446</v>
          </cell>
          <cell r="AD282">
            <v>102.75154827060916</v>
          </cell>
          <cell r="AI282">
            <v>14.607067394497216</v>
          </cell>
        </row>
        <row r="283">
          <cell r="Z283">
            <v>251</v>
          </cell>
          <cell r="AA283">
            <v>241.56988907066307</v>
          </cell>
          <cell r="AC283">
            <v>381.2391059544895</v>
          </cell>
          <cell r="AD283">
            <v>101.90067218683663</v>
          </cell>
          <cell r="AI283">
            <v>14.556109519842996</v>
          </cell>
        </row>
        <row r="284">
          <cell r="Z284">
            <v>252</v>
          </cell>
          <cell r="AA284">
            <v>240.57583344343433</v>
          </cell>
          <cell r="AC284">
            <v>380.10322267173456</v>
          </cell>
          <cell r="AD284">
            <v>101.04844421513414</v>
          </cell>
          <cell r="AI284">
            <v>14.505151645188777</v>
          </cell>
        </row>
        <row r="285">
          <cell r="Z285">
            <v>253</v>
          </cell>
          <cell r="AA285">
            <v>239.61285431935002</v>
          </cell>
          <cell r="AC285">
            <v>378.99445995862106</v>
          </cell>
          <cell r="AD285">
            <v>100.23124868007898</v>
          </cell>
          <cell r="AI285">
            <v>14.454193770534557</v>
          </cell>
        </row>
        <row r="286">
          <cell r="Z286">
            <v>254</v>
          </cell>
          <cell r="AA286">
            <v>238.69514713811819</v>
          </cell>
          <cell r="AC286">
            <v>377.92409950951298</v>
          </cell>
          <cell r="AD286">
            <v>99.466194766723419</v>
          </cell>
          <cell r="AI286">
            <v>14.403235895880337</v>
          </cell>
        </row>
        <row r="287">
          <cell r="Z287">
            <v>255</v>
          </cell>
          <cell r="AA287">
            <v>237.77782361741902</v>
          </cell>
          <cell r="AC287">
            <v>376.85471856339211</v>
          </cell>
          <cell r="AD287">
            <v>98.700928671445894</v>
          </cell>
          <cell r="AI287">
            <v>14.352278021226118</v>
          </cell>
        </row>
        <row r="288">
          <cell r="Z288">
            <v>256</v>
          </cell>
          <cell r="AA288">
            <v>236.86050009671985</v>
          </cell>
          <cell r="AC288">
            <v>375.78600108525632</v>
          </cell>
          <cell r="AD288">
            <v>97.934999108183376</v>
          </cell>
          <cell r="AI288">
            <v>14.301320146571898</v>
          </cell>
        </row>
        <row r="289">
          <cell r="Z289">
            <v>257</v>
          </cell>
          <cell r="AA289">
            <v>235.94317657602065</v>
          </cell>
          <cell r="AC289">
            <v>374.71794924650271</v>
          </cell>
          <cell r="AD289">
            <v>97.168403905538611</v>
          </cell>
          <cell r="AI289">
            <v>14.250362271917679</v>
          </cell>
        </row>
        <row r="290">
          <cell r="Z290">
            <v>258</v>
          </cell>
          <cell r="AA290">
            <v>235.02585305532148</v>
          </cell>
          <cell r="AC290">
            <v>373.65056521840393</v>
          </cell>
          <cell r="AD290">
            <v>96.401140892238999</v>
          </cell>
          <cell r="AI290">
            <v>14.199404397263459</v>
          </cell>
        </row>
        <row r="291">
          <cell r="Z291">
            <v>259</v>
          </cell>
          <cell r="AA291">
            <v>234.09991462767709</v>
          </cell>
          <cell r="AC291">
            <v>372.5615623711135</v>
          </cell>
          <cell r="AD291">
            <v>95.638266884240693</v>
          </cell>
          <cell r="AI291">
            <v>14.148446522609239</v>
          </cell>
        </row>
        <row r="292">
          <cell r="Z292">
            <v>260</v>
          </cell>
          <cell r="AA292">
            <v>233.10556670227891</v>
          </cell>
          <cell r="AC292">
            <v>371.29612086214013</v>
          </cell>
          <cell r="AD292">
            <v>94.915012542417685</v>
          </cell>
          <cell r="AI292">
            <v>14.09748864795502</v>
          </cell>
        </row>
        <row r="293">
          <cell r="Z293">
            <v>261</v>
          </cell>
          <cell r="AA293">
            <v>232.09648677624662</v>
          </cell>
          <cell r="AC293">
            <v>369.99298780567432</v>
          </cell>
          <cell r="AD293">
            <v>94.199985746818925</v>
          </cell>
          <cell r="AI293">
            <v>14.0465307733008</v>
          </cell>
        </row>
        <row r="294">
          <cell r="Z294">
            <v>262</v>
          </cell>
          <cell r="AA294">
            <v>231.08740685021436</v>
          </cell>
          <cell r="AC294">
            <v>368.6902812432989</v>
          </cell>
          <cell r="AD294">
            <v>93.484532457129831</v>
          </cell>
          <cell r="AI294">
            <v>13.99557289864658</v>
          </cell>
        </row>
        <row r="295">
          <cell r="Z295">
            <v>263</v>
          </cell>
          <cell r="AA295">
            <v>230.07832692418211</v>
          </cell>
          <cell r="AC295">
            <v>367.38800391109282</v>
          </cell>
          <cell r="AD295">
            <v>92.768649937271391</v>
          </cell>
          <cell r="AI295">
            <v>13.944615023992361</v>
          </cell>
        </row>
        <row r="296">
          <cell r="Z296">
            <v>264</v>
          </cell>
          <cell r="AA296">
            <v>229.06924699814985</v>
          </cell>
          <cell r="AC296">
            <v>366.08615856453719</v>
          </cell>
          <cell r="AD296">
            <v>92.052335431762543</v>
          </cell>
          <cell r="AI296">
            <v>13.893657149338141</v>
          </cell>
        </row>
        <row r="297">
          <cell r="Z297">
            <v>265</v>
          </cell>
          <cell r="AA297">
            <v>228.06016707211759</v>
          </cell>
          <cell r="AC297">
            <v>364.78474797863669</v>
          </cell>
          <cell r="AD297">
            <v>91.3355861655985</v>
          </cell>
          <cell r="AI297">
            <v>13.842699274683921</v>
          </cell>
        </row>
        <row r="298">
          <cell r="Z298">
            <v>266</v>
          </cell>
          <cell r="AA298">
            <v>227.05108714608537</v>
          </cell>
          <cell r="AC298">
            <v>363.48377494804151</v>
          </cell>
          <cell r="AD298">
            <v>90.618399344129188</v>
          </cell>
          <cell r="AI298">
            <v>13.791741400029702</v>
          </cell>
        </row>
        <row r="299">
          <cell r="Z299">
            <v>267</v>
          </cell>
          <cell r="AA299">
            <v>226.04200722005308</v>
          </cell>
          <cell r="AC299">
            <v>362.18324228716813</v>
          </cell>
          <cell r="AD299">
            <v>89.900772152938032</v>
          </cell>
          <cell r="AI299">
            <v>13.740783525375482</v>
          </cell>
        </row>
        <row r="300">
          <cell r="Z300">
            <v>268</v>
          </cell>
          <cell r="AA300">
            <v>225.03292729402085</v>
          </cell>
          <cell r="AC300">
            <v>360.88315283032102</v>
          </cell>
          <cell r="AD300">
            <v>89.182701757720679</v>
          </cell>
          <cell r="AI300">
            <v>13.690674693556376</v>
          </cell>
        </row>
        <row r="301">
          <cell r="Z301">
            <v>269</v>
          </cell>
          <cell r="AA301">
            <v>224.02384736798862</v>
          </cell>
          <cell r="AC301">
            <v>359.58350943181347</v>
          </cell>
          <cell r="AD301">
            <v>88.464185304163806</v>
          </cell>
          <cell r="AI301">
            <v>13.687923584318021</v>
          </cell>
        </row>
        <row r="302">
          <cell r="Z302">
            <v>270</v>
          </cell>
          <cell r="AA302">
            <v>223.01476744195631</v>
          </cell>
          <cell r="AC302">
            <v>358.28431496609005</v>
          </cell>
          <cell r="AD302">
            <v>87.745219917822595</v>
          </cell>
          <cell r="AI302">
            <v>13.712436183896079</v>
          </cell>
        </row>
        <row r="303">
          <cell r="Z303">
            <v>271</v>
          </cell>
          <cell r="AA303">
            <v>222.00568751592405</v>
          </cell>
          <cell r="AC303">
            <v>356.98557232784719</v>
          </cell>
          <cell r="AD303">
            <v>87.025802704000938</v>
          </cell>
          <cell r="AI303">
            <v>13.736948783474135</v>
          </cell>
        </row>
        <row r="304">
          <cell r="Z304">
            <v>272</v>
          </cell>
          <cell r="AA304">
            <v>220.99660758989182</v>
          </cell>
          <cell r="AC304">
            <v>355.68728443215446</v>
          </cell>
          <cell r="AD304">
            <v>86.305930747629219</v>
          </cell>
          <cell r="AI304">
            <v>13.761461383052191</v>
          </cell>
        </row>
        <row r="305">
          <cell r="Z305">
            <v>273</v>
          </cell>
          <cell r="AA305">
            <v>219.98752766385954</v>
          </cell>
          <cell r="AC305">
            <v>354.3894542145764</v>
          </cell>
          <cell r="AD305">
            <v>85.585601113142673</v>
          </cell>
          <cell r="AI305">
            <v>13.785973982630249</v>
          </cell>
        </row>
        <row r="306">
          <cell r="Z306">
            <v>274</v>
          </cell>
          <cell r="AA306">
            <v>218.97844773782731</v>
          </cell>
          <cell r="AC306">
            <v>353.09208463129346</v>
          </cell>
          <cell r="AD306">
            <v>84.864810844361159</v>
          </cell>
          <cell r="AI306">
            <v>13.810486582208306</v>
          </cell>
        </row>
        <row r="307">
          <cell r="Z307">
            <v>275</v>
          </cell>
          <cell r="AA307">
            <v>217.97192019547501</v>
          </cell>
          <cell r="AC307">
            <v>351.794250310753</v>
          </cell>
          <cell r="AD307">
            <v>84.149590080197015</v>
          </cell>
          <cell r="AI307">
            <v>13.834999181786362</v>
          </cell>
        </row>
        <row r="308">
          <cell r="Z308">
            <v>276</v>
          </cell>
          <cell r="AA308">
            <v>217.06009872827838</v>
          </cell>
          <cell r="AC308">
            <v>350.51841956345498</v>
          </cell>
          <cell r="AD308">
            <v>83.601777893101769</v>
          </cell>
          <cell r="AI308">
            <v>13.85951178136442</v>
          </cell>
        </row>
        <row r="309">
          <cell r="Z309">
            <v>277</v>
          </cell>
          <cell r="AA309">
            <v>216.23320173449147</v>
          </cell>
          <cell r="AC309">
            <v>349.28864198134789</v>
          </cell>
          <cell r="AD309">
            <v>83.177761487635053</v>
          </cell>
          <cell r="AI309">
            <v>13.884024380942476</v>
          </cell>
        </row>
        <row r="310">
          <cell r="Z310">
            <v>278</v>
          </cell>
          <cell r="AA310">
            <v>215.40671796068602</v>
          </cell>
          <cell r="AC310">
            <v>348.05927497981133</v>
          </cell>
          <cell r="AD310">
            <v>82.754160941560741</v>
          </cell>
          <cell r="AI310">
            <v>13.908536980520532</v>
          </cell>
        </row>
        <row r="311">
          <cell r="Z311">
            <v>279</v>
          </cell>
          <cell r="AA311">
            <v>214.51318577070685</v>
          </cell>
          <cell r="AC311">
            <v>346.65506217557288</v>
          </cell>
          <cell r="AD311">
            <v>82.371309365840858</v>
          </cell>
          <cell r="AI311">
            <v>13.933049580098588</v>
          </cell>
        </row>
        <row r="312">
          <cell r="Z312">
            <v>280</v>
          </cell>
          <cell r="AA312">
            <v>213.52766980316696</v>
          </cell>
          <cell r="AC312">
            <v>345.0108713290075</v>
          </cell>
          <cell r="AD312">
            <v>82.044468277326388</v>
          </cell>
          <cell r="AI312">
            <v>13.957562179676646</v>
          </cell>
        </row>
        <row r="313">
          <cell r="Z313">
            <v>281</v>
          </cell>
          <cell r="AA313">
            <v>212.54159971648514</v>
          </cell>
          <cell r="AC313">
            <v>343.3652360077125</v>
          </cell>
          <cell r="AD313">
            <v>81.717963425257807</v>
          </cell>
          <cell r="AI313">
            <v>13.982074779254702</v>
          </cell>
        </row>
        <row r="314">
          <cell r="Z314">
            <v>282</v>
          </cell>
          <cell r="AA314">
            <v>211.55552962980326</v>
          </cell>
          <cell r="AC314">
            <v>341.71960200557368</v>
          </cell>
          <cell r="AD314">
            <v>81.391457254032844</v>
          </cell>
          <cell r="AI314">
            <v>14.006587378832759</v>
          </cell>
        </row>
        <row r="315">
          <cell r="Z315">
            <v>283</v>
          </cell>
          <cell r="AA315">
            <v>210.5694595431215</v>
          </cell>
          <cell r="AC315">
            <v>340.07396934274675</v>
          </cell>
          <cell r="AD315">
            <v>81.064949743496271</v>
          </cell>
          <cell r="AI315">
            <v>14.031099978410815</v>
          </cell>
        </row>
        <row r="316">
          <cell r="Z316">
            <v>284</v>
          </cell>
          <cell r="AA316">
            <v>209.58338945643962</v>
          </cell>
          <cell r="AC316">
            <v>338.42833803979937</v>
          </cell>
          <cell r="AD316">
            <v>80.738440873079867</v>
          </cell>
          <cell r="AI316">
            <v>14.055612577988871</v>
          </cell>
        </row>
        <row r="317">
          <cell r="Z317">
            <v>285</v>
          </cell>
          <cell r="AA317">
            <v>208.59731936975786</v>
          </cell>
          <cell r="AC317">
            <v>336.78270811772302</v>
          </cell>
          <cell r="AD317">
            <v>80.411930621792663</v>
          </cell>
          <cell r="AI317">
            <v>14.080125177566929</v>
          </cell>
        </row>
        <row r="318">
          <cell r="Z318">
            <v>286</v>
          </cell>
          <cell r="AA318">
            <v>207.61124928307603</v>
          </cell>
          <cell r="AC318">
            <v>335.137079597943</v>
          </cell>
          <cell r="AD318">
            <v>80.085418968209083</v>
          </cell>
          <cell r="AI318">
            <v>14.075801123573815</v>
          </cell>
        </row>
        <row r="319">
          <cell r="Z319">
            <v>287</v>
          </cell>
          <cell r="AA319">
            <v>206.62517919639421</v>
          </cell>
          <cell r="AC319">
            <v>333.49145250233028</v>
          </cell>
          <cell r="AD319">
            <v>79.758905890458124</v>
          </cell>
          <cell r="AI319">
            <v>14.042640416009531</v>
          </cell>
        </row>
        <row r="320">
          <cell r="Z320">
            <v>288</v>
          </cell>
          <cell r="AA320">
            <v>205.63910910971234</v>
          </cell>
          <cell r="AC320">
            <v>331.84582685321311</v>
          </cell>
          <cell r="AD320">
            <v>79.432391366211561</v>
          </cell>
          <cell r="AI320">
            <v>14.009479708445248</v>
          </cell>
        </row>
        <row r="321">
          <cell r="Z321">
            <v>289</v>
          </cell>
          <cell r="AA321">
            <v>204.65303902303057</v>
          </cell>
          <cell r="AC321">
            <v>330.20020267338873</v>
          </cell>
          <cell r="AD321">
            <v>79.105875372672386</v>
          </cell>
          <cell r="AI321">
            <v>13.976319000880965</v>
          </cell>
        </row>
        <row r="322">
          <cell r="Z322">
            <v>290</v>
          </cell>
          <cell r="AA322">
            <v>203.6669689363487</v>
          </cell>
          <cell r="AC322">
            <v>328.55457998613588</v>
          </cell>
          <cell r="AD322">
            <v>78.779357886561527</v>
          </cell>
          <cell r="AI322">
            <v>13.943158293316682</v>
          </cell>
        </row>
        <row r="323">
          <cell r="Z323">
            <v>291</v>
          </cell>
          <cell r="AA323">
            <v>202.68089884966687</v>
          </cell>
          <cell r="AC323">
            <v>326.90895881522766</v>
          </cell>
          <cell r="AD323">
            <v>78.4528388841061</v>
          </cell>
          <cell r="AI323">
            <v>13.909997585752397</v>
          </cell>
        </row>
        <row r="324">
          <cell r="Z324">
            <v>292</v>
          </cell>
          <cell r="AA324">
            <v>201.69482876298505</v>
          </cell>
          <cell r="AC324">
            <v>325.26333918494481</v>
          </cell>
          <cell r="AD324">
            <v>78.126318341025325</v>
          </cell>
          <cell r="AI324">
            <v>13.876836878188112</v>
          </cell>
        </row>
        <row r="325">
          <cell r="Z325">
            <v>293</v>
          </cell>
          <cell r="AA325">
            <v>200.70875867630323</v>
          </cell>
          <cell r="AC325">
            <v>323.61772112008896</v>
          </cell>
          <cell r="AD325">
            <v>77.799796232517508</v>
          </cell>
          <cell r="AI325">
            <v>13.84367617062383</v>
          </cell>
        </row>
        <row r="326">
          <cell r="Z326">
            <v>294</v>
          </cell>
          <cell r="AA326">
            <v>199.72268858962138</v>
          </cell>
          <cell r="AC326">
            <v>321.97210464599704</v>
          </cell>
          <cell r="AD326">
            <v>77.473272533245719</v>
          </cell>
          <cell r="AI326">
            <v>13.810515463059545</v>
          </cell>
        </row>
        <row r="327">
          <cell r="Z327">
            <v>295</v>
          </cell>
          <cell r="AA327">
            <v>198.73661850293956</v>
          </cell>
          <cell r="AC327">
            <v>320.32648978855582</v>
          </cell>
          <cell r="AD327">
            <v>77.146747217323338</v>
          </cell>
          <cell r="AI327">
            <v>13.777354755495262</v>
          </cell>
        </row>
        <row r="328">
          <cell r="Z328">
            <v>296</v>
          </cell>
          <cell r="AA328">
            <v>197.75054841625783</v>
          </cell>
          <cell r="AC328">
            <v>318.68087657421631</v>
          </cell>
          <cell r="AD328">
            <v>76.820220258299358</v>
          </cell>
          <cell r="AI328">
            <v>13.750586973961317</v>
          </cell>
        </row>
        <row r="329">
          <cell r="Z329">
            <v>297</v>
          </cell>
          <cell r="AA329">
            <v>196.76514308894957</v>
          </cell>
          <cell r="AC329">
            <v>317.0357616585772</v>
          </cell>
          <cell r="AD329">
            <v>76.494524519321928</v>
          </cell>
          <cell r="AI329">
            <v>13.736274880877996</v>
          </cell>
        </row>
        <row r="330">
          <cell r="Z330">
            <v>298</v>
          </cell>
          <cell r="AA330">
            <v>195.85817936772983</v>
          </cell>
          <cell r="AC330">
            <v>315.44931174542864</v>
          </cell>
          <cell r="AD330">
            <v>76.267046990031005</v>
          </cell>
          <cell r="AI330">
            <v>13.72228496357546</v>
          </cell>
        </row>
        <row r="331">
          <cell r="Z331">
            <v>299</v>
          </cell>
          <cell r="AA331">
            <v>195.00506115577431</v>
          </cell>
          <cell r="AC331">
            <v>313.90343757543309</v>
          </cell>
          <cell r="AD331">
            <v>76.106684736115525</v>
          </cell>
          <cell r="AI331">
            <v>13.708295046272925</v>
          </cell>
        </row>
        <row r="332">
          <cell r="Z332">
            <v>300</v>
          </cell>
          <cell r="AA332">
            <v>194.15194294381874</v>
          </cell>
          <cell r="AC332">
            <v>312.35795393040695</v>
          </cell>
          <cell r="AD332">
            <v>75.945931957230513</v>
          </cell>
          <cell r="AI332">
            <v>13.694305128970388</v>
          </cell>
        </row>
        <row r="333">
          <cell r="Z333">
            <v>301</v>
          </cell>
          <cell r="AA333">
            <v>193.38405016420117</v>
          </cell>
          <cell r="AC333">
            <v>311.03499609042655</v>
          </cell>
          <cell r="AD333">
            <v>75.73310423797578</v>
          </cell>
          <cell r="AI333">
            <v>13.680315211667853</v>
          </cell>
        </row>
        <row r="334">
          <cell r="Z334">
            <v>302</v>
          </cell>
          <cell r="AA334">
            <v>192.71956109473331</v>
          </cell>
          <cell r="AC334">
            <v>309.98171219821967</v>
          </cell>
          <cell r="AD334">
            <v>75.457409991246934</v>
          </cell>
          <cell r="AI334">
            <v>13.666325294365318</v>
          </cell>
        </row>
        <row r="335">
          <cell r="Z335">
            <v>303</v>
          </cell>
          <cell r="AA335">
            <v>192.05530810679556</v>
          </cell>
          <cell r="AC335">
            <v>308.92912182504779</v>
          </cell>
          <cell r="AD335">
            <v>75.181494388543342</v>
          </cell>
          <cell r="AI335">
            <v>13.652335377062782</v>
          </cell>
        </row>
        <row r="336">
          <cell r="Z336">
            <v>304</v>
          </cell>
          <cell r="AA336">
            <v>191.39105511885774</v>
          </cell>
          <cell r="AC336">
            <v>307.87661040286275</v>
          </cell>
          <cell r="AD336">
            <v>74.905499834852705</v>
          </cell>
          <cell r="AI336">
            <v>13.638345459760245</v>
          </cell>
        </row>
        <row r="337">
          <cell r="Z337">
            <v>305</v>
          </cell>
          <cell r="AA337">
            <v>190.72680213091994</v>
          </cell>
          <cell r="AC337">
            <v>306.82417872376004</v>
          </cell>
          <cell r="AD337">
            <v>74.629425538079843</v>
          </cell>
          <cell r="AI337">
            <v>13.62435554245771</v>
          </cell>
        </row>
        <row r="338">
          <cell r="Z338">
            <v>306</v>
          </cell>
          <cell r="AA338">
            <v>190.06254914298214</v>
          </cell>
          <cell r="AC338">
            <v>305.77182759029984</v>
          </cell>
          <cell r="AD338">
            <v>74.353270695664435</v>
          </cell>
          <cell r="AI338">
            <v>13.610365625155174</v>
          </cell>
        </row>
        <row r="339">
          <cell r="Z339">
            <v>307</v>
          </cell>
          <cell r="AA339">
            <v>189.39829615504436</v>
          </cell>
          <cell r="AC339">
            <v>304.71955781567885</v>
          </cell>
          <cell r="AD339">
            <v>74.077034494409872</v>
          </cell>
          <cell r="AI339">
            <v>13.637438222132307</v>
          </cell>
        </row>
        <row r="340">
          <cell r="Z340">
            <v>308</v>
          </cell>
          <cell r="AA340">
            <v>188.73404316710653</v>
          </cell>
          <cell r="AC340">
            <v>303.66737022390328</v>
          </cell>
          <cell r="AD340">
            <v>73.800716110309821</v>
          </cell>
          <cell r="AI340">
            <v>13.705573333389108</v>
          </cell>
        </row>
        <row r="341">
          <cell r="Z341">
            <v>309</v>
          </cell>
          <cell r="AA341">
            <v>188.0717147342576</v>
          </cell>
          <cell r="AC341">
            <v>302.61455166267172</v>
          </cell>
          <cell r="AD341">
            <v>73.528877805843493</v>
          </cell>
          <cell r="AI341">
            <v>13.773708444645907</v>
          </cell>
        </row>
        <row r="342">
          <cell r="Z342">
            <v>310</v>
          </cell>
          <cell r="AA342">
            <v>187.43975150392214</v>
          </cell>
          <cell r="AC342">
            <v>301.55052616916601</v>
          </cell>
          <cell r="AD342">
            <v>73.328976838678287</v>
          </cell>
          <cell r="AI342">
            <v>13.841843555902706</v>
          </cell>
        </row>
        <row r="343">
          <cell r="Z343">
            <v>311</v>
          </cell>
          <cell r="AA343">
            <v>186.81826640684835</v>
          </cell>
          <cell r="AC343">
            <v>300.48263757514928</v>
          </cell>
          <cell r="AD343">
            <v>73.15389523854742</v>
          </cell>
          <cell r="AI343">
            <v>13.909978667159505</v>
          </cell>
        </row>
        <row r="344">
          <cell r="Z344">
            <v>312</v>
          </cell>
          <cell r="AA344">
            <v>186.19678130977454</v>
          </cell>
          <cell r="AC344">
            <v>299.41477387406627</v>
          </cell>
          <cell r="AD344">
            <v>72.978788745482788</v>
          </cell>
          <cell r="AI344">
            <v>13.978113778416308</v>
          </cell>
        </row>
        <row r="345">
          <cell r="Z345">
            <v>313</v>
          </cell>
          <cell r="AA345">
            <v>185.57529621270069</v>
          </cell>
          <cell r="AC345">
            <v>298.34693536151457</v>
          </cell>
          <cell r="AD345">
            <v>72.803657063886817</v>
          </cell>
          <cell r="AI345">
            <v>14.046248889673109</v>
          </cell>
        </row>
        <row r="346">
          <cell r="Z346">
            <v>314</v>
          </cell>
          <cell r="AA346">
            <v>184.95381111562696</v>
          </cell>
          <cell r="AC346">
            <v>297.2791223377734</v>
          </cell>
          <cell r="AD346">
            <v>72.628499893480537</v>
          </cell>
          <cell r="AI346">
            <v>14.114384000929908</v>
          </cell>
        </row>
        <row r="347">
          <cell r="Z347">
            <v>315</v>
          </cell>
          <cell r="AA347">
            <v>184.33232601855312</v>
          </cell>
          <cell r="AC347">
            <v>296.21133510789622</v>
          </cell>
          <cell r="AD347">
            <v>72.453316929210004</v>
          </cell>
          <cell r="AI347">
            <v>14.182519112186709</v>
          </cell>
        </row>
        <row r="348">
          <cell r="Z348">
            <v>316</v>
          </cell>
          <cell r="AA348">
            <v>183.7108409214793</v>
          </cell>
          <cell r="AC348">
            <v>295.14357398180641</v>
          </cell>
          <cell r="AD348">
            <v>72.278107861152165</v>
          </cell>
          <cell r="AI348">
            <v>14.250654223443508</v>
          </cell>
        </row>
        <row r="349">
          <cell r="Z349">
            <v>317</v>
          </cell>
          <cell r="AA349">
            <v>183.08935582440549</v>
          </cell>
          <cell r="AC349">
            <v>294.07583927439345</v>
          </cell>
          <cell r="AD349">
            <v>72.102872374417515</v>
          </cell>
          <cell r="AI349">
            <v>14.318789334700309</v>
          </cell>
        </row>
        <row r="350">
          <cell r="Z350">
            <v>318</v>
          </cell>
          <cell r="AA350">
            <v>182.4678707273317</v>
          </cell>
          <cell r="AC350">
            <v>293.00813130561278</v>
          </cell>
          <cell r="AD350">
            <v>71.927610149050622</v>
          </cell>
          <cell r="AI350">
            <v>14.38692444595711</v>
          </cell>
        </row>
        <row r="351">
          <cell r="Z351">
            <v>319</v>
          </cell>
          <cell r="AA351">
            <v>181.84638563025786</v>
          </cell>
          <cell r="AC351">
            <v>291.94045040058779</v>
          </cell>
          <cell r="AD351">
            <v>71.75232085992792</v>
          </cell>
          <cell r="AI351">
            <v>14.455059557213911</v>
          </cell>
        </row>
        <row r="352">
          <cell r="Z352">
            <v>320</v>
          </cell>
          <cell r="AA352">
            <v>181.22677622344611</v>
          </cell>
          <cell r="AC352">
            <v>290.87425634001613</v>
          </cell>
          <cell r="AD352">
            <v>71.579296106876114</v>
          </cell>
          <cell r="AI352">
            <v>14.52319466847071</v>
          </cell>
        </row>
        <row r="353">
          <cell r="Z353">
            <v>321</v>
          </cell>
          <cell r="AA353">
            <v>180.64843200239852</v>
          </cell>
          <cell r="AC353">
            <v>289.84026321237241</v>
          </cell>
          <cell r="AD353">
            <v>71.456600792424638</v>
          </cell>
          <cell r="AI353">
            <v>14.591329779727509</v>
          </cell>
        </row>
        <row r="354">
          <cell r="Z354">
            <v>322</v>
          </cell>
          <cell r="AA354">
            <v>180.08696899370906</v>
          </cell>
          <cell r="AC354">
            <v>288.81963268551777</v>
          </cell>
          <cell r="AD354">
            <v>71.354305301900354</v>
          </cell>
          <cell r="AI354">
            <v>14.65946489098431</v>
          </cell>
        </row>
        <row r="355">
          <cell r="Z355">
            <v>323</v>
          </cell>
          <cell r="AA355">
            <v>179.52550598501958</v>
          </cell>
          <cell r="AC355">
            <v>287.79923605341332</v>
          </cell>
          <cell r="AD355">
            <v>71.251775916625846</v>
          </cell>
          <cell r="AI355">
            <v>14.727600002241111</v>
          </cell>
        </row>
        <row r="356">
          <cell r="Z356">
            <v>324</v>
          </cell>
          <cell r="AA356">
            <v>178.96404297633012</v>
          </cell>
          <cell r="AC356">
            <v>286.77907630290127</v>
          </cell>
          <cell r="AD356">
            <v>71.149009649758966</v>
          </cell>
          <cell r="AI356">
            <v>14.79573511349791</v>
          </cell>
        </row>
        <row r="357">
          <cell r="Z357">
            <v>325</v>
          </cell>
          <cell r="AA357">
            <v>178.40257996764066</v>
          </cell>
          <cell r="AC357">
            <v>285.75915647031599</v>
          </cell>
          <cell r="AD357">
            <v>71.046003464965338</v>
          </cell>
          <cell r="AI357">
            <v>14.863870224754711</v>
          </cell>
        </row>
        <row r="358">
          <cell r="Z358">
            <v>326</v>
          </cell>
          <cell r="AA358">
            <v>177.84111695895115</v>
          </cell>
          <cell r="AC358">
            <v>284.73947964247753</v>
          </cell>
          <cell r="AD358">
            <v>70.942754275424775</v>
          </cell>
          <cell r="AI358">
            <v>14.932005336011512</v>
          </cell>
        </row>
        <row r="359">
          <cell r="Z359">
            <v>327</v>
          </cell>
          <cell r="AA359">
            <v>177.27965395026172</v>
          </cell>
          <cell r="AC359">
            <v>283.72004895770971</v>
          </cell>
          <cell r="AD359">
            <v>70.839258942813743</v>
          </cell>
          <cell r="AI359">
            <v>15.000140447268311</v>
          </cell>
        </row>
        <row r="360">
          <cell r="Z360">
            <v>328</v>
          </cell>
          <cell r="AA360">
            <v>176.71819094157226</v>
          </cell>
          <cell r="AC360">
            <v>282.70086760688037</v>
          </cell>
          <cell r="AD360">
            <v>70.735514276264141</v>
          </cell>
          <cell r="AI360">
            <v>15.068275558525112</v>
          </cell>
        </row>
        <row r="361">
          <cell r="Z361">
            <v>329</v>
          </cell>
          <cell r="AA361">
            <v>176.15672793288275</v>
          </cell>
          <cell r="AC361">
            <v>281.68193883446679</v>
          </cell>
          <cell r="AD361">
            <v>70.631517031298699</v>
          </cell>
          <cell r="AI361">
            <v>15.136410669781913</v>
          </cell>
        </row>
        <row r="362">
          <cell r="Z362">
            <v>330</v>
          </cell>
          <cell r="AA362">
            <v>175.59526492419323</v>
          </cell>
          <cell r="AC362">
            <v>280.66326593964595</v>
          </cell>
          <cell r="AD362">
            <v>70.52726390874048</v>
          </cell>
          <cell r="AI362">
            <v>15.204545781038712</v>
          </cell>
        </row>
        <row r="363">
          <cell r="Z363">
            <v>331</v>
          </cell>
          <cell r="AA363">
            <v>175.0338019155038</v>
          </cell>
          <cell r="AC363">
            <v>279.64485227741062</v>
          </cell>
          <cell r="AD363">
            <v>70.422751553596967</v>
          </cell>
          <cell r="AI363">
            <v>15.272680892295513</v>
          </cell>
        </row>
        <row r="364">
          <cell r="Z364">
            <v>332</v>
          </cell>
          <cell r="AA364">
            <v>174.47233890681434</v>
          </cell>
          <cell r="AC364">
            <v>278.62670125971101</v>
          </cell>
          <cell r="AD364">
            <v>70.317976553917674</v>
          </cell>
          <cell r="AI364">
            <v>15.340816003552312</v>
          </cell>
        </row>
        <row r="365">
          <cell r="Z365">
            <v>333</v>
          </cell>
          <cell r="AA365">
            <v>173.91087589812489</v>
          </cell>
          <cell r="AC365">
            <v>277.60881635662406</v>
          </cell>
          <cell r="AD365">
            <v>70.21293543962571</v>
          </cell>
          <cell r="AI365">
            <v>15.408951114809115</v>
          </cell>
        </row>
        <row r="366">
          <cell r="Z366">
            <v>334</v>
          </cell>
          <cell r="AA366">
            <v>173.34941288943537</v>
          </cell>
          <cell r="AC366">
            <v>276.5912010975502</v>
          </cell>
          <cell r="AD366">
            <v>70.107624681320559</v>
          </cell>
          <cell r="AI366">
            <v>15.477086226065914</v>
          </cell>
        </row>
        <row r="367">
          <cell r="Z367">
            <v>335</v>
          </cell>
          <cell r="AA367">
            <v>172.78794988074591</v>
          </cell>
          <cell r="AC367">
            <v>275.57385907243867</v>
          </cell>
          <cell r="AD367">
            <v>70.00204068905316</v>
          </cell>
          <cell r="AI367">
            <v>15.545221337322715</v>
          </cell>
        </row>
        <row r="368">
          <cell r="Z368">
            <v>336</v>
          </cell>
          <cell r="AA368">
            <v>172.22648687205643</v>
          </cell>
          <cell r="AC368">
            <v>274.55679393304104</v>
          </cell>
          <cell r="AD368">
            <v>69.896179811071789</v>
          </cell>
          <cell r="AI368">
            <v>15.613356448579514</v>
          </cell>
        </row>
        <row r="369">
          <cell r="Z369">
            <v>337</v>
          </cell>
          <cell r="AA369">
            <v>171.66502386336697</v>
          </cell>
          <cell r="AC369">
            <v>273.54000939419666</v>
          </cell>
          <cell r="AD369">
            <v>69.79003833253725</v>
          </cell>
          <cell r="AI369">
            <v>15.681491559836314</v>
          </cell>
        </row>
        <row r="370">
          <cell r="Z370">
            <v>338</v>
          </cell>
          <cell r="AA370">
            <v>171.10356085467751</v>
          </cell>
          <cell r="AC370">
            <v>272.52350923514643</v>
          </cell>
          <cell r="AD370">
            <v>69.683612474208573</v>
          </cell>
          <cell r="AI370">
            <v>15.749626671093115</v>
          </cell>
        </row>
        <row r="371">
          <cell r="Z371">
            <v>339</v>
          </cell>
          <cell r="AA371">
            <v>170.53922395379013</v>
          </cell>
          <cell r="AC371">
            <v>271.49988778349496</v>
          </cell>
          <cell r="AD371">
            <v>69.5785601240853</v>
          </cell>
          <cell r="AI371">
            <v>15.817761782349915</v>
          </cell>
        </row>
        <row r="372">
          <cell r="Z372">
            <v>340</v>
          </cell>
          <cell r="AA372">
            <v>169.92954342044763</v>
          </cell>
          <cell r="AC372">
            <v>270.35972146078961</v>
          </cell>
          <cell r="AD372">
            <v>69.499365380105658</v>
          </cell>
          <cell r="AI372">
            <v>15.902377440472792</v>
          </cell>
        </row>
        <row r="373">
          <cell r="Z373">
            <v>341</v>
          </cell>
          <cell r="AA373">
            <v>169.30421614069459</v>
          </cell>
          <cell r="AC373">
            <v>269.17968916784696</v>
          </cell>
          <cell r="AD373">
            <v>69.428743113542239</v>
          </cell>
          <cell r="AI373">
            <v>16.037562200758192</v>
          </cell>
        </row>
        <row r="374">
          <cell r="Z374">
            <v>342</v>
          </cell>
          <cell r="AA374">
            <v>168.6788888609415</v>
          </cell>
          <cell r="AC374">
            <v>268.00014007689839</v>
          </cell>
          <cell r="AD374">
            <v>69.357637644984592</v>
          </cell>
          <cell r="AI374">
            <v>16.176286209954156</v>
          </cell>
        </row>
        <row r="375">
          <cell r="Z375">
            <v>343</v>
          </cell>
          <cell r="AA375">
            <v>168.0535615811884</v>
          </cell>
          <cell r="AC375">
            <v>266.8210823222305</v>
          </cell>
          <cell r="AD375">
            <v>69.286040840146313</v>
          </cell>
          <cell r="AI375">
            <v>16.315010219150118</v>
          </cell>
        </row>
        <row r="376">
          <cell r="Z376">
            <v>344</v>
          </cell>
          <cell r="AA376">
            <v>167.42823430143537</v>
          </cell>
          <cell r="AC376">
            <v>265.64252421427983</v>
          </cell>
          <cell r="AD376">
            <v>69.213944388590903</v>
          </cell>
          <cell r="AI376">
            <v>16.445885301135661</v>
          </cell>
        </row>
        <row r="377">
          <cell r="Z377">
            <v>345</v>
          </cell>
          <cell r="AA377">
            <v>166.80290702168224</v>
          </cell>
          <cell r="AC377">
            <v>264.46447424420592</v>
          </cell>
          <cell r="AD377">
            <v>69.141339799158544</v>
          </cell>
          <cell r="AI377">
            <v>16.273311775762917</v>
          </cell>
        </row>
        <row r="378">
          <cell r="Z378">
            <v>346</v>
          </cell>
          <cell r="AA378">
            <v>166.17757974192915</v>
          </cell>
          <cell r="AC378">
            <v>263.28694108859798</v>
          </cell>
          <cell r="AD378">
            <v>69.068218395260331</v>
          </cell>
          <cell r="AI378">
            <v>15.944992182355275</v>
          </cell>
        </row>
        <row r="379">
          <cell r="Z379">
            <v>347</v>
          </cell>
          <cell r="AA379">
            <v>165.55225246217609</v>
          </cell>
          <cell r="AC379">
            <v>262.10993361432179</v>
          </cell>
          <cell r="AD379">
            <v>68.994571310030409</v>
          </cell>
          <cell r="AI379">
            <v>15.616672588947633</v>
          </cell>
        </row>
        <row r="380">
          <cell r="Z380">
            <v>348</v>
          </cell>
          <cell r="AA380">
            <v>164.92692518242302</v>
          </cell>
          <cell r="AC380">
            <v>260.93346088351012</v>
          </cell>
          <cell r="AD380">
            <v>68.920389481335917</v>
          </cell>
          <cell r="AI380">
            <v>15.288352995539991</v>
          </cell>
        </row>
        <row r="381">
          <cell r="Z381">
            <v>349</v>
          </cell>
          <cell r="AA381">
            <v>164.30159790266993</v>
          </cell>
          <cell r="AC381">
            <v>259.75753215870213</v>
          </cell>
          <cell r="AD381">
            <v>68.845663646637732</v>
          </cell>
          <cell r="AI381">
            <v>15.05030504234295</v>
          </cell>
        </row>
        <row r="382">
          <cell r="Z382">
            <v>350</v>
          </cell>
          <cell r="AA382">
            <v>163.69137627681172</v>
          </cell>
          <cell r="AC382">
            <v>258.57563245156166</v>
          </cell>
          <cell r="AD382">
            <v>68.807120102061802</v>
          </cell>
          <cell r="AI382">
            <v>14.978356907133422</v>
          </cell>
        </row>
        <row r="383">
          <cell r="Z383">
            <v>351</v>
          </cell>
          <cell r="AA383">
            <v>163.11058582501451</v>
          </cell>
          <cell r="AC383">
            <v>257.3814550906211</v>
          </cell>
          <cell r="AD383">
            <v>68.839716559407933</v>
          </cell>
          <cell r="AI383">
            <v>14.910019637532317</v>
          </cell>
        </row>
        <row r="384">
          <cell r="Z384">
            <v>352</v>
          </cell>
          <cell r="AA384">
            <v>162.53055663274304</v>
          </cell>
          <cell r="AC384">
            <v>256.18732460450559</v>
          </cell>
          <cell r="AD384">
            <v>68.873788660980495</v>
          </cell>
          <cell r="AI384">
            <v>14.841682367931211</v>
          </cell>
        </row>
        <row r="385">
          <cell r="Z385">
            <v>353</v>
          </cell>
          <cell r="AA385">
            <v>161.95052744047155</v>
          </cell>
          <cell r="AC385">
            <v>254.99357718049777</v>
          </cell>
          <cell r="AD385">
            <v>68.907477700445313</v>
          </cell>
          <cell r="AI385">
            <v>14.773345098330106</v>
          </cell>
        </row>
        <row r="386">
          <cell r="Z386">
            <v>354</v>
          </cell>
          <cell r="AA386">
            <v>161.37049824820002</v>
          </cell>
          <cell r="AC386">
            <v>253.80022044900699</v>
          </cell>
          <cell r="AD386">
            <v>68.940776047393044</v>
          </cell>
          <cell r="AI386">
            <v>14.705007828729002</v>
          </cell>
        </row>
        <row r="387">
          <cell r="Z387">
            <v>355</v>
          </cell>
          <cell r="AA387">
            <v>160.79046905592853</v>
          </cell>
          <cell r="AC387">
            <v>252.60726223940134</v>
          </cell>
          <cell r="AD387">
            <v>68.973675872455701</v>
          </cell>
          <cell r="AI387">
            <v>14.636670559127896</v>
          </cell>
        </row>
        <row r="388">
          <cell r="Z388">
            <v>356</v>
          </cell>
          <cell r="AA388">
            <v>160.21043986365703</v>
          </cell>
          <cell r="AC388">
            <v>251.41471058635841</v>
          </cell>
          <cell r="AD388">
            <v>69.006169140955649</v>
          </cell>
          <cell r="AI388">
            <v>14.568333289526793</v>
          </cell>
        </row>
        <row r="389">
          <cell r="Z389">
            <v>357</v>
          </cell>
          <cell r="AA389">
            <v>159.63041067138556</v>
          </cell>
          <cell r="AC389">
            <v>250.2225737364538</v>
          </cell>
          <cell r="AD389">
            <v>69.038247606317327</v>
          </cell>
          <cell r="AI389">
            <v>14.499996019925685</v>
          </cell>
        </row>
        <row r="390">
          <cell r="Z390">
            <v>358</v>
          </cell>
          <cell r="AA390">
            <v>159.05038147911401</v>
          </cell>
          <cell r="AC390">
            <v>249.03086015499662</v>
          </cell>
          <cell r="AD390">
            <v>69.069902803231386</v>
          </cell>
          <cell r="AI390">
            <v>14.43165875032458</v>
          </cell>
        </row>
        <row r="391">
          <cell r="Z391">
            <v>359</v>
          </cell>
          <cell r="AA391">
            <v>158.47035228684257</v>
          </cell>
          <cell r="AC391">
            <v>247.83957853312336</v>
          </cell>
          <cell r="AD391">
            <v>69.101126040561766</v>
          </cell>
          <cell r="AI391">
            <v>14.363321480723474</v>
          </cell>
        </row>
        <row r="392">
          <cell r="Z392">
            <v>360</v>
          </cell>
          <cell r="AA392">
            <v>157.89032309457107</v>
          </cell>
          <cell r="AC392">
            <v>246.64873779516046</v>
          </cell>
          <cell r="AD392">
            <v>69.131908393981689</v>
          </cell>
          <cell r="AI392">
            <v>14.294984211122369</v>
          </cell>
        </row>
        <row r="393">
          <cell r="Z393">
            <v>361</v>
          </cell>
          <cell r="AA393">
            <v>157.31029390229955</v>
          </cell>
          <cell r="AC393">
            <v>245.45834710626781</v>
          </cell>
          <cell r="AD393">
            <v>69.162240698331289</v>
          </cell>
          <cell r="AI393">
            <v>14.226646941521263</v>
          </cell>
        </row>
        <row r="394">
          <cell r="Z394">
            <v>362</v>
          </cell>
          <cell r="AA394">
            <v>156.73026471002805</v>
          </cell>
          <cell r="AC394">
            <v>244.26841588037405</v>
          </cell>
          <cell r="AD394">
            <v>69.192113539682069</v>
          </cell>
          <cell r="AI394">
            <v>14.15830967192016</v>
          </cell>
        </row>
        <row r="395">
          <cell r="Z395">
            <v>363</v>
          </cell>
          <cell r="AA395">
            <v>156.15023551775656</v>
          </cell>
          <cell r="AC395">
            <v>243.07895378841786</v>
          </cell>
          <cell r="AD395">
            <v>69.22151724709525</v>
          </cell>
          <cell r="AI395">
            <v>14.089972402319054</v>
          </cell>
        </row>
        <row r="396">
          <cell r="Z396">
            <v>364</v>
          </cell>
          <cell r="AA396">
            <v>155.57020632548509</v>
          </cell>
          <cell r="AC396">
            <v>241.88997076690703</v>
          </cell>
          <cell r="AD396">
            <v>69.250441884063136</v>
          </cell>
          <cell r="AI396">
            <v>14.021635132717948</v>
          </cell>
        </row>
        <row r="397">
          <cell r="Z397">
            <v>365</v>
          </cell>
          <cell r="AA397">
            <v>154.99017713321359</v>
          </cell>
          <cell r="AC397">
            <v>240.7014770268103</v>
          </cell>
          <cell r="AD397">
            <v>69.278877239616889</v>
          </cell>
          <cell r="AI397">
            <v>13.953297863116843</v>
          </cell>
        </row>
        <row r="398">
          <cell r="Z398">
            <v>366</v>
          </cell>
          <cell r="AA398">
            <v>154.4101479409421</v>
          </cell>
          <cell r="AC398">
            <v>239.5134830627955</v>
          </cell>
          <cell r="AD398">
            <v>69.306812819088677</v>
          </cell>
          <cell r="AI398">
            <v>13.891137327023936</v>
          </cell>
        </row>
        <row r="399">
          <cell r="Z399">
            <v>367</v>
          </cell>
          <cell r="AA399">
            <v>153.83011874867057</v>
          </cell>
          <cell r="AC399">
            <v>238.32599966283016</v>
          </cell>
          <cell r="AD399">
            <v>69.334237834511001</v>
          </cell>
          <cell r="AI399">
            <v>13.86150115331014</v>
          </cell>
        </row>
        <row r="400">
          <cell r="Z400">
            <v>368</v>
          </cell>
          <cell r="AA400">
            <v>153.25008955639908</v>
          </cell>
          <cell r="AC400">
            <v>237.13903791815954</v>
          </cell>
          <cell r="AD400">
            <v>69.361141194638606</v>
          </cell>
          <cell r="AI400">
            <v>13.836594041188558</v>
          </cell>
        </row>
        <row r="401">
          <cell r="Z401">
            <v>369</v>
          </cell>
          <cell r="AA401">
            <v>152.67006036412761</v>
          </cell>
          <cell r="AC401">
            <v>235.95260923367954</v>
          </cell>
          <cell r="AD401">
            <v>69.387511494575691</v>
          </cell>
          <cell r="AI401">
            <v>13.811686929066976</v>
          </cell>
        </row>
        <row r="402">
          <cell r="Z402">
            <v>370</v>
          </cell>
          <cell r="AA402">
            <v>152.09003117185611</v>
          </cell>
          <cell r="AC402">
            <v>234.76672533872156</v>
          </cell>
          <cell r="AD402">
            <v>69.413337004990666</v>
          </cell>
          <cell r="AI402">
            <v>13.786779816945394</v>
          </cell>
        </row>
        <row r="403">
          <cell r="Z403">
            <v>371</v>
          </cell>
          <cell r="AA403">
            <v>151.51000197958462</v>
          </cell>
          <cell r="AC403">
            <v>233.58139829826828</v>
          </cell>
          <cell r="AD403">
            <v>69.438605660900947</v>
          </cell>
          <cell r="AI403">
            <v>13.761872704823812</v>
          </cell>
        </row>
        <row r="404">
          <cell r="Z404">
            <v>372</v>
          </cell>
          <cell r="AA404">
            <v>150.92997278731312</v>
          </cell>
          <cell r="AC404">
            <v>232.39664052461785</v>
          </cell>
          <cell r="AD404">
            <v>69.463305050008387</v>
          </cell>
          <cell r="AI404">
            <v>13.73696559270223</v>
          </cell>
        </row>
        <row r="405">
          <cell r="Z405">
            <v>373</v>
          </cell>
          <cell r="AA405">
            <v>150.34994359504162</v>
          </cell>
          <cell r="AC405">
            <v>231.21246478951895</v>
          </cell>
          <cell r="AD405">
            <v>69.487422400564313</v>
          </cell>
          <cell r="AI405">
            <v>13.712058480580648</v>
          </cell>
        </row>
        <row r="406">
          <cell r="Z406">
            <v>374</v>
          </cell>
          <cell r="AA406">
            <v>149.76987318839875</v>
          </cell>
          <cell r="AC406">
            <v>230.02878056569472</v>
          </cell>
          <cell r="AD406">
            <v>69.510965811102778</v>
          </cell>
          <cell r="AI406">
            <v>13.687151368459066</v>
          </cell>
        </row>
        <row r="407">
          <cell r="Z407">
            <v>375</v>
          </cell>
          <cell r="AA407">
            <v>149.18694868653611</v>
          </cell>
          <cell r="AC407">
            <v>228.83853271891144</v>
          </cell>
          <cell r="AD407">
            <v>69.535364654160787</v>
          </cell>
          <cell r="AI407">
            <v>13.662244256337484</v>
          </cell>
        </row>
        <row r="408">
          <cell r="Z408">
            <v>376</v>
          </cell>
          <cell r="AA408">
            <v>148.60228287748166</v>
          </cell>
          <cell r="AC408">
            <v>227.64454958645695</v>
          </cell>
          <cell r="AD408">
            <v>69.560016168506365</v>
          </cell>
          <cell r="AI408">
            <v>13.637337144215902</v>
          </cell>
        </row>
        <row r="409">
          <cell r="Z409">
            <v>377</v>
          </cell>
          <cell r="AA409">
            <v>148.01761706842717</v>
          </cell>
          <cell r="AC409">
            <v>226.45122631360226</v>
          </cell>
          <cell r="AD409">
            <v>69.58400782325208</v>
          </cell>
          <cell r="AI409">
            <v>13.61243003209432</v>
          </cell>
        </row>
        <row r="410">
          <cell r="Z410">
            <v>378</v>
          </cell>
          <cell r="AA410">
            <v>147.43295125937274</v>
          </cell>
          <cell r="AC410">
            <v>225.25857838220824</v>
          </cell>
          <cell r="AD410">
            <v>69.607324136537244</v>
          </cell>
          <cell r="AI410">
            <v>13.587522919972738</v>
          </cell>
        </row>
        <row r="411">
          <cell r="Z411">
            <v>379</v>
          </cell>
          <cell r="AA411">
            <v>146.84828545031826</v>
          </cell>
          <cell r="AC411">
            <v>224.06662174427282</v>
          </cell>
          <cell r="AD411">
            <v>69.629949156363708</v>
          </cell>
          <cell r="AI411">
            <v>13.562615807851156</v>
          </cell>
        </row>
        <row r="412">
          <cell r="Z412">
            <v>380</v>
          </cell>
          <cell r="AA412">
            <v>146.26361964126383</v>
          </cell>
          <cell r="AC412">
            <v>222.87537283916208</v>
          </cell>
          <cell r="AD412">
            <v>69.651866443365591</v>
          </cell>
          <cell r="AI412">
            <v>13.537708695729574</v>
          </cell>
        </row>
        <row r="413">
          <cell r="Z413">
            <v>381</v>
          </cell>
          <cell r="AA413">
            <v>145.67895383220937</v>
          </cell>
          <cell r="AC413">
            <v>221.68484861156759</v>
          </cell>
          <cell r="AD413">
            <v>69.673059052851144</v>
          </cell>
          <cell r="AI413">
            <v>13.512801583607992</v>
          </cell>
        </row>
        <row r="414">
          <cell r="Z414">
            <v>382</v>
          </cell>
          <cell r="AA414">
            <v>145.09428802315489</v>
          </cell>
          <cell r="AC414">
            <v>220.4950665302226</v>
          </cell>
          <cell r="AD414">
            <v>69.693509516087175</v>
          </cell>
          <cell r="AI414">
            <v>13.48789447148641</v>
          </cell>
        </row>
        <row r="415">
          <cell r="Z415">
            <v>383</v>
          </cell>
          <cell r="AA415">
            <v>144.50962221410043</v>
          </cell>
          <cell r="AC415">
            <v>219.30604460741196</v>
          </cell>
          <cell r="AD415">
            <v>69.713199820788901</v>
          </cell>
          <cell r="AI415">
            <v>13.462987359364828</v>
          </cell>
        </row>
        <row r="416">
          <cell r="Z416">
            <v>384</v>
          </cell>
          <cell r="AA416">
            <v>143.924956405046</v>
          </cell>
          <cell r="AC416">
            <v>218.1178014193145</v>
          </cell>
          <cell r="AD416">
            <v>69.73211139077749</v>
          </cell>
          <cell r="AI416">
            <v>13.438080247243246</v>
          </cell>
        </row>
        <row r="417">
          <cell r="Z417">
            <v>385</v>
          </cell>
          <cell r="AA417">
            <v>143.34029059599152</v>
          </cell>
          <cell r="AC417">
            <v>216.93035612721425</v>
          </cell>
          <cell r="AD417">
            <v>69.750225064768784</v>
          </cell>
          <cell r="AI417">
            <v>13.413173135121664</v>
          </cell>
        </row>
        <row r="418">
          <cell r="Z418">
            <v>386</v>
          </cell>
          <cell r="AA418">
            <v>142.75562478693709</v>
          </cell>
          <cell r="AC418">
            <v>215.74372849962327</v>
          </cell>
          <cell r="AD418">
            <v>69.767521074250894</v>
          </cell>
          <cell r="AI418">
            <v>13.388266023000082</v>
          </cell>
        </row>
        <row r="419">
          <cell r="Z419">
            <v>387</v>
          </cell>
          <cell r="AA419">
            <v>142.17095897788261</v>
          </cell>
          <cell r="AC419">
            <v>214.5579389353571</v>
          </cell>
          <cell r="AD419">
            <v>69.783979020408111</v>
          </cell>
          <cell r="AI419">
            <v>13.372436579582507</v>
          </cell>
        </row>
        <row r="420">
          <cell r="Z420">
            <v>388</v>
          </cell>
          <cell r="AA420">
            <v>141.58629316882812</v>
          </cell>
          <cell r="AC420">
            <v>213.37300848760833</v>
          </cell>
          <cell r="AD420">
            <v>69.799577850047896</v>
          </cell>
          <cell r="AI420">
            <v>13.40440673543446</v>
          </cell>
        </row>
        <row r="421">
          <cell r="Z421">
            <v>389</v>
          </cell>
          <cell r="AA421">
            <v>141.00162735977369</v>
          </cell>
          <cell r="AC421">
            <v>212.18895888906451</v>
          </cell>
          <cell r="AD421">
            <v>69.814295830482891</v>
          </cell>
          <cell r="AI421">
            <v>13.443326981387921</v>
          </cell>
        </row>
        <row r="422">
          <cell r="Z422">
            <v>390</v>
          </cell>
          <cell r="AA422">
            <v>140.41696155071926</v>
          </cell>
          <cell r="AC422">
            <v>211.00581257811959</v>
          </cell>
          <cell r="AD422">
            <v>69.828110523318941</v>
          </cell>
          <cell r="AI422">
            <v>13.482247227341382</v>
          </cell>
        </row>
        <row r="423">
          <cell r="Z423">
            <v>391</v>
          </cell>
          <cell r="AA423">
            <v>139.83229574166481</v>
          </cell>
          <cell r="AC423">
            <v>209.82359272623046</v>
          </cell>
          <cell r="AD423">
            <v>69.840998757099172</v>
          </cell>
          <cell r="AI423">
            <v>13.521167473294842</v>
          </cell>
        </row>
        <row r="424">
          <cell r="Z424">
            <v>392</v>
          </cell>
          <cell r="AA424">
            <v>139.24744389189075</v>
          </cell>
          <cell r="AC424">
            <v>208.64212425304754</v>
          </cell>
          <cell r="AD424">
            <v>69.852763530733981</v>
          </cell>
          <cell r="AI424">
            <v>13.560087719248299</v>
          </cell>
        </row>
        <row r="425">
          <cell r="Z425">
            <v>393</v>
          </cell>
          <cell r="AA425">
            <v>138.64610655631429</v>
          </cell>
          <cell r="AC425">
            <v>207.44389168945764</v>
          </cell>
          <cell r="AD425">
            <v>69.84832142317093</v>
          </cell>
          <cell r="AI425">
            <v>13.599007965201762</v>
          </cell>
        </row>
        <row r="426">
          <cell r="Z426">
            <v>394</v>
          </cell>
          <cell r="AA426">
            <v>138.03410415173289</v>
          </cell>
          <cell r="AC426">
            <v>206.23491877202102</v>
          </cell>
          <cell r="AD426">
            <v>69.833289531444763</v>
          </cell>
          <cell r="AI426">
            <v>13.637928211155224</v>
          </cell>
        </row>
        <row r="427">
          <cell r="Z427">
            <v>395</v>
          </cell>
          <cell r="AA427">
            <v>137.42210174715152</v>
          </cell>
          <cell r="AC427">
            <v>205.02663443201902</v>
          </cell>
          <cell r="AD427">
            <v>69.817569062284008</v>
          </cell>
          <cell r="AI427">
            <v>13.676848457108683</v>
          </cell>
        </row>
        <row r="428">
          <cell r="Z428">
            <v>396</v>
          </cell>
          <cell r="AA428">
            <v>136.81009934257011</v>
          </cell>
          <cell r="AC428">
            <v>203.81905705145687</v>
          </cell>
          <cell r="AD428">
            <v>69.801141633683358</v>
          </cell>
          <cell r="AI428">
            <v>13.715768703062142</v>
          </cell>
        </row>
        <row r="429">
          <cell r="Z429">
            <v>397</v>
          </cell>
          <cell r="AA429">
            <v>136.19809693798874</v>
          </cell>
          <cell r="AC429">
            <v>202.61220564952004</v>
          </cell>
          <cell r="AD429">
            <v>69.783988226457438</v>
          </cell>
          <cell r="AI429">
            <v>13.754688949015604</v>
          </cell>
        </row>
        <row r="430">
          <cell r="Z430">
            <v>398</v>
          </cell>
          <cell r="AA430">
            <v>135.58609453340736</v>
          </cell>
          <cell r="AC430">
            <v>201.40609990933001</v>
          </cell>
          <cell r="AD430">
            <v>69.766089157484728</v>
          </cell>
          <cell r="AI430">
            <v>13.774704227589849</v>
          </cell>
        </row>
        <row r="431">
          <cell r="Z431">
            <v>399</v>
          </cell>
          <cell r="AA431">
            <v>134.97409212882596</v>
          </cell>
          <cell r="AC431">
            <v>200.20076020599771</v>
          </cell>
          <cell r="AD431">
            <v>69.747424051654193</v>
          </cell>
          <cell r="AI431">
            <v>13.588795977190506</v>
          </cell>
        </row>
        <row r="432">
          <cell r="Z432">
            <v>400</v>
          </cell>
          <cell r="AA432">
            <v>134.36208972424458</v>
          </cell>
          <cell r="AC432">
            <v>198.99620763604287</v>
          </cell>
          <cell r="AD432">
            <v>69.727971812446299</v>
          </cell>
          <cell r="AI432">
            <v>13.261093346520886</v>
          </cell>
        </row>
        <row r="433">
          <cell r="Z433">
            <v>401</v>
          </cell>
          <cell r="AA433">
            <v>133.75008731966321</v>
          </cell>
          <cell r="AC433">
            <v>197.79246404825295</v>
          </cell>
          <cell r="AD433">
            <v>69.707710591073479</v>
          </cell>
          <cell r="AI433">
            <v>11.919143390655517</v>
          </cell>
        </row>
        <row r="434">
          <cell r="Z434">
            <v>402</v>
          </cell>
          <cell r="AA434">
            <v>133.13808491508181</v>
          </cell>
          <cell r="AC434">
            <v>196.58955207605953</v>
          </cell>
          <cell r="AD434">
            <v>69.686617754104063</v>
          </cell>
          <cell r="AI434">
            <v>10.282678318023681</v>
          </cell>
        </row>
        <row r="435">
          <cell r="Z435">
            <v>403</v>
          </cell>
          <cell r="AA435">
            <v>132.52608251050043</v>
          </cell>
          <cell r="AC435">
            <v>195.38749517151473</v>
          </cell>
          <cell r="AD435">
            <v>69.664669849486145</v>
          </cell>
          <cell r="AI435">
            <v>9.3488693280220048</v>
          </cell>
        </row>
        <row r="436">
          <cell r="Z436">
            <v>404</v>
          </cell>
          <cell r="AA436">
            <v>131.91539042594388</v>
          </cell>
          <cell r="AC436">
            <v>194.18949444009456</v>
          </cell>
          <cell r="AD436">
            <v>69.641286411793203</v>
          </cell>
          <cell r="AI436">
            <v>9.6355909729003919</v>
          </cell>
        </row>
        <row r="437">
          <cell r="Z437">
            <v>405</v>
          </cell>
          <cell r="AA437">
            <v>131.37778508055132</v>
          </cell>
          <cell r="AC437">
            <v>193.1693500135292</v>
          </cell>
          <cell r="AD437">
            <v>69.586220147573442</v>
          </cell>
          <cell r="AI437">
            <v>9.9223442952535983</v>
          </cell>
        </row>
        <row r="438">
          <cell r="Z438">
            <v>406</v>
          </cell>
          <cell r="AA438">
            <v>130.88225556706789</v>
          </cell>
          <cell r="AC438">
            <v>192.25145028182186</v>
          </cell>
          <cell r="AD438">
            <v>69.513060852313927</v>
          </cell>
          <cell r="AI438">
            <v>9.9495690198448621</v>
          </cell>
        </row>
        <row r="439">
          <cell r="Z439">
            <v>407</v>
          </cell>
          <cell r="AA439">
            <v>130.3884510758395</v>
          </cell>
          <cell r="AC439">
            <v>191.33281909716925</v>
          </cell>
          <cell r="AD439">
            <v>69.444083054509747</v>
          </cell>
          <cell r="AI439">
            <v>9.9014323474915038</v>
          </cell>
        </row>
        <row r="440">
          <cell r="Z440">
            <v>408</v>
          </cell>
          <cell r="AA440">
            <v>129.89782062556046</v>
          </cell>
          <cell r="AC440">
            <v>190.41262521929158</v>
          </cell>
          <cell r="AD440">
            <v>69.383016031829328</v>
          </cell>
          <cell r="AI440">
            <v>9.8532956751381491</v>
          </cell>
        </row>
        <row r="441">
          <cell r="Z441">
            <v>409</v>
          </cell>
          <cell r="AA441">
            <v>129.40725917617164</v>
          </cell>
          <cell r="AC441">
            <v>189.49264041835823</v>
          </cell>
          <cell r="AD441">
            <v>69.321877933985036</v>
          </cell>
          <cell r="AI441">
            <v>9.8051590027847908</v>
          </cell>
        </row>
        <row r="442">
          <cell r="Z442">
            <v>410</v>
          </cell>
          <cell r="AA442">
            <v>128.91669772678279</v>
          </cell>
          <cell r="AC442">
            <v>188.57290942407749</v>
          </cell>
          <cell r="AD442">
            <v>69.260486029488078</v>
          </cell>
          <cell r="AI442">
            <v>9.7570223304314343</v>
          </cell>
        </row>
        <row r="443">
          <cell r="Z443">
            <v>411</v>
          </cell>
          <cell r="AA443">
            <v>128.42613627739394</v>
          </cell>
          <cell r="AC443">
            <v>187.65343775380825</v>
          </cell>
          <cell r="AD443">
            <v>69.198834800979625</v>
          </cell>
          <cell r="AI443">
            <v>9.7190529785945685</v>
          </cell>
        </row>
        <row r="444">
          <cell r="Z444">
            <v>412</v>
          </cell>
          <cell r="AA444">
            <v>127.93557482800509</v>
          </cell>
          <cell r="AC444">
            <v>186.73423108251311</v>
          </cell>
          <cell r="AD444">
            <v>69.13691857349707</v>
          </cell>
          <cell r="AI444">
            <v>10.016605203801936</v>
          </cell>
        </row>
        <row r="445">
          <cell r="Z445">
            <v>413</v>
          </cell>
          <cell r="AA445">
            <v>127.44501337861625</v>
          </cell>
          <cell r="AC445">
            <v>185.81529524829358</v>
          </cell>
          <cell r="AD445">
            <v>69.074731508938939</v>
          </cell>
          <cell r="AI445">
            <v>10.476834557273172</v>
          </cell>
        </row>
        <row r="446">
          <cell r="Z446">
            <v>414</v>
          </cell>
          <cell r="AA446">
            <v>126.9544519292274</v>
          </cell>
          <cell r="AC446">
            <v>184.89663625815544</v>
          </cell>
          <cell r="AD446">
            <v>69.012267600299367</v>
          </cell>
          <cell r="AI446">
            <v>10.937063910744406</v>
          </cell>
        </row>
        <row r="447">
          <cell r="Z447">
            <v>415</v>
          </cell>
          <cell r="AA447">
            <v>126.46389047983855</v>
          </cell>
          <cell r="AC447">
            <v>183.97826029401159</v>
          </cell>
          <cell r="AD447">
            <v>68.949520665665531</v>
          </cell>
          <cell r="AI447">
            <v>11.397293264215644</v>
          </cell>
        </row>
        <row r="448">
          <cell r="Z448">
            <v>416</v>
          </cell>
          <cell r="AA448">
            <v>125.97332903044973</v>
          </cell>
          <cell r="AC448">
            <v>183.06017371893736</v>
          </cell>
          <cell r="AD448">
            <v>68.886484341962102</v>
          </cell>
          <cell r="AI448">
            <v>11.857522617686879</v>
          </cell>
        </row>
        <row r="449">
          <cell r="Z449">
            <v>417</v>
          </cell>
          <cell r="AA449">
            <v>125.4827675810609</v>
          </cell>
          <cell r="AC449">
            <v>182.14238308368911</v>
          </cell>
          <cell r="AD449">
            <v>68.823152078432685</v>
          </cell>
          <cell r="AI449">
            <v>12.317751971158113</v>
          </cell>
        </row>
        <row r="450">
          <cell r="Z450">
            <v>418</v>
          </cell>
          <cell r="AA450">
            <v>124.99220613167203</v>
          </cell>
          <cell r="AC450">
            <v>181.22489513349649</v>
          </cell>
          <cell r="AD450">
            <v>68.759517129847566</v>
          </cell>
          <cell r="AI450">
            <v>12.77798132462935</v>
          </cell>
        </row>
        <row r="451">
          <cell r="Z451">
            <v>419</v>
          </cell>
          <cell r="AA451">
            <v>124.5016446822832</v>
          </cell>
          <cell r="AC451">
            <v>180.3077168151456</v>
          </cell>
          <cell r="AD451">
            <v>68.695572549420802</v>
          </cell>
          <cell r="AI451">
            <v>13.300046821309278</v>
          </cell>
        </row>
        <row r="452">
          <cell r="Z452">
            <v>420</v>
          </cell>
          <cell r="AA452">
            <v>124.01108323289436</v>
          </cell>
          <cell r="AC452">
            <v>179.39085528436323</v>
          </cell>
          <cell r="AD452">
            <v>68.631311181425502</v>
          </cell>
          <cell r="AI452">
            <v>13.923465049757301</v>
          </cell>
        </row>
        <row r="453">
          <cell r="Z453">
            <v>421</v>
          </cell>
          <cell r="AA453">
            <v>123.52052178350552</v>
          </cell>
          <cell r="AC453">
            <v>178.47431791351963</v>
          </cell>
          <cell r="AD453">
            <v>68.566725653491403</v>
          </cell>
          <cell r="AI453">
            <v>14.548346855559373</v>
          </cell>
        </row>
        <row r="454">
          <cell r="Z454">
            <v>422</v>
          </cell>
          <cell r="AA454">
            <v>123.02996033411667</v>
          </cell>
          <cell r="AC454">
            <v>177.55811229966338</v>
          </cell>
          <cell r="AD454">
            <v>68.501808368569954</v>
          </cell>
          <cell r="AI454">
            <v>15.173228661361447</v>
          </cell>
        </row>
        <row r="455">
          <cell r="Z455">
            <v>423</v>
          </cell>
          <cell r="AA455">
            <v>122.53939888472785</v>
          </cell>
          <cell r="AC455">
            <v>176.64224627290534</v>
          </cell>
          <cell r="AD455">
            <v>68.436551496550351</v>
          </cell>
          <cell r="AI455">
            <v>15.798110467163522</v>
          </cell>
        </row>
        <row r="456">
          <cell r="Z456">
            <v>424</v>
          </cell>
          <cell r="AA456">
            <v>122.048837435339</v>
          </cell>
          <cell r="AC456">
            <v>175.72672790517026</v>
          </cell>
          <cell r="AD456">
            <v>68.370946965507741</v>
          </cell>
          <cell r="AI456">
            <v>16.422992272965594</v>
          </cell>
        </row>
        <row r="457">
          <cell r="Z457">
            <v>425</v>
          </cell>
          <cell r="AA457">
            <v>121.5594221990545</v>
          </cell>
          <cell r="AC457">
            <v>174.8142885772576</v>
          </cell>
          <cell r="AD457">
            <v>68.304555820851391</v>
          </cell>
          <cell r="AI457">
            <v>17.04787407876767</v>
          </cell>
        </row>
        <row r="458">
          <cell r="Z458">
            <v>426</v>
          </cell>
          <cell r="AA458">
            <v>121.14938222024671</v>
          </cell>
          <cell r="AC458">
            <v>174.09062778481098</v>
          </cell>
          <cell r="AD458">
            <v>68.208136655682438</v>
          </cell>
          <cell r="AI458">
            <v>17.672755884569746</v>
          </cell>
        </row>
        <row r="459">
          <cell r="Z459">
            <v>427</v>
          </cell>
          <cell r="AA459">
            <v>120.78776974509799</v>
          </cell>
          <cell r="AC459">
            <v>173.48199263637065</v>
          </cell>
          <cell r="AD459">
            <v>68.09354685382533</v>
          </cell>
          <cell r="AI459">
            <v>18.297637690371818</v>
          </cell>
        </row>
        <row r="460">
          <cell r="Z460">
            <v>428</v>
          </cell>
          <cell r="AA460">
            <v>120.42615726994923</v>
          </cell>
          <cell r="AC460">
            <v>172.87335777600393</v>
          </cell>
          <cell r="AD460">
            <v>67.97895676389453</v>
          </cell>
          <cell r="AI460">
            <v>18.754903227199595</v>
          </cell>
        </row>
        <row r="461">
          <cell r="Z461">
            <v>429</v>
          </cell>
          <cell r="AA461">
            <v>120.0645447948005</v>
          </cell>
          <cell r="AC461">
            <v>172.26472320780056</v>
          </cell>
          <cell r="AD461">
            <v>67.864366381800451</v>
          </cell>
          <cell r="AI461">
            <v>18.383784228104812</v>
          </cell>
        </row>
        <row r="462">
          <cell r="Z462">
            <v>430</v>
          </cell>
          <cell r="AA462">
            <v>119.70293231965177</v>
          </cell>
          <cell r="AC462">
            <v>171.65608893592787</v>
          </cell>
          <cell r="AD462">
            <v>67.749775703375661</v>
          </cell>
          <cell r="AI462">
            <v>17.900459296886734</v>
          </cell>
        </row>
        <row r="463">
          <cell r="Z463">
            <v>431</v>
          </cell>
          <cell r="AA463">
            <v>119.34131984450302</v>
          </cell>
          <cell r="AC463">
            <v>171.047454964633</v>
          </cell>
          <cell r="AD463">
            <v>67.635184724373048</v>
          </cell>
          <cell r="AI463">
            <v>17.417134365668666</v>
          </cell>
        </row>
        <row r="464">
          <cell r="Z464">
            <v>432</v>
          </cell>
          <cell r="AA464">
            <v>118.97970736935429</v>
          </cell>
          <cell r="AC464">
            <v>170.43882129824465</v>
          </cell>
          <cell r="AD464">
            <v>67.520593440463927</v>
          </cell>
          <cell r="AI464">
            <v>16.933809434450588</v>
          </cell>
        </row>
        <row r="465">
          <cell r="Z465">
            <v>433</v>
          </cell>
          <cell r="AA465">
            <v>118.61809489420556</v>
          </cell>
          <cell r="AC465">
            <v>169.83018794117484</v>
          </cell>
          <cell r="AD465">
            <v>67.406001847236269</v>
          </cell>
          <cell r="AI465">
            <v>16.450484503232516</v>
          </cell>
        </row>
        <row r="466">
          <cell r="Z466">
            <v>434</v>
          </cell>
          <cell r="AA466">
            <v>118.25648241905681</v>
          </cell>
          <cell r="AC466">
            <v>169.22155489792132</v>
          </cell>
          <cell r="AD466">
            <v>67.291409940192295</v>
          </cell>
          <cell r="AI466">
            <v>15.967159572014442</v>
          </cell>
        </row>
        <row r="467">
          <cell r="Z467">
            <v>435</v>
          </cell>
          <cell r="AA467">
            <v>117.89486994390809</v>
          </cell>
          <cell r="AC467">
            <v>168.61292217306945</v>
          </cell>
          <cell r="AD467">
            <v>67.176817714746733</v>
          </cell>
          <cell r="AI467">
            <v>15.483834640796367</v>
          </cell>
        </row>
        <row r="468">
          <cell r="Z468">
            <v>436</v>
          </cell>
          <cell r="AA468">
            <v>117.53325746875934</v>
          </cell>
          <cell r="AC468">
            <v>168.0042897712942</v>
          </cell>
          <cell r="AD468">
            <v>67.062225166224493</v>
          </cell>
          <cell r="AI468">
            <v>15.000509709578294</v>
          </cell>
        </row>
        <row r="469">
          <cell r="Z469">
            <v>437</v>
          </cell>
          <cell r="AA469">
            <v>117.18272741187968</v>
          </cell>
          <cell r="AC469">
            <v>167.40925639492738</v>
          </cell>
          <cell r="AD469">
            <v>66.956198428831982</v>
          </cell>
          <cell r="AI469">
            <v>14.517184778360219</v>
          </cell>
        </row>
        <row r="470">
          <cell r="Z470">
            <v>438</v>
          </cell>
          <cell r="AA470">
            <v>116.87265892640893</v>
          </cell>
          <cell r="AC470">
            <v>166.86397586857066</v>
          </cell>
          <cell r="AD470">
            <v>66.8813419842472</v>
          </cell>
          <cell r="AI470">
            <v>14.033859847142146</v>
          </cell>
        </row>
        <row r="471">
          <cell r="Z471">
            <v>439</v>
          </cell>
          <cell r="AA471">
            <v>116.56630504650759</v>
          </cell>
          <cell r="AC471">
            <v>166.32345219418036</v>
          </cell>
          <cell r="AD471">
            <v>66.809157898834826</v>
          </cell>
          <cell r="AI471">
            <v>13.550534915924072</v>
          </cell>
        </row>
        <row r="472">
          <cell r="Z472">
            <v>440</v>
          </cell>
          <cell r="AA472">
            <v>116.25995116660629</v>
          </cell>
          <cell r="AC472">
            <v>165.78312936547221</v>
          </cell>
          <cell r="AD472">
            <v>66.736772967740364</v>
          </cell>
          <cell r="AI472">
            <v>13.067209984705999</v>
          </cell>
        </row>
        <row r="473">
          <cell r="Z473">
            <v>441</v>
          </cell>
          <cell r="AA473">
            <v>115.95359728670496</v>
          </cell>
          <cell r="AC473">
            <v>165.24301024259324</v>
          </cell>
          <cell r="AD473">
            <v>66.664184330816695</v>
          </cell>
          <cell r="AI473">
            <v>13.849301080428637</v>
          </cell>
        </row>
        <row r="474">
          <cell r="Z474">
            <v>442</v>
          </cell>
          <cell r="AA474">
            <v>115.64724340680363</v>
          </cell>
          <cell r="AC474">
            <v>164.70309773769381</v>
          </cell>
          <cell r="AD474">
            <v>66.59138907591344</v>
          </cell>
          <cell r="AI474">
            <v>16.000861612558364</v>
          </cell>
        </row>
        <row r="475">
          <cell r="Z475">
            <v>443</v>
          </cell>
          <cell r="AA475">
            <v>115.3408895269023</v>
          </cell>
          <cell r="AC475">
            <v>164.16339481605075</v>
          </cell>
          <cell r="AD475">
            <v>66.51838423775385</v>
          </cell>
          <cell r="AI475">
            <v>11.924647686465475</v>
          </cell>
        </row>
        <row r="476">
          <cell r="Z476">
            <v>444</v>
          </cell>
          <cell r="AA476">
            <v>115.03453564700099</v>
          </cell>
          <cell r="AC476">
            <v>163.62390449721681</v>
          </cell>
          <cell r="AD476">
            <v>66.445166796785173</v>
          </cell>
          <cell r="AI476">
            <v>10.841204553642529</v>
          </cell>
        </row>
        <row r="477">
          <cell r="Z477">
            <v>445</v>
          </cell>
          <cell r="AA477">
            <v>114.72818176709966</v>
          </cell>
          <cell r="AC477">
            <v>163.0846298561984</v>
          </cell>
          <cell r="AD477">
            <v>66.371733678000908</v>
          </cell>
          <cell r="AI477">
            <v>10.249852877598876</v>
          </cell>
        </row>
        <row r="478">
          <cell r="Z478">
            <v>446</v>
          </cell>
          <cell r="AA478">
            <v>114.44245502520108</v>
          </cell>
          <cell r="AC478">
            <v>162.59412894882553</v>
          </cell>
          <cell r="AD478">
            <v>66.290781101576641</v>
          </cell>
          <cell r="AI478">
            <v>9.842570254330262</v>
          </cell>
        </row>
        <row r="479">
          <cell r="Z479">
            <v>447</v>
          </cell>
          <cell r="AA479">
            <v>114.19691726771606</v>
          </cell>
          <cell r="AC479">
            <v>162.19832281654649</v>
          </cell>
          <cell r="AD479">
            <v>66.195511718885626</v>
          </cell>
          <cell r="AI479">
            <v>9.5196112597592961</v>
          </cell>
        </row>
        <row r="480">
          <cell r="Z480">
            <v>448</v>
          </cell>
          <cell r="AA480">
            <v>113.95241902863933</v>
          </cell>
          <cell r="AC480">
            <v>161.80499175070551</v>
          </cell>
          <cell r="AD480">
            <v>66.099846306573141</v>
          </cell>
          <cell r="AI480">
            <v>9.196652265188332</v>
          </cell>
        </row>
        <row r="481">
          <cell r="Z481">
            <v>449</v>
          </cell>
          <cell r="AA481">
            <v>113.70792078956259</v>
          </cell>
          <cell r="AC481">
            <v>161.4116888075034</v>
          </cell>
          <cell r="AD481">
            <v>66.00415277162179</v>
          </cell>
          <cell r="AI481">
            <v>8.8736932706173661</v>
          </cell>
        </row>
        <row r="482">
          <cell r="Z482">
            <v>450</v>
          </cell>
          <cell r="AA482">
            <v>113.46342255048584</v>
          </cell>
          <cell r="AC482">
            <v>161.01841425093636</v>
          </cell>
          <cell r="AD482">
            <v>65.90843085003533</v>
          </cell>
          <cell r="AI482">
            <v>8.550734276046402</v>
          </cell>
        </row>
        <row r="483">
          <cell r="Z483">
            <v>451</v>
          </cell>
          <cell r="AA483">
            <v>113.21892431140914</v>
          </cell>
          <cell r="AC483">
            <v>160.62516834826417</v>
          </cell>
          <cell r="AD483">
            <v>65.812680274554111</v>
          </cell>
          <cell r="AI483">
            <v>8.2277752814754361</v>
          </cell>
        </row>
        <row r="484">
          <cell r="Z484">
            <v>452</v>
          </cell>
          <cell r="AA484">
            <v>112.97442607233239</v>
          </cell>
          <cell r="AC484">
            <v>160.23195137005962</v>
          </cell>
          <cell r="AD484">
            <v>65.716900774605165</v>
          </cell>
          <cell r="AI484">
            <v>7.9048162869044711</v>
          </cell>
        </row>
        <row r="485">
          <cell r="Z485">
            <v>453</v>
          </cell>
          <cell r="AA485">
            <v>112.72992783325566</v>
          </cell>
          <cell r="AC485">
            <v>159.83876359025922</v>
          </cell>
          <cell r="AD485">
            <v>65.621092076252097</v>
          </cell>
          <cell r="AI485">
            <v>7.5818572923335061</v>
          </cell>
        </row>
        <row r="486">
          <cell r="Z486">
            <v>454</v>
          </cell>
          <cell r="AA486">
            <v>112.48542959417894</v>
          </cell>
          <cell r="AC486">
            <v>159.4456052862148</v>
          </cell>
          <cell r="AD486">
            <v>65.525253902143064</v>
          </cell>
          <cell r="AI486">
            <v>7.2588982977625411</v>
          </cell>
        </row>
        <row r="487">
          <cell r="Z487">
            <v>455</v>
          </cell>
          <cell r="AA487">
            <v>112.24093135510221</v>
          </cell>
          <cell r="AC487">
            <v>159.05247673874601</v>
          </cell>
          <cell r="AD487">
            <v>65.429385971458402</v>
          </cell>
          <cell r="AI487">
            <v>6.9359393031915761</v>
          </cell>
        </row>
        <row r="488">
          <cell r="Z488">
            <v>456</v>
          </cell>
          <cell r="AA488">
            <v>111.99643311602547</v>
          </cell>
          <cell r="AC488">
            <v>158.65937823219397</v>
          </cell>
          <cell r="AD488">
            <v>65.33348799985697</v>
          </cell>
          <cell r="AI488">
            <v>6.7681039698750061</v>
          </cell>
        </row>
        <row r="489">
          <cell r="Z489">
            <v>457</v>
          </cell>
          <cell r="AA489">
            <v>111.75193487694874</v>
          </cell>
          <cell r="AC489">
            <v>158.26631005447521</v>
          </cell>
          <cell r="AD489">
            <v>65.237559699422263</v>
          </cell>
          <cell r="AI489">
            <v>8.2899627318749065</v>
          </cell>
        </row>
        <row r="490">
          <cell r="Z490">
            <v>458</v>
          </cell>
          <cell r="AA490">
            <v>111.507436637872</v>
          </cell>
          <cell r="AC490">
            <v>157.87327249713763</v>
          </cell>
          <cell r="AD490">
            <v>65.141600778606374</v>
          </cell>
          <cell r="AI490">
            <v>10.274628450179241</v>
          </cell>
        </row>
        <row r="491">
          <cell r="Z491">
            <v>459</v>
          </cell>
          <cell r="AA491">
            <v>111.26293839879527</v>
          </cell>
          <cell r="AC491">
            <v>157.48026585541663</v>
          </cell>
          <cell r="AD491">
            <v>65.045610942173909</v>
          </cell>
          <cell r="AI491">
            <v>12.648692353108277</v>
          </cell>
        </row>
        <row r="492">
          <cell r="Z492">
            <v>460</v>
          </cell>
          <cell r="AA492">
            <v>111.01844015971854</v>
          </cell>
          <cell r="AC492">
            <v>157.0872904282927</v>
          </cell>
          <cell r="AD492">
            <v>64.94958989114437</v>
          </cell>
          <cell r="AI492">
            <v>14.730356680817572</v>
          </cell>
        </row>
        <row r="493">
          <cell r="Z493">
            <v>461</v>
          </cell>
          <cell r="AA493">
            <v>110.7739419206418</v>
          </cell>
          <cell r="AC493">
            <v>156.69434651854993</v>
          </cell>
          <cell r="AD493">
            <v>64.853537322733672</v>
          </cell>
          <cell r="AI493">
            <v>14.976897166325497</v>
          </cell>
        </row>
        <row r="494">
          <cell r="Z494">
            <v>462</v>
          </cell>
          <cell r="AA494">
            <v>110.5294436815651</v>
          </cell>
          <cell r="AC494">
            <v>156.30143443283544</v>
          </cell>
          <cell r="AD494">
            <v>64.757452930294761</v>
          </cell>
          <cell r="AI494">
            <v>15.292996557920405</v>
          </cell>
        </row>
        <row r="495">
          <cell r="Z495">
            <v>463</v>
          </cell>
          <cell r="AA495">
            <v>110.28494544248834</v>
          </cell>
          <cell r="AC495">
            <v>155.90855448172061</v>
          </cell>
          <cell r="AD495">
            <v>64.661336403256058</v>
          </cell>
          <cell r="AI495">
            <v>14.451597192764281</v>
          </cell>
        </row>
        <row r="496">
          <cell r="Z496">
            <v>464</v>
          </cell>
          <cell r="AA496">
            <v>110.0404472034116</v>
          </cell>
          <cell r="AC496">
            <v>155.51570697976237</v>
          </cell>
          <cell r="AD496">
            <v>64.565187427060835</v>
          </cell>
          <cell r="AI496">
            <v>18.490582367300988</v>
          </cell>
        </row>
        <row r="497">
          <cell r="Z497">
            <v>465</v>
          </cell>
          <cell r="AA497">
            <v>109.79594896433487</v>
          </cell>
          <cell r="AC497">
            <v>155.12289224556645</v>
          </cell>
          <cell r="AD497">
            <v>64.46900568310329</v>
          </cell>
          <cell r="AI497">
            <v>19.244009750500414</v>
          </cell>
        </row>
        <row r="498">
          <cell r="Z498">
            <v>466</v>
          </cell>
          <cell r="AA498">
            <v>109.55201667740954</v>
          </cell>
          <cell r="AC498">
            <v>154.72975839380067</v>
          </cell>
          <cell r="AD498">
            <v>64.374274961018415</v>
          </cell>
          <cell r="AI498">
            <v>19.537103365052424</v>
          </cell>
        </row>
        <row r="499">
          <cell r="Z499">
            <v>467</v>
          </cell>
          <cell r="AA499">
            <v>109.30485826768883</v>
          </cell>
          <cell r="AC499">
            <v>154.31105775020831</v>
          </cell>
          <cell r="AD499">
            <v>64.298658785169351</v>
          </cell>
          <cell r="AI499">
            <v>19.925220021661723</v>
          </cell>
        </row>
        <row r="500">
          <cell r="Z500">
            <v>468</v>
          </cell>
          <cell r="AA500">
            <v>109.02020554093561</v>
          </cell>
          <cell r="AC500">
            <v>153.80949941507768</v>
          </cell>
          <cell r="AD500">
            <v>64.230911666793531</v>
          </cell>
          <cell r="AI500">
            <v>20.237809903959057</v>
          </cell>
        </row>
        <row r="501">
          <cell r="Z501">
            <v>469</v>
          </cell>
          <cell r="AA501">
            <v>108.72795066381057</v>
          </cell>
          <cell r="AC501">
            <v>153.29580340006632</v>
          </cell>
          <cell r="AD501">
            <v>64.16009792755483</v>
          </cell>
          <cell r="AI501">
            <v>20.199683761596681</v>
          </cell>
        </row>
        <row r="502">
          <cell r="Z502">
            <v>470</v>
          </cell>
          <cell r="AA502">
            <v>108.43569578668551</v>
          </cell>
          <cell r="AC502">
            <v>152.78217584246039</v>
          </cell>
          <cell r="AD502">
            <v>64.089215730910638</v>
          </cell>
          <cell r="AI502">
            <v>20.117391443252565</v>
          </cell>
        </row>
        <row r="503">
          <cell r="Z503">
            <v>471</v>
          </cell>
          <cell r="AA503">
            <v>108.14344090956048</v>
          </cell>
          <cell r="AC503">
            <v>152.2686177725966</v>
          </cell>
          <cell r="AD503">
            <v>64.018264046524365</v>
          </cell>
          <cell r="AI503">
            <v>19.011487909005236</v>
          </cell>
        </row>
        <row r="504">
          <cell r="Z504">
            <v>472</v>
          </cell>
          <cell r="AA504">
            <v>107.85118603243542</v>
          </cell>
          <cell r="AC504">
            <v>151.75513024125945</v>
          </cell>
          <cell r="AD504">
            <v>63.947241823611385</v>
          </cell>
          <cell r="AI504">
            <v>16.414397665170522</v>
          </cell>
        </row>
        <row r="505">
          <cell r="Z505">
            <v>473</v>
          </cell>
          <cell r="AA505">
            <v>107.55893115531039</v>
          </cell>
          <cell r="AC505">
            <v>151.24171432018187</v>
          </cell>
          <cell r="AD505">
            <v>63.876147990438895</v>
          </cell>
          <cell r="AI505">
            <v>13.303078991180813</v>
          </cell>
        </row>
        <row r="506">
          <cell r="Z506">
            <v>474</v>
          </cell>
          <cell r="AA506">
            <v>107.26667627818534</v>
          </cell>
          <cell r="AC506">
            <v>150.72837110256091</v>
          </cell>
          <cell r="AD506">
            <v>63.804981453809766</v>
          </cell>
          <cell r="AI506">
            <v>8.9021796048482251</v>
          </cell>
        </row>
        <row r="507">
          <cell r="Z507">
            <v>475</v>
          </cell>
          <cell r="AA507">
            <v>106.9744214010603</v>
          </cell>
          <cell r="AC507">
            <v>150.21510170358857</v>
          </cell>
          <cell r="AD507">
            <v>63.733741098532015</v>
          </cell>
          <cell r="AI507">
            <v>6.0450198930104584</v>
          </cell>
        </row>
        <row r="508">
          <cell r="Z508">
            <v>476</v>
          </cell>
          <cell r="AA508">
            <v>106.68216652393524</v>
          </cell>
          <cell r="AC508">
            <v>149.70190726099798</v>
          </cell>
          <cell r="AD508">
            <v>63.662425786872504</v>
          </cell>
          <cell r="AI508">
            <v>5.7107395392704783</v>
          </cell>
        </row>
        <row r="509">
          <cell r="Z509">
            <v>477</v>
          </cell>
          <cell r="AA509">
            <v>106.38991164681022</v>
          </cell>
          <cell r="AC509">
            <v>149.18878893562535</v>
          </cell>
          <cell r="AD509">
            <v>63.591034357995085</v>
          </cell>
          <cell r="AI509">
            <v>8.1829393932694341</v>
          </cell>
        </row>
        <row r="510">
          <cell r="Z510">
            <v>478</v>
          </cell>
          <cell r="AA510">
            <v>106.09765676968516</v>
          </cell>
          <cell r="AC510">
            <v>148.67574791198928</v>
          </cell>
          <cell r="AD510">
            <v>63.519565627381041</v>
          </cell>
          <cell r="AI510">
            <v>9.1139672705011616</v>
          </cell>
        </row>
        <row r="511">
          <cell r="Z511">
            <v>479</v>
          </cell>
          <cell r="AA511">
            <v>105.80540189256011</v>
          </cell>
          <cell r="AC511">
            <v>148.16278539888623</v>
          </cell>
          <cell r="AD511">
            <v>63.44801838623399</v>
          </cell>
          <cell r="AI511">
            <v>8.2389957189559944</v>
          </cell>
        </row>
        <row r="512">
          <cell r="Z512">
            <v>480</v>
          </cell>
          <cell r="AA512">
            <v>105.51314701543508</v>
          </cell>
          <cell r="AC512">
            <v>147.64990263000445</v>
          </cell>
          <cell r="AD512">
            <v>63.376391400865707</v>
          </cell>
          <cell r="AI512">
            <v>5.9855518065558551</v>
          </cell>
        </row>
        <row r="513">
          <cell r="Z513">
            <v>481</v>
          </cell>
          <cell r="AA513">
            <v>105.22089213831003</v>
          </cell>
          <cell r="AC513">
            <v>147.13710086455612</v>
          </cell>
          <cell r="AD513">
            <v>63.304683412063959</v>
          </cell>
          <cell r="AI513">
            <v>3.556497882621156</v>
          </cell>
        </row>
        <row r="514">
          <cell r="Z514">
            <v>482</v>
          </cell>
          <cell r="AA514">
            <v>104.92863726118497</v>
          </cell>
          <cell r="AC514">
            <v>146.62438138792828</v>
          </cell>
          <cell r="AD514">
            <v>63.232893134441653</v>
          </cell>
          <cell r="AI514">
            <v>0.89946325915124692</v>
          </cell>
        </row>
        <row r="515">
          <cell r="Z515">
            <v>483</v>
          </cell>
          <cell r="AA515">
            <v>104.63638238405996</v>
          </cell>
          <cell r="AC515">
            <v>146.11174551235331</v>
          </cell>
          <cell r="AD515">
            <v>63.161019255766597</v>
          </cell>
          <cell r="AI515">
            <v>-6.0415977716445919E-2</v>
          </cell>
        </row>
        <row r="516">
          <cell r="Z516">
            <v>484</v>
          </cell>
          <cell r="AA516">
            <v>104.3441275069349</v>
          </cell>
          <cell r="AC516">
            <v>145.5991945776</v>
          </cell>
          <cell r="AD516">
            <v>63.08906043626979</v>
          </cell>
          <cell r="AI516">
            <v>-4.5144640088081361E-2</v>
          </cell>
        </row>
        <row r="517">
          <cell r="Z517">
            <v>485</v>
          </cell>
          <cell r="AA517">
            <v>104.05187262980986</v>
          </cell>
          <cell r="AC517">
            <v>145.08672995168544</v>
          </cell>
          <cell r="AD517">
            <v>63.017015307934287</v>
          </cell>
          <cell r="AI517">
            <v>-2.98733024597168E-2</v>
          </cell>
        </row>
        <row r="518">
          <cell r="Z518">
            <v>486</v>
          </cell>
          <cell r="AA518">
            <v>103.75872369795889</v>
          </cell>
          <cell r="AC518">
            <v>144.57316298558658</v>
          </cell>
          <cell r="AD518">
            <v>62.944284410331193</v>
          </cell>
          <cell r="AI518">
            <v>-1.4601964831352239E-2</v>
          </cell>
        </row>
        <row r="519">
          <cell r="Z519">
            <v>487</v>
          </cell>
          <cell r="AA519">
            <v>103.47098278312357</v>
          </cell>
          <cell r="AC519">
            <v>144.07772943862525</v>
          </cell>
          <cell r="AD519">
            <v>62.864236127621886</v>
          </cell>
          <cell r="AI519">
            <v>6.693727970123256E-4</v>
          </cell>
        </row>
        <row r="520">
          <cell r="Z520">
            <v>488</v>
          </cell>
          <cell r="AA520">
            <v>103.24483115322748</v>
          </cell>
          <cell r="AC520">
            <v>143.72533636298652</v>
          </cell>
          <cell r="AD520">
            <v>62.764325943468428</v>
          </cell>
          <cell r="AI520">
            <v>1.594071042537689E-2</v>
          </cell>
        </row>
        <row r="521">
          <cell r="Z521">
            <v>489</v>
          </cell>
          <cell r="AA521">
            <v>103.02843420566292</v>
          </cell>
          <cell r="AC521">
            <v>143.39549031354841</v>
          </cell>
          <cell r="AD521">
            <v>62.661378097777437</v>
          </cell>
          <cell r="AI521">
            <v>3.1212048053741455E-2</v>
          </cell>
        </row>
        <row r="522">
          <cell r="Z522">
            <v>490</v>
          </cell>
          <cell r="AA522">
            <v>102.81203725809833</v>
          </cell>
          <cell r="AC522">
            <v>143.06570080326225</v>
          </cell>
          <cell r="AD522">
            <v>62.558373712934419</v>
          </cell>
          <cell r="AI522">
            <v>4.648338568210602E-2</v>
          </cell>
        </row>
        <row r="523">
          <cell r="Z523">
            <v>491</v>
          </cell>
          <cell r="AA523">
            <v>102.59564031053378</v>
          </cell>
          <cell r="AC523">
            <v>142.73596831128091</v>
          </cell>
          <cell r="AD523">
            <v>62.455312309786642</v>
          </cell>
          <cell r="AI523">
            <v>6.1754723310470584E-2</v>
          </cell>
        </row>
        <row r="524">
          <cell r="Z524">
            <v>492</v>
          </cell>
          <cell r="AA524">
            <v>102.37924336296919</v>
          </cell>
          <cell r="AC524">
            <v>142.40629332194223</v>
          </cell>
          <cell r="AD524">
            <v>62.352193403996154</v>
          </cell>
          <cell r="AI524">
            <v>7.7026060938835142E-2</v>
          </cell>
        </row>
        <row r="525">
          <cell r="Z525">
            <v>493</v>
          </cell>
          <cell r="AA525">
            <v>102.16284641540464</v>
          </cell>
          <cell r="AC525">
            <v>142.07667632483452</v>
          </cell>
          <cell r="AD525">
            <v>62.249016505974765</v>
          </cell>
          <cell r="AI525">
            <v>9.2297398567199707E-2</v>
          </cell>
        </row>
        <row r="526">
          <cell r="Z526">
            <v>494</v>
          </cell>
          <cell r="AA526">
            <v>101.94644946784008</v>
          </cell>
          <cell r="AC526">
            <v>141.74711781486562</v>
          </cell>
          <cell r="AD526">
            <v>62.145781120814547</v>
          </cell>
          <cell r="AI526">
            <v>0.10756873619556427</v>
          </cell>
        </row>
        <row r="527">
          <cell r="Z527">
            <v>495</v>
          </cell>
          <cell r="AA527">
            <v>101.73005252027549</v>
          </cell>
          <cell r="AC527">
            <v>141.41761829233025</v>
          </cell>
          <cell r="AD527">
            <v>62.042486748220732</v>
          </cell>
          <cell r="AI527">
            <v>0.99251376870373886</v>
          </cell>
        </row>
        <row r="528">
          <cell r="Z528">
            <v>496</v>
          </cell>
          <cell r="AA528">
            <v>101.51365557271093</v>
          </cell>
          <cell r="AC528">
            <v>141.08817826298042</v>
          </cell>
          <cell r="AD528">
            <v>61.939132882441442</v>
          </cell>
          <cell r="AI528">
            <v>0.65516995912470388</v>
          </cell>
        </row>
        <row r="529">
          <cell r="Z529">
            <v>497</v>
          </cell>
          <cell r="AA529">
            <v>101.29725862514637</v>
          </cell>
          <cell r="AC529">
            <v>140.75879823809575</v>
          </cell>
          <cell r="AD529">
            <v>61.835719012196982</v>
          </cell>
          <cell r="AI529">
            <v>0.16090418878248183</v>
          </cell>
        </row>
        <row r="530">
          <cell r="Z530">
            <v>498</v>
          </cell>
          <cell r="AA530">
            <v>101.08086167758181</v>
          </cell>
          <cell r="AC530">
            <v>140.42947873455506</v>
          </cell>
          <cell r="AD530">
            <v>61.732244620608547</v>
          </cell>
          <cell r="AI530">
            <v>0.19334940890134389</v>
          </cell>
        </row>
        <row r="531">
          <cell r="Z531">
            <v>499</v>
          </cell>
          <cell r="AA531">
            <v>100.86446473001723</v>
          </cell>
          <cell r="AC531">
            <v>140.10022027490911</v>
          </cell>
          <cell r="AD531">
            <v>61.628709185125352</v>
          </cell>
          <cell r="AI531">
            <v>0.225794629020206</v>
          </cell>
        </row>
        <row r="532">
          <cell r="Z532">
            <v>500</v>
          </cell>
          <cell r="AA532">
            <v>100.64806778245266</v>
          </cell>
          <cell r="AC532">
            <v>139.77102338745436</v>
          </cell>
          <cell r="AD532">
            <v>61.52511217745095</v>
          </cell>
          <cell r="AI532">
            <v>0.25823984913906806</v>
          </cell>
        </row>
        <row r="533">
          <cell r="Z533">
            <v>501</v>
          </cell>
          <cell r="AA533">
            <v>100.4316708348881</v>
          </cell>
          <cell r="AC533">
            <v>139.44188860630777</v>
          </cell>
          <cell r="AD533">
            <v>61.421453063468419</v>
          </cell>
          <cell r="AI533">
            <v>0.29068506925793014</v>
          </cell>
        </row>
        <row r="534">
          <cell r="Z534">
            <v>502</v>
          </cell>
          <cell r="AA534">
            <v>100.21527388732352</v>
          </cell>
          <cell r="AC534">
            <v>139.11281647148277</v>
          </cell>
          <cell r="AD534">
            <v>61.317731303164265</v>
          </cell>
          <cell r="AI534">
            <v>0.32313028937679228</v>
          </cell>
        </row>
        <row r="535">
          <cell r="Z535">
            <v>503</v>
          </cell>
          <cell r="AA535">
            <v>99.998876939758972</v>
          </cell>
          <cell r="AC535">
            <v>138.78380752896595</v>
          </cell>
          <cell r="AD535">
            <v>61.213946350552007</v>
          </cell>
          <cell r="AI535">
            <v>0.35557550949565431</v>
          </cell>
        </row>
        <row r="536">
          <cell r="Z536">
            <v>504</v>
          </cell>
          <cell r="AA536">
            <v>99.782479992194396</v>
          </cell>
          <cell r="AC536">
            <v>138.45486233079563</v>
          </cell>
          <cell r="AD536">
            <v>61.110097653593158</v>
          </cell>
          <cell r="AI536">
            <v>0.38802072961451639</v>
          </cell>
        </row>
        <row r="537">
          <cell r="Z537">
            <v>505</v>
          </cell>
          <cell r="AA537">
            <v>99.566083044629821</v>
          </cell>
          <cell r="AC537">
            <v>138.12598143514106</v>
          </cell>
          <cell r="AD537">
            <v>61.006184654118599</v>
          </cell>
          <cell r="AI537">
            <v>0.42046594973337853</v>
          </cell>
        </row>
        <row r="538">
          <cell r="Z538">
            <v>506</v>
          </cell>
          <cell r="AA538">
            <v>99.349686097065259</v>
          </cell>
          <cell r="AC538">
            <v>137.79716540638248</v>
          </cell>
          <cell r="AD538">
            <v>60.902206787748035</v>
          </cell>
          <cell r="AI538">
            <v>0.45291116985224061</v>
          </cell>
        </row>
        <row r="539">
          <cell r="Z539">
            <v>507</v>
          </cell>
          <cell r="AA539">
            <v>99.133289149500683</v>
          </cell>
          <cell r="AC539">
            <v>137.46841481519326</v>
          </cell>
          <cell r="AD539">
            <v>60.798163483808118</v>
          </cell>
          <cell r="AI539">
            <v>0.48535638997110275</v>
          </cell>
        </row>
        <row r="540">
          <cell r="Z540">
            <v>508</v>
          </cell>
          <cell r="AA540">
            <v>98.916892201936108</v>
          </cell>
          <cell r="AC540">
            <v>137.13973023862209</v>
          </cell>
          <cell r="AD540">
            <v>60.694054165250115</v>
          </cell>
          <cell r="AI540">
            <v>0.51780161008996484</v>
          </cell>
        </row>
        <row r="541">
          <cell r="Z541">
            <v>509</v>
          </cell>
          <cell r="AA541">
            <v>98.700495254371546</v>
          </cell>
          <cell r="AC541">
            <v>136.81111226017788</v>
          </cell>
          <cell r="AD541">
            <v>60.589878248565213</v>
          </cell>
          <cell r="AI541">
            <v>0.55024683020882692</v>
          </cell>
        </row>
        <row r="542">
          <cell r="Z542">
            <v>510</v>
          </cell>
          <cell r="AA542">
            <v>98.484098306806985</v>
          </cell>
          <cell r="AC542">
            <v>136.48256146991417</v>
          </cell>
          <cell r="AD542">
            <v>60.485635143699795</v>
          </cell>
          <cell r="AI542">
            <v>0.582692050327689</v>
          </cell>
        </row>
        <row r="543">
          <cell r="Z543">
            <v>511</v>
          </cell>
          <cell r="AA543">
            <v>98.267701359242395</v>
          </cell>
          <cell r="AC543">
            <v>136.15407846451626</v>
          </cell>
          <cell r="AD543">
            <v>60.381324253968543</v>
          </cell>
          <cell r="AI543">
            <v>0.61513727044655098</v>
          </cell>
        </row>
        <row r="544">
          <cell r="Z544">
            <v>512</v>
          </cell>
          <cell r="AA544">
            <v>98.051304411677847</v>
          </cell>
          <cell r="AC544">
            <v>135.82566384738828</v>
          </cell>
          <cell r="AD544">
            <v>60.276944975967396</v>
          </cell>
          <cell r="AI544">
            <v>0.64758249056541317</v>
          </cell>
        </row>
        <row r="545">
          <cell r="Z545">
            <v>513</v>
          </cell>
          <cell r="AA545">
            <v>97.834907464113272</v>
          </cell>
          <cell r="AC545">
            <v>135.49731822874318</v>
          </cell>
          <cell r="AD545">
            <v>60.172496699483368</v>
          </cell>
          <cell r="AI545">
            <v>0.68002771068427526</v>
          </cell>
        </row>
        <row r="546">
          <cell r="Z546">
            <v>514</v>
          </cell>
          <cell r="AA546">
            <v>97.624159978869443</v>
          </cell>
          <cell r="AC546">
            <v>135.17624521484933</v>
          </cell>
          <cell r="AD546">
            <v>60.072074742889548</v>
          </cell>
          <cell r="AI546">
            <v>0.71247293080313734</v>
          </cell>
        </row>
        <row r="547">
          <cell r="Z547">
            <v>515</v>
          </cell>
          <cell r="AA547">
            <v>97.431773246168063</v>
          </cell>
          <cell r="AC547">
            <v>134.87861041163112</v>
          </cell>
          <cell r="AD547">
            <v>59.984936080705005</v>
          </cell>
          <cell r="AI547">
            <v>0.74491815092199942</v>
          </cell>
        </row>
        <row r="548">
          <cell r="Z548">
            <v>516</v>
          </cell>
          <cell r="AA548">
            <v>97.240798879046835</v>
          </cell>
          <cell r="AC548">
            <v>134.58277824816355</v>
          </cell>
          <cell r="AD548">
            <v>59.898819509930107</v>
          </cell>
          <cell r="AI548">
            <v>2.9001065859018849</v>
          </cell>
        </row>
        <row r="549">
          <cell r="Z549">
            <v>517</v>
          </cell>
          <cell r="AA549">
            <v>97.049824511925635</v>
          </cell>
          <cell r="AC549">
            <v>134.28694775815762</v>
          </cell>
          <cell r="AD549">
            <v>59.81270126569364</v>
          </cell>
          <cell r="AI549">
            <v>4.7481719801657176</v>
          </cell>
        </row>
        <row r="550">
          <cell r="Z550">
            <v>518</v>
          </cell>
          <cell r="AA550">
            <v>96.858850144804407</v>
          </cell>
          <cell r="AC550">
            <v>133.99111895579034</v>
          </cell>
          <cell r="AD550">
            <v>59.726581333818466</v>
          </cell>
          <cell r="AI550">
            <v>4.9828552817022516</v>
          </cell>
        </row>
        <row r="551">
          <cell r="Z551">
            <v>519</v>
          </cell>
          <cell r="AA551">
            <v>96.667875777683193</v>
          </cell>
          <cell r="AC551">
            <v>133.69529185539881</v>
          </cell>
          <cell r="AD551">
            <v>59.640459699967565</v>
          </cell>
          <cell r="AI551">
            <v>5.2175385832387864</v>
          </cell>
        </row>
        <row r="552">
          <cell r="Z552">
            <v>520</v>
          </cell>
          <cell r="AA552">
            <v>96.476901410561979</v>
          </cell>
          <cell r="AC552">
            <v>133.3994664714829</v>
          </cell>
          <cell r="AD552">
            <v>59.554336349641055</v>
          </cell>
          <cell r="AI552">
            <v>5.4522218847753212</v>
          </cell>
        </row>
        <row r="553">
          <cell r="Z553">
            <v>521</v>
          </cell>
          <cell r="AA553">
            <v>96.285927043440765</v>
          </cell>
          <cell r="AC553">
            <v>133.10364281870727</v>
          </cell>
          <cell r="AD553">
            <v>59.468211268174251</v>
          </cell>
          <cell r="AI553">
            <v>5.6763344716074799</v>
          </cell>
        </row>
        <row r="554">
          <cell r="Z554">
            <v>522</v>
          </cell>
          <cell r="AA554">
            <v>96.094952676319551</v>
          </cell>
          <cell r="AC554">
            <v>132.80782091190409</v>
          </cell>
          <cell r="AD554">
            <v>59.382084440735007</v>
          </cell>
          <cell r="AI554">
            <v>5.6368263774447964</v>
          </cell>
        </row>
        <row r="555">
          <cell r="Z555">
            <v>523</v>
          </cell>
          <cell r="AA555">
            <v>95.903978309198337</v>
          </cell>
          <cell r="AC555">
            <v>132.51200076607489</v>
          </cell>
          <cell r="AD555">
            <v>59.295955852321796</v>
          </cell>
          <cell r="AI555">
            <v>5.0213144002137371</v>
          </cell>
        </row>
        <row r="556">
          <cell r="Z556">
            <v>524</v>
          </cell>
          <cell r="AA556">
            <v>95.713003942077123</v>
          </cell>
          <cell r="AC556">
            <v>132.21618239639361</v>
          </cell>
          <cell r="AD556">
            <v>59.209825487760639</v>
          </cell>
          <cell r="AI556">
            <v>3.0987973522643251</v>
          </cell>
        </row>
        <row r="557">
          <cell r="Z557">
            <v>525</v>
          </cell>
          <cell r="AA557">
            <v>95.522029574955923</v>
          </cell>
          <cell r="AC557">
            <v>131.92036581820855</v>
          </cell>
          <cell r="AD557">
            <v>59.123693331703279</v>
          </cell>
          <cell r="AI557">
            <v>2.5676424929665194</v>
          </cell>
        </row>
        <row r="558">
          <cell r="Z558">
            <v>526</v>
          </cell>
          <cell r="AA558">
            <v>95.331055207834694</v>
          </cell>
          <cell r="AC558">
            <v>131.62455104704526</v>
          </cell>
          <cell r="AD558">
            <v>59.03755936862413</v>
          </cell>
          <cell r="AI558">
            <v>2.7291038650363117</v>
          </cell>
        </row>
        <row r="559">
          <cell r="Z559">
            <v>527</v>
          </cell>
          <cell r="AA559">
            <v>95.140080840713495</v>
          </cell>
          <cell r="AC559">
            <v>131.32873809860871</v>
          </cell>
          <cell r="AD559">
            <v>58.951423582818272</v>
          </cell>
          <cell r="AI559">
            <v>2.2306593905134897</v>
          </cell>
        </row>
        <row r="560">
          <cell r="Z560">
            <v>528</v>
          </cell>
          <cell r="AA560">
            <v>95.013108868749327</v>
          </cell>
          <cell r="AC560">
            <v>130.99348388346183</v>
          </cell>
          <cell r="AD560">
            <v>59.032733854036827</v>
          </cell>
          <cell r="AI560">
            <v>1.464944848927056</v>
          </cell>
        </row>
        <row r="561">
          <cell r="Z561">
            <v>529</v>
          </cell>
          <cell r="AA561">
            <v>95.172171910173702</v>
          </cell>
          <cell r="AC561">
            <v>130.44968271508773</v>
          </cell>
          <cell r="AD561">
            <v>59.894661105259672</v>
          </cell>
          <cell r="AI561">
            <v>1.3382280117400536</v>
          </cell>
        </row>
        <row r="562">
          <cell r="Z562">
            <v>530</v>
          </cell>
          <cell r="AA562">
            <v>95.223498495446577</v>
          </cell>
          <cell r="AC562">
            <v>129.54198819338183</v>
          </cell>
          <cell r="AD562">
            <v>60.905008797511321</v>
          </cell>
          <cell r="AI562">
            <v>2.422149020277204</v>
          </cell>
        </row>
        <row r="563">
          <cell r="Z563">
            <v>531</v>
          </cell>
          <cell r="AA563">
            <v>95.230159400006855</v>
          </cell>
          <cell r="AC563">
            <v>128.52915013756174</v>
          </cell>
          <cell r="AD563">
            <v>61.931168662451974</v>
          </cell>
          <cell r="AI563">
            <v>1.8911560910721825</v>
          </cell>
        </row>
        <row r="564">
          <cell r="Z564">
            <v>532</v>
          </cell>
          <cell r="AA564">
            <v>95.236820304567118</v>
          </cell>
          <cell r="AC564">
            <v>127.51638377439541</v>
          </cell>
          <cell r="AD564">
            <v>62.957256834738828</v>
          </cell>
          <cell r="AI564">
            <v>3.6588502279057025</v>
          </cell>
        </row>
        <row r="565">
          <cell r="Z565">
            <v>533</v>
          </cell>
          <cell r="AA565">
            <v>95.243481209127367</v>
          </cell>
          <cell r="AC565">
            <v>126.50369611779398</v>
          </cell>
          <cell r="AD565">
            <v>63.983266300460755</v>
          </cell>
          <cell r="AI565">
            <v>2.7083242843291946</v>
          </cell>
        </row>
        <row r="566">
          <cell r="Z566">
            <v>534</v>
          </cell>
          <cell r="AA566">
            <v>95.25014211368763</v>
          </cell>
          <cell r="AC566">
            <v>125.4910951267757</v>
          </cell>
          <cell r="AD566">
            <v>65.009189100599556</v>
          </cell>
          <cell r="AI566">
            <v>2.2178755990333032</v>
          </cell>
        </row>
        <row r="567">
          <cell r="Z567">
            <v>535</v>
          </cell>
          <cell r="AA567">
            <v>95.256803018247908</v>
          </cell>
          <cell r="AC567">
            <v>124.47858987008181</v>
          </cell>
          <cell r="AD567">
            <v>66.03501616641401</v>
          </cell>
          <cell r="AI567">
            <v>1.8425083210484847</v>
          </cell>
        </row>
        <row r="568">
          <cell r="Z568">
            <v>536</v>
          </cell>
          <cell r="AA568">
            <v>95.263463922808171</v>
          </cell>
          <cell r="AC568">
            <v>123.46619072641106</v>
          </cell>
          <cell r="AD568">
            <v>67.060737119205285</v>
          </cell>
          <cell r="AI568">
            <v>1.1126744610272228</v>
          </cell>
        </row>
        <row r="569">
          <cell r="Z569">
            <v>537</v>
          </cell>
          <cell r="AA569">
            <v>95.270124827368434</v>
          </cell>
          <cell r="AC569">
            <v>122.45390962959459</v>
          </cell>
          <cell r="AD569">
            <v>68.086340025142277</v>
          </cell>
          <cell r="AI569">
            <v>1.1274317720780536</v>
          </cell>
        </row>
        <row r="570">
          <cell r="Z570">
            <v>538</v>
          </cell>
          <cell r="AA570">
            <v>95.281121495049376</v>
          </cell>
          <cell r="AC570">
            <v>121.44708469529199</v>
          </cell>
          <cell r="AD570">
            <v>69.115158294806761</v>
          </cell>
          <cell r="AI570">
            <v>0.81849201731752652</v>
          </cell>
        </row>
        <row r="571">
          <cell r="Z571">
            <v>539</v>
          </cell>
          <cell r="AA571">
            <v>95.354067930532082</v>
          </cell>
          <cell r="AC571">
            <v>120.51645739939107</v>
          </cell>
          <cell r="AD571">
            <v>70.191678461673092</v>
          </cell>
          <cell r="AI571">
            <v>0.24371166009554229</v>
          </cell>
        </row>
        <row r="572">
          <cell r="Z572">
            <v>540</v>
          </cell>
          <cell r="AA572">
            <v>95.447203889022703</v>
          </cell>
          <cell r="AC572">
            <v>119.61091781116247</v>
          </cell>
          <cell r="AD572">
            <v>71.283489966882939</v>
          </cell>
          <cell r="AI572">
            <v>0.23799089933059131</v>
          </cell>
        </row>
        <row r="573">
          <cell r="Z573">
            <v>541</v>
          </cell>
          <cell r="AA573">
            <v>95.53453029756264</v>
          </cell>
          <cell r="AC573">
            <v>118.70926063559658</v>
          </cell>
          <cell r="AD573">
            <v>72.359799959528701</v>
          </cell>
          <cell r="AI573">
            <v>0.23709267751866603</v>
          </cell>
        </row>
        <row r="574">
          <cell r="Z574">
            <v>542</v>
          </cell>
          <cell r="AA574">
            <v>95.563629420963863</v>
          </cell>
          <cell r="AC574">
            <v>117.84361002868229</v>
          </cell>
          <cell r="AD574">
            <v>73.283648813245435</v>
          </cell>
          <cell r="AI574">
            <v>0.23619445570674075</v>
          </cell>
        </row>
        <row r="575">
          <cell r="Z575">
            <v>543</v>
          </cell>
          <cell r="AA575">
            <v>95.577694000163845</v>
          </cell>
          <cell r="AC575">
            <v>116.98814110345765</v>
          </cell>
          <cell r="AD575">
            <v>74.16724689687004</v>
          </cell>
          <cell r="AI575">
            <v>0.23529623389481547</v>
          </cell>
        </row>
        <row r="576">
          <cell r="Z576">
            <v>544</v>
          </cell>
          <cell r="AA576">
            <v>95.591758579363841</v>
          </cell>
          <cell r="AC576">
            <v>116.13385588060596</v>
          </cell>
          <cell r="AD576">
            <v>75.049661278121718</v>
          </cell>
          <cell r="AI576">
            <v>0.23439801208289021</v>
          </cell>
        </row>
        <row r="577">
          <cell r="Z577">
            <v>545</v>
          </cell>
          <cell r="AA577">
            <v>95.605823158563837</v>
          </cell>
          <cell r="AC577">
            <v>115.28091108702289</v>
          </cell>
          <cell r="AD577">
            <v>75.930735230104787</v>
          </cell>
          <cell r="AI577">
            <v>0.23349979027096493</v>
          </cell>
        </row>
        <row r="578">
          <cell r="Z578">
            <v>546</v>
          </cell>
          <cell r="AA578">
            <v>95.619887737763818</v>
          </cell>
          <cell r="AC578">
            <v>114.4294920807483</v>
          </cell>
          <cell r="AD578">
            <v>76.810283394779333</v>
          </cell>
          <cell r="AI578">
            <v>0.23260156845903968</v>
          </cell>
        </row>
        <row r="579">
          <cell r="Z579">
            <v>547</v>
          </cell>
          <cell r="AA579">
            <v>95.6339523169638</v>
          </cell>
          <cell r="AC579">
            <v>113.57981961767629</v>
          </cell>
          <cell r="AD579">
            <v>77.688085016251307</v>
          </cell>
          <cell r="AI579">
            <v>0.23170334664711439</v>
          </cell>
        </row>
        <row r="580">
          <cell r="Z580">
            <v>548</v>
          </cell>
          <cell r="AA580">
            <v>95.64801689616381</v>
          </cell>
          <cell r="AC580">
            <v>112.73215860413585</v>
          </cell>
          <cell r="AD580">
            <v>78.563875188191773</v>
          </cell>
          <cell r="AI580">
            <v>0.23080512483518911</v>
          </cell>
        </row>
        <row r="581">
          <cell r="Z581">
            <v>549</v>
          </cell>
          <cell r="AA581">
            <v>95.662081475363777</v>
          </cell>
          <cell r="AC581">
            <v>111.88682953841536</v>
          </cell>
          <cell r="AD581">
            <v>79.437333412312199</v>
          </cell>
          <cell r="AI581">
            <v>0.22990690302326383</v>
          </cell>
        </row>
        <row r="582">
          <cell r="Z582">
            <v>550</v>
          </cell>
          <cell r="AA582">
            <v>95.676146054563773</v>
          </cell>
          <cell r="AC582">
            <v>111.04422363795241</v>
          </cell>
          <cell r="AD582">
            <v>80.308068471175133</v>
          </cell>
          <cell r="AI582">
            <v>0.22900868121133858</v>
          </cell>
        </row>
        <row r="583">
          <cell r="Z583">
            <v>551</v>
          </cell>
          <cell r="AA583">
            <v>95.702866773062524</v>
          </cell>
          <cell r="AC583">
            <v>110.23327404489424</v>
          </cell>
          <cell r="AD583">
            <v>81.172459501230804</v>
          </cell>
          <cell r="AI583">
            <v>0.2281104593994133</v>
          </cell>
        </row>
        <row r="584">
          <cell r="Z584">
            <v>552</v>
          </cell>
          <cell r="AA584">
            <v>95.879911431803649</v>
          </cell>
          <cell r="AC584">
            <v>109.76195307489515</v>
          </cell>
          <cell r="AD584">
            <v>81.997869788712151</v>
          </cell>
          <cell r="AI584">
            <v>0.22721223758748804</v>
          </cell>
        </row>
        <row r="585">
          <cell r="Z585">
            <v>553</v>
          </cell>
          <cell r="AA585">
            <v>96.100606856697652</v>
          </cell>
          <cell r="AC585">
            <v>109.38870304441127</v>
          </cell>
          <cell r="AD585">
            <v>82.812510668984032</v>
          </cell>
          <cell r="AI585">
            <v>0.22631401577556279</v>
          </cell>
        </row>
        <row r="586">
          <cell r="Z586">
            <v>554</v>
          </cell>
          <cell r="AA586">
            <v>96.321302281591656</v>
          </cell>
          <cell r="AC586">
            <v>109.01546620447156</v>
          </cell>
          <cell r="AD586">
            <v>83.627138358711747</v>
          </cell>
          <cell r="AI586">
            <v>0.22541579396363748</v>
          </cell>
        </row>
        <row r="587">
          <cell r="Z587">
            <v>555</v>
          </cell>
          <cell r="AA587">
            <v>96.528645838525165</v>
          </cell>
          <cell r="AC587">
            <v>108.65110771852635</v>
          </cell>
          <cell r="AD587">
            <v>84.406183958523982</v>
          </cell>
          <cell r="AI587">
            <v>0.2245175721517122</v>
          </cell>
        </row>
        <row r="588">
          <cell r="Z588">
            <v>556</v>
          </cell>
          <cell r="AA588">
            <v>96.602167837941792</v>
          </cell>
          <cell r="AC588">
            <v>108.37573786620113</v>
          </cell>
          <cell r="AD588">
            <v>84.828597809682449</v>
          </cell>
          <cell r="AI588">
            <v>0.22361935033978694</v>
          </cell>
        </row>
        <row r="589">
          <cell r="Z589">
            <v>557</v>
          </cell>
          <cell r="AA589">
            <v>96.641136515547643</v>
          </cell>
          <cell r="AC589">
            <v>108.12377091895273</v>
          </cell>
          <cell r="AD589">
            <v>85.158502112142557</v>
          </cell>
          <cell r="AI589">
            <v>0.22272112852786166</v>
          </cell>
        </row>
        <row r="590">
          <cell r="Z590">
            <v>558</v>
          </cell>
          <cell r="AA590">
            <v>96.680105193153508</v>
          </cell>
          <cell r="AC590">
            <v>107.87231363660247</v>
          </cell>
          <cell r="AD590">
            <v>85.487896749704547</v>
          </cell>
          <cell r="AI590">
            <v>0.22182290671593641</v>
          </cell>
        </row>
        <row r="591">
          <cell r="Z591">
            <v>559</v>
          </cell>
          <cell r="AA591">
            <v>96.719073870759345</v>
          </cell>
          <cell r="AC591">
            <v>107.62140674993574</v>
          </cell>
          <cell r="AD591">
            <v>85.816740991582947</v>
          </cell>
          <cell r="AI591">
            <v>0.22092468490401113</v>
          </cell>
        </row>
        <row r="592">
          <cell r="Z592">
            <v>560</v>
          </cell>
          <cell r="AA592">
            <v>96.758042548365211</v>
          </cell>
          <cell r="AC592">
            <v>107.37109535811526</v>
          </cell>
          <cell r="AD592">
            <v>86.144989738615166</v>
          </cell>
          <cell r="AI592">
            <v>0.22002646309208584</v>
          </cell>
        </row>
        <row r="593">
          <cell r="Z593">
            <v>561</v>
          </cell>
          <cell r="AA593">
            <v>96.797011225971048</v>
          </cell>
          <cell r="AC593">
            <v>107.12142951680606</v>
          </cell>
          <cell r="AD593">
            <v>86.472592935136035</v>
          </cell>
          <cell r="AI593">
            <v>0.21912824128016056</v>
          </cell>
        </row>
        <row r="594">
          <cell r="Z594">
            <v>562</v>
          </cell>
          <cell r="AA594">
            <v>96.835979903576913</v>
          </cell>
          <cell r="AC594">
            <v>106.87246492140692</v>
          </cell>
          <cell r="AD594">
            <v>86.79949488574691</v>
          </cell>
          <cell r="AI594">
            <v>0.21823001946823531</v>
          </cell>
        </row>
        <row r="595">
          <cell r="Z595">
            <v>563</v>
          </cell>
          <cell r="AA595">
            <v>96.874948581182778</v>
          </cell>
          <cell r="AC595">
            <v>106.62426370325859</v>
          </cell>
          <cell r="AD595">
            <v>87.125633459106965</v>
          </cell>
          <cell r="AI595">
            <v>0.21733179765631003</v>
          </cell>
        </row>
        <row r="596">
          <cell r="Z596">
            <v>564</v>
          </cell>
          <cell r="AA596">
            <v>96.913917258788629</v>
          </cell>
          <cell r="AC596">
            <v>106.37689536049416</v>
          </cell>
          <cell r="AD596">
            <v>87.450939157083099</v>
          </cell>
          <cell r="AI596">
            <v>0.21643357584438477</v>
          </cell>
        </row>
        <row r="597">
          <cell r="Z597">
            <v>565</v>
          </cell>
          <cell r="AA597">
            <v>96.95288593639448</v>
          </cell>
          <cell r="AC597">
            <v>106.13043784987302</v>
          </cell>
          <cell r="AD597">
            <v>87.775334022915942</v>
          </cell>
          <cell r="AI597">
            <v>0.21553535403245949</v>
          </cell>
        </row>
        <row r="598">
          <cell r="Z598">
            <v>566</v>
          </cell>
          <cell r="AA598">
            <v>96.991854614000331</v>
          </cell>
          <cell r="AC598">
            <v>105.88497887171992</v>
          </cell>
          <cell r="AD598">
            <v>88.09873035628074</v>
          </cell>
          <cell r="AI598">
            <v>0.21463713222053421</v>
          </cell>
        </row>
        <row r="599">
          <cell r="Z599">
            <v>567</v>
          </cell>
          <cell r="AA599">
            <v>97.030823291606183</v>
          </cell>
          <cell r="AC599">
            <v>105.64061738724519</v>
          </cell>
          <cell r="AD599">
            <v>88.421029195967179</v>
          </cell>
          <cell r="AI599">
            <v>0.2137389104086089</v>
          </cell>
        </row>
        <row r="600">
          <cell r="Z600">
            <v>568</v>
          </cell>
          <cell r="AA600">
            <v>97.069791969212062</v>
          </cell>
          <cell r="AC600">
            <v>105.3974654163864</v>
          </cell>
          <cell r="AD600">
            <v>88.742118522037728</v>
          </cell>
          <cell r="AI600">
            <v>0.21284068859668367</v>
          </cell>
        </row>
        <row r="601">
          <cell r="Z601">
            <v>569</v>
          </cell>
          <cell r="AA601">
            <v>97.138254483603575</v>
          </cell>
          <cell r="AC601">
            <v>105.2173380958495</v>
          </cell>
          <cell r="AD601">
            <v>89.059170871357651</v>
          </cell>
          <cell r="AI601">
            <v>0.21194246678475839</v>
          </cell>
        </row>
        <row r="602">
          <cell r="Z602">
            <v>570</v>
          </cell>
          <cell r="AA602">
            <v>97.255058967164459</v>
          </cell>
          <cell r="AC602">
            <v>105.13875981527281</v>
          </cell>
          <cell r="AD602">
            <v>89.371358119056111</v>
          </cell>
          <cell r="AI602">
            <v>0.21104424497283311</v>
          </cell>
        </row>
        <row r="603">
          <cell r="Z603">
            <v>571</v>
          </cell>
          <cell r="AA603">
            <v>97.372561529702523</v>
          </cell>
          <cell r="AC603">
            <v>105.06164460265619</v>
          </cell>
          <cell r="AD603">
            <v>89.683478456748858</v>
          </cell>
          <cell r="AI603">
            <v>0.21014602316090786</v>
          </cell>
        </row>
        <row r="604">
          <cell r="Z604">
            <v>572</v>
          </cell>
          <cell r="AA604">
            <v>97.490064092240587</v>
          </cell>
          <cell r="AC604">
            <v>104.98453019709511</v>
          </cell>
          <cell r="AD604">
            <v>89.995597987386063</v>
          </cell>
          <cell r="AI604">
            <v>0.20924780134898258</v>
          </cell>
        </row>
        <row r="605">
          <cell r="Z605">
            <v>573</v>
          </cell>
          <cell r="AA605">
            <v>97.60756665477868</v>
          </cell>
          <cell r="AC605">
            <v>104.90741666313887</v>
          </cell>
          <cell r="AD605">
            <v>90.307716646418484</v>
          </cell>
          <cell r="AI605">
            <v>0.20834957953705729</v>
          </cell>
        </row>
        <row r="606">
          <cell r="Z606">
            <v>574</v>
          </cell>
          <cell r="AA606">
            <v>97.719003900123354</v>
          </cell>
          <cell r="AC606">
            <v>104.83461204544233</v>
          </cell>
          <cell r="AD606">
            <v>90.603395754804382</v>
          </cell>
          <cell r="AI606">
            <v>0.20745135772513204</v>
          </cell>
        </row>
        <row r="607">
          <cell r="Z607">
            <v>575</v>
          </cell>
          <cell r="AA607">
            <v>97.76965038599883</v>
          </cell>
          <cell r="AC607">
            <v>104.80501960065895</v>
          </cell>
          <cell r="AD607">
            <v>90.734281171338708</v>
          </cell>
          <cell r="AI607">
            <v>0.20655313591320676</v>
          </cell>
        </row>
        <row r="608">
          <cell r="Z608">
            <v>576</v>
          </cell>
          <cell r="AA608">
            <v>97.80460042719055</v>
          </cell>
          <cell r="AC608">
            <v>104.78666733481231</v>
          </cell>
          <cell r="AD608">
            <v>90.822533519568793</v>
          </cell>
          <cell r="AI608">
            <v>0.20565491410128148</v>
          </cell>
        </row>
        <row r="609">
          <cell r="Z609">
            <v>577</v>
          </cell>
          <cell r="AA609">
            <v>97.839550468382242</v>
          </cell>
          <cell r="AC609">
            <v>104.7684095685733</v>
          </cell>
          <cell r="AD609">
            <v>90.910691368191181</v>
          </cell>
          <cell r="AI609">
            <v>0.20475669228935622</v>
          </cell>
        </row>
        <row r="610">
          <cell r="Z610">
            <v>578</v>
          </cell>
          <cell r="AA610">
            <v>97.874500509573934</v>
          </cell>
          <cell r="AC610">
            <v>104.75024849579106</v>
          </cell>
          <cell r="AD610">
            <v>90.998752523356814</v>
          </cell>
          <cell r="AI610">
            <v>0.20385847047743094</v>
          </cell>
        </row>
        <row r="611">
          <cell r="Z611">
            <v>579</v>
          </cell>
          <cell r="AA611">
            <v>97.909450550765641</v>
          </cell>
          <cell r="AC611">
            <v>104.73218637457644</v>
          </cell>
          <cell r="AD611">
            <v>91.086714726954838</v>
          </cell>
          <cell r="AI611">
            <v>0.20296024866550566</v>
          </cell>
        </row>
        <row r="612">
          <cell r="Z612">
            <v>580</v>
          </cell>
          <cell r="AA612">
            <v>97.944400591957347</v>
          </cell>
          <cell r="AC612">
            <v>104.7142255294966</v>
          </cell>
          <cell r="AD612">
            <v>91.174575654418092</v>
          </cell>
          <cell r="AI612">
            <v>0.20206202685358041</v>
          </cell>
        </row>
        <row r="613">
          <cell r="Z613">
            <v>581</v>
          </cell>
          <cell r="AA613">
            <v>97.979350633149025</v>
          </cell>
          <cell r="AC613">
            <v>104.69636835385066</v>
          </cell>
          <cell r="AD613">
            <v>91.262332912447391</v>
          </cell>
          <cell r="AI613">
            <v>0.20116380504165512</v>
          </cell>
        </row>
        <row r="614">
          <cell r="Z614">
            <v>582</v>
          </cell>
          <cell r="AA614">
            <v>98.014300674340745</v>
          </cell>
          <cell r="AC614">
            <v>104.67861731203025</v>
          </cell>
          <cell r="AD614">
            <v>91.349984036651236</v>
          </cell>
          <cell r="AI614">
            <v>0.20026558322972984</v>
          </cell>
        </row>
        <row r="615">
          <cell r="Z615">
            <v>583</v>
          </cell>
          <cell r="AA615">
            <v>98.049250715532438</v>
          </cell>
          <cell r="AC615">
            <v>104.66097494196728</v>
          </cell>
          <cell r="AD615">
            <v>91.437526489097593</v>
          </cell>
          <cell r="AI615">
            <v>0.19936736141780459</v>
          </cell>
        </row>
        <row r="616">
          <cell r="Z616">
            <v>584</v>
          </cell>
          <cell r="AA616">
            <v>98.084200756724144</v>
          </cell>
          <cell r="AC616">
            <v>104.64344385767259</v>
          </cell>
          <cell r="AD616">
            <v>91.524957655775694</v>
          </cell>
          <cell r="AI616">
            <v>0.19846913960587934</v>
          </cell>
        </row>
        <row r="617">
          <cell r="Z617">
            <v>585</v>
          </cell>
          <cell r="AA617">
            <v>98.119148236793421</v>
          </cell>
          <cell r="AC617">
            <v>104.62602243427364</v>
          </cell>
          <cell r="AD617">
            <v>91.612274039313206</v>
          </cell>
          <cell r="AI617">
            <v>0.19757091779395403</v>
          </cell>
        </row>
        <row r="618">
          <cell r="Z618">
            <v>586</v>
          </cell>
          <cell r="AA618">
            <v>98.144573463738539</v>
          </cell>
          <cell r="AC618">
            <v>104.59261803455094</v>
          </cell>
          <cell r="AD618">
            <v>91.696528892926139</v>
          </cell>
          <cell r="AI618">
            <v>0.19667269598202877</v>
          </cell>
        </row>
        <row r="619">
          <cell r="Z619">
            <v>587</v>
          </cell>
          <cell r="AA619">
            <v>98.161083423570901</v>
          </cell>
          <cell r="AC619">
            <v>104.54416907390639</v>
          </cell>
          <cell r="AD619">
            <v>91.777997773235413</v>
          </cell>
          <cell r="AI619">
            <v>0.19577447417010349</v>
          </cell>
        </row>
        <row r="620">
          <cell r="Z620">
            <v>588</v>
          </cell>
          <cell r="AA620">
            <v>98.177593383403249</v>
          </cell>
          <cell r="AC620">
            <v>104.4957205443211</v>
          </cell>
          <cell r="AD620">
            <v>91.859466222485395</v>
          </cell>
          <cell r="AI620">
            <v>0.19487625235817821</v>
          </cell>
        </row>
        <row r="621">
          <cell r="Z621">
            <v>589</v>
          </cell>
          <cell r="AA621">
            <v>98.194103343235611</v>
          </cell>
          <cell r="AC621">
            <v>104.44727245922877</v>
          </cell>
          <cell r="AD621">
            <v>91.940934227242451</v>
          </cell>
          <cell r="AI621">
            <v>0.19397803054625296</v>
          </cell>
        </row>
        <row r="622">
          <cell r="Z622">
            <v>590</v>
          </cell>
          <cell r="AA622">
            <v>98.210613303067973</v>
          </cell>
          <cell r="AC622">
            <v>104.39882483262699</v>
          </cell>
          <cell r="AD622">
            <v>92.02240177350896</v>
          </cell>
          <cell r="AI622">
            <v>0.19307980873432767</v>
          </cell>
        </row>
        <row r="623">
          <cell r="Z623">
            <v>591</v>
          </cell>
          <cell r="AA623">
            <v>98.227123262900321</v>
          </cell>
          <cell r="AC623">
            <v>104.35037767910721</v>
          </cell>
          <cell r="AD623">
            <v>92.10386884669343</v>
          </cell>
          <cell r="AI623">
            <v>0.19218158692240239</v>
          </cell>
        </row>
        <row r="624">
          <cell r="Z624">
            <v>592</v>
          </cell>
          <cell r="AA624">
            <v>98.243633222732669</v>
          </cell>
          <cell r="AC624">
            <v>104.30193101388662</v>
          </cell>
          <cell r="AD624">
            <v>92.185335431578721</v>
          </cell>
          <cell r="AI624">
            <v>0.19128336511047714</v>
          </cell>
        </row>
        <row r="625">
          <cell r="Z625">
            <v>593</v>
          </cell>
          <cell r="AA625">
            <v>98.260143182565017</v>
          </cell>
          <cell r="AC625">
            <v>104.25348485284198</v>
          </cell>
          <cell r="AD625">
            <v>92.266801512288055</v>
          </cell>
          <cell r="AI625">
            <v>0.19038514329855186</v>
          </cell>
        </row>
        <row r="626">
          <cell r="Z626">
            <v>594</v>
          </cell>
          <cell r="AA626">
            <v>98.276653142397393</v>
          </cell>
          <cell r="AC626">
            <v>104.20503921254576</v>
          </cell>
          <cell r="AD626">
            <v>92.34826707224903</v>
          </cell>
          <cell r="AI626">
            <v>0.18948692148662657</v>
          </cell>
        </row>
        <row r="627">
          <cell r="Z627">
            <v>595</v>
          </cell>
          <cell r="AA627">
            <v>98.293163102229755</v>
          </cell>
          <cell r="AC627">
            <v>104.15659411030461</v>
          </cell>
          <cell r="AD627">
            <v>92.4297320941549</v>
          </cell>
          <cell r="AI627">
            <v>0.18858869967470132</v>
          </cell>
        </row>
        <row r="628">
          <cell r="Z628">
            <v>596</v>
          </cell>
          <cell r="AA628">
            <v>98.309673062062089</v>
          </cell>
          <cell r="AC628">
            <v>104.10814956420056</v>
          </cell>
          <cell r="AD628">
            <v>92.511196559923619</v>
          </cell>
          <cell r="AI628">
            <v>0.18769047786277604</v>
          </cell>
        </row>
        <row r="629">
          <cell r="Z629">
            <v>597</v>
          </cell>
          <cell r="AA629">
            <v>98.326183021894465</v>
          </cell>
          <cell r="AC629">
            <v>104.05970559313492</v>
          </cell>
          <cell r="AD629">
            <v>92.592660450654009</v>
          </cell>
          <cell r="AI629">
            <v>0.18679225605085076</v>
          </cell>
        </row>
        <row r="630">
          <cell r="Z630">
            <v>598</v>
          </cell>
          <cell r="AA630">
            <v>98.342692981726813</v>
          </cell>
          <cell r="AC630">
            <v>104.01126221687508</v>
          </cell>
          <cell r="AD630">
            <v>92.674123746578545</v>
          </cell>
          <cell r="AI630">
            <v>0.1858940342389255</v>
          </cell>
        </row>
        <row r="631">
          <cell r="Z631">
            <v>599</v>
          </cell>
          <cell r="AA631">
            <v>98.359202941559161</v>
          </cell>
          <cell r="AC631">
            <v>103.9628194561048</v>
          </cell>
          <cell r="AD631">
            <v>92.755586427013526</v>
          </cell>
          <cell r="AI631">
            <v>0.18499581242700022</v>
          </cell>
        </row>
        <row r="632">
          <cell r="AA632">
            <v>98.375712901391523</v>
          </cell>
          <cell r="AC632">
            <v>103.9143773324779</v>
          </cell>
          <cell r="AD632">
            <v>92.837048470305149</v>
          </cell>
          <cell r="AI632">
            <v>0.18409759061507494</v>
          </cell>
        </row>
      </sheetData>
      <sheetData sheetId="3">
        <row r="29">
          <cell r="AI29" t="str">
            <v>Água gerada no BLD</v>
          </cell>
        </row>
        <row r="31">
          <cell r="AL31">
            <v>0</v>
          </cell>
          <cell r="AM31">
            <v>236.92500000000001</v>
          </cell>
        </row>
        <row r="32">
          <cell r="D32" t="str">
            <v>TckSld(°C)</v>
          </cell>
          <cell r="F32" t="str">
            <v>Mvap(t/h)</v>
          </cell>
          <cell r="G32" t="str">
            <v>Nivel(m)</v>
          </cell>
          <cell r="W32">
            <v>0</v>
          </cell>
          <cell r="X32">
            <v>370.1</v>
          </cell>
          <cell r="Z32">
            <v>0</v>
          </cell>
          <cell r="AA32" t="str">
            <v>média</v>
          </cell>
          <cell r="AC32" t="str">
            <v>M + DP</v>
          </cell>
          <cell r="AD32" t="str">
            <v>M-Dp</v>
          </cell>
          <cell r="AL32">
            <v>1</v>
          </cell>
          <cell r="AM32">
            <v>159.36799999999999</v>
          </cell>
        </row>
        <row r="33">
          <cell r="A33">
            <v>0</v>
          </cell>
          <cell r="D33">
            <v>370.1</v>
          </cell>
          <cell r="F33">
            <v>3</v>
          </cell>
          <cell r="G33">
            <v>0</v>
          </cell>
          <cell r="W33">
            <v>5</v>
          </cell>
          <cell r="X33">
            <v>370</v>
          </cell>
          <cell r="Z33">
            <v>1</v>
          </cell>
          <cell r="AC33">
            <v>405.23994488429241</v>
          </cell>
          <cell r="AD33">
            <v>335.03929469601076</v>
          </cell>
          <cell r="AI33">
            <v>0</v>
          </cell>
          <cell r="AL33">
            <v>2</v>
          </cell>
          <cell r="AM33">
            <v>157.09700000000001</v>
          </cell>
        </row>
        <row r="34">
          <cell r="A34">
            <v>5</v>
          </cell>
          <cell r="D34">
            <v>369.82299999999998</v>
          </cell>
          <cell r="F34">
            <v>3</v>
          </cell>
          <cell r="G34">
            <v>0</v>
          </cell>
          <cell r="W34">
            <v>10</v>
          </cell>
          <cell r="X34">
            <v>369.9</v>
          </cell>
          <cell r="Z34">
            <v>2</v>
          </cell>
          <cell r="AC34">
            <v>405.284163386503</v>
          </cell>
          <cell r="AD34">
            <v>335.02176674500436</v>
          </cell>
          <cell r="AI34">
            <v>0</v>
          </cell>
          <cell r="AL34">
            <v>3</v>
          </cell>
          <cell r="AM34">
            <v>157.09700000000001</v>
          </cell>
        </row>
        <row r="35">
          <cell r="A35">
            <v>10</v>
          </cell>
          <cell r="D35">
            <v>369.50900000000001</v>
          </cell>
          <cell r="F35">
            <v>3</v>
          </cell>
          <cell r="G35">
            <v>0</v>
          </cell>
          <cell r="W35">
            <v>15</v>
          </cell>
          <cell r="X35">
            <v>369.7</v>
          </cell>
          <cell r="Z35">
            <v>3</v>
          </cell>
          <cell r="AC35">
            <v>405.24341412132742</v>
          </cell>
          <cell r="AD35">
            <v>334.99196953746434</v>
          </cell>
          <cell r="AI35">
            <v>0</v>
          </cell>
          <cell r="AL35">
            <v>4</v>
          </cell>
          <cell r="AM35">
            <v>157.09700000000001</v>
          </cell>
        </row>
        <row r="36">
          <cell r="A36">
            <v>15</v>
          </cell>
          <cell r="D36">
            <v>369.24599999999998</v>
          </cell>
          <cell r="F36">
            <v>3</v>
          </cell>
          <cell r="G36">
            <v>0</v>
          </cell>
          <cell r="W36">
            <v>20</v>
          </cell>
          <cell r="X36">
            <v>369.2</v>
          </cell>
          <cell r="Z36">
            <v>4</v>
          </cell>
          <cell r="AC36">
            <v>405.18103295886141</v>
          </cell>
          <cell r="AD36">
            <v>334.9560079165272</v>
          </cell>
          <cell r="AI36">
            <v>0</v>
          </cell>
          <cell r="AL36">
            <v>5</v>
          </cell>
          <cell r="AM36">
            <v>155.209</v>
          </cell>
        </row>
        <row r="37">
          <cell r="A37">
            <v>20</v>
          </cell>
          <cell r="D37">
            <v>368.96800000000002</v>
          </cell>
          <cell r="F37">
            <v>3</v>
          </cell>
          <cell r="G37">
            <v>0</v>
          </cell>
          <cell r="W37">
            <v>25</v>
          </cell>
          <cell r="X37">
            <v>368.9</v>
          </cell>
          <cell r="Z37">
            <v>5</v>
          </cell>
          <cell r="AC37">
            <v>405.1529096878333</v>
          </cell>
          <cell r="AD37">
            <v>334.93427529203217</v>
          </cell>
          <cell r="AI37">
            <v>0</v>
          </cell>
          <cell r="AL37">
            <v>6</v>
          </cell>
          <cell r="AM37">
            <v>117.759</v>
          </cell>
        </row>
        <row r="38">
          <cell r="A38">
            <v>25</v>
          </cell>
          <cell r="D38">
            <v>368.74099999999999</v>
          </cell>
          <cell r="F38">
            <v>3</v>
          </cell>
          <cell r="G38">
            <v>0</v>
          </cell>
          <cell r="W38">
            <v>30</v>
          </cell>
          <cell r="X38">
            <v>368.2</v>
          </cell>
          <cell r="Z38">
            <v>6</v>
          </cell>
          <cell r="AC38">
            <v>405.22321311739256</v>
          </cell>
          <cell r="AD38">
            <v>334.93810022893581</v>
          </cell>
          <cell r="AI38">
            <v>0</v>
          </cell>
          <cell r="AL38">
            <v>7</v>
          </cell>
          <cell r="AM38">
            <v>117.759</v>
          </cell>
        </row>
        <row r="39">
          <cell r="A39">
            <v>30</v>
          </cell>
          <cell r="D39">
            <v>368.50799999999998</v>
          </cell>
          <cell r="F39">
            <v>3</v>
          </cell>
          <cell r="G39">
            <v>0</v>
          </cell>
          <cell r="W39">
            <v>35</v>
          </cell>
          <cell r="X39">
            <v>367.8</v>
          </cell>
          <cell r="Z39">
            <v>7</v>
          </cell>
          <cell r="AC39">
            <v>405.1920620167985</v>
          </cell>
          <cell r="AD39">
            <v>334.91577880715937</v>
          </cell>
          <cell r="AI39">
            <v>0</v>
          </cell>
          <cell r="AL39">
            <v>8</v>
          </cell>
          <cell r="AM39">
            <v>117.759</v>
          </cell>
        </row>
        <row r="40">
          <cell r="A40">
            <v>35</v>
          </cell>
          <cell r="D40">
            <v>368.32799999999997</v>
          </cell>
          <cell r="F40">
            <v>3</v>
          </cell>
          <cell r="G40">
            <v>0</v>
          </cell>
          <cell r="W40">
            <v>40</v>
          </cell>
          <cell r="X40">
            <v>367.5</v>
          </cell>
          <cell r="Z40">
            <v>8</v>
          </cell>
          <cell r="AC40">
            <v>405.14802250340966</v>
          </cell>
          <cell r="AD40">
            <v>334.89159277060304</v>
          </cell>
          <cell r="AI40">
            <v>0</v>
          </cell>
          <cell r="AL40">
            <v>9</v>
          </cell>
          <cell r="AM40">
            <v>117.759</v>
          </cell>
        </row>
        <row r="41">
          <cell r="A41">
            <v>40</v>
          </cell>
          <cell r="D41">
            <v>368.166</v>
          </cell>
          <cell r="F41">
            <v>3</v>
          </cell>
          <cell r="G41">
            <v>0</v>
          </cell>
          <cell r="W41">
            <v>45</v>
          </cell>
          <cell r="X41">
            <v>367.4</v>
          </cell>
          <cell r="Z41">
            <v>9</v>
          </cell>
          <cell r="AC41">
            <v>405.15209833915509</v>
          </cell>
          <cell r="AD41">
            <v>334.89591393504855</v>
          </cell>
          <cell r="AI41">
            <v>0</v>
          </cell>
          <cell r="AL41">
            <v>10</v>
          </cell>
          <cell r="AM41">
            <v>114.79300000000001</v>
          </cell>
        </row>
        <row r="42">
          <cell r="A42">
            <v>45</v>
          </cell>
          <cell r="D42">
            <v>368.03100000000001</v>
          </cell>
          <cell r="F42">
            <v>3</v>
          </cell>
          <cell r="G42">
            <v>0</v>
          </cell>
          <cell r="W42">
            <v>50</v>
          </cell>
          <cell r="X42">
            <v>367.2</v>
          </cell>
          <cell r="Z42">
            <v>10</v>
          </cell>
          <cell r="AC42">
            <v>405.07605099469419</v>
          </cell>
          <cell r="AD42">
            <v>334.85721645369114</v>
          </cell>
          <cell r="AI42">
            <v>0</v>
          </cell>
          <cell r="AL42">
            <v>11</v>
          </cell>
          <cell r="AM42">
            <v>114.79300000000001</v>
          </cell>
        </row>
        <row r="43">
          <cell r="A43">
            <v>50</v>
          </cell>
          <cell r="D43">
            <v>367.892</v>
          </cell>
          <cell r="F43">
            <v>3</v>
          </cell>
          <cell r="G43">
            <v>0</v>
          </cell>
          <cell r="W43">
            <v>55</v>
          </cell>
          <cell r="X43">
            <v>367.2</v>
          </cell>
          <cell r="Z43">
            <v>11</v>
          </cell>
          <cell r="AC43">
            <v>404.97577173559188</v>
          </cell>
          <cell r="AD43">
            <v>334.80482587774162</v>
          </cell>
          <cell r="AI43">
            <v>0</v>
          </cell>
          <cell r="AL43">
            <v>12</v>
          </cell>
          <cell r="AM43">
            <v>114.79300000000001</v>
          </cell>
        </row>
        <row r="44">
          <cell r="A44">
            <v>55</v>
          </cell>
          <cell r="D44">
            <v>367.76299999999998</v>
          </cell>
          <cell r="F44">
            <v>3</v>
          </cell>
          <cell r="G44">
            <v>0</v>
          </cell>
          <cell r="W44">
            <v>60</v>
          </cell>
          <cell r="X44">
            <v>366.5</v>
          </cell>
          <cell r="Z44">
            <v>12</v>
          </cell>
          <cell r="AC44">
            <v>404.87915686540669</v>
          </cell>
          <cell r="AD44">
            <v>334.75478137949506</v>
          </cell>
          <cell r="AI44">
            <v>0</v>
          </cell>
          <cell r="AL44">
            <v>13</v>
          </cell>
          <cell r="AM44">
            <v>114.79300000000001</v>
          </cell>
        </row>
        <row r="45">
          <cell r="A45">
            <v>60</v>
          </cell>
          <cell r="D45">
            <v>367.63099999999997</v>
          </cell>
          <cell r="F45">
            <v>3</v>
          </cell>
          <cell r="G45">
            <v>0</v>
          </cell>
          <cell r="W45">
            <v>65</v>
          </cell>
          <cell r="X45">
            <v>365.6</v>
          </cell>
          <cell r="Z45">
            <v>13</v>
          </cell>
          <cell r="AC45">
            <v>404.79170786936828</v>
          </cell>
          <cell r="AD45">
            <v>334.71267720892303</v>
          </cell>
          <cell r="AI45">
            <v>0</v>
          </cell>
          <cell r="AL45">
            <v>14</v>
          </cell>
          <cell r="AM45">
            <v>114.79300000000001</v>
          </cell>
        </row>
        <row r="46">
          <cell r="A46">
            <v>65</v>
          </cell>
          <cell r="D46">
            <v>367.505</v>
          </cell>
          <cell r="F46">
            <v>3</v>
          </cell>
          <cell r="G46">
            <v>0</v>
          </cell>
          <cell r="W46">
            <v>70</v>
          </cell>
          <cell r="X46">
            <v>364.6</v>
          </cell>
          <cell r="Z46">
            <v>14</v>
          </cell>
          <cell r="AC46">
            <v>404.7571934712368</v>
          </cell>
          <cell r="AD46">
            <v>334.68809853701856</v>
          </cell>
          <cell r="AI46">
            <v>0</v>
          </cell>
          <cell r="AL46">
            <v>15</v>
          </cell>
          <cell r="AM46">
            <v>114.79300000000001</v>
          </cell>
        </row>
        <row r="47">
          <cell r="A47">
            <v>70</v>
          </cell>
          <cell r="D47">
            <v>367.37599999999998</v>
          </cell>
          <cell r="F47">
            <v>3</v>
          </cell>
          <cell r="G47">
            <v>0</v>
          </cell>
          <cell r="W47">
            <v>75</v>
          </cell>
          <cell r="X47">
            <v>363.5</v>
          </cell>
          <cell r="Z47">
            <v>15</v>
          </cell>
          <cell r="AC47">
            <v>404.76080545048103</v>
          </cell>
          <cell r="AD47">
            <v>334.66936047145589</v>
          </cell>
          <cell r="AI47">
            <v>0</v>
          </cell>
          <cell r="AL47">
            <v>16</v>
          </cell>
          <cell r="AM47">
            <v>114.79300000000001</v>
          </cell>
        </row>
        <row r="48">
          <cell r="A48">
            <v>75</v>
          </cell>
          <cell r="D48">
            <v>367.25700000000001</v>
          </cell>
          <cell r="F48">
            <v>8</v>
          </cell>
          <cell r="G48">
            <v>0</v>
          </cell>
          <cell r="W48">
            <v>80</v>
          </cell>
          <cell r="X48">
            <v>360.7</v>
          </cell>
          <cell r="Z48">
            <v>16</v>
          </cell>
          <cell r="AC48">
            <v>404.64284317385136</v>
          </cell>
          <cell r="AD48">
            <v>334.55559302891595</v>
          </cell>
          <cell r="AI48">
            <v>0</v>
          </cell>
          <cell r="AL48">
            <v>17</v>
          </cell>
          <cell r="AM48">
            <v>114.79300000000001</v>
          </cell>
        </row>
        <row r="49">
          <cell r="A49">
            <v>80</v>
          </cell>
          <cell r="D49">
            <v>366.91199999999998</v>
          </cell>
          <cell r="F49">
            <v>8</v>
          </cell>
          <cell r="G49">
            <v>0</v>
          </cell>
          <cell r="W49">
            <v>85</v>
          </cell>
          <cell r="X49">
            <v>358.4</v>
          </cell>
          <cell r="Z49">
            <v>17</v>
          </cell>
          <cell r="AC49">
            <v>404.53715581847217</v>
          </cell>
          <cell r="AD49">
            <v>334.43264098965591</v>
          </cell>
          <cell r="AI49">
            <v>0</v>
          </cell>
          <cell r="AL49">
            <v>18</v>
          </cell>
          <cell r="AM49">
            <v>114.79300000000001</v>
          </cell>
        </row>
        <row r="50">
          <cell r="A50">
            <v>85</v>
          </cell>
          <cell r="D50">
            <v>366.62799999999999</v>
          </cell>
          <cell r="F50">
            <v>8</v>
          </cell>
          <cell r="G50">
            <v>0</v>
          </cell>
          <cell r="W50">
            <v>90</v>
          </cell>
          <cell r="X50">
            <v>357</v>
          </cell>
          <cell r="Z50">
            <v>18</v>
          </cell>
          <cell r="AC50">
            <v>404.45021612053938</v>
          </cell>
          <cell r="AD50">
            <v>334.32412584119322</v>
          </cell>
          <cell r="AI50">
            <v>0</v>
          </cell>
          <cell r="AL50">
            <v>19</v>
          </cell>
          <cell r="AM50">
            <v>108.7</v>
          </cell>
        </row>
        <row r="51">
          <cell r="A51">
            <v>90</v>
          </cell>
          <cell r="D51">
            <v>366.31700000000001</v>
          </cell>
          <cell r="F51">
            <v>8</v>
          </cell>
          <cell r="G51">
            <v>0</v>
          </cell>
          <cell r="W51">
            <v>95</v>
          </cell>
          <cell r="X51">
            <v>356</v>
          </cell>
          <cell r="Z51">
            <v>19</v>
          </cell>
          <cell r="AC51">
            <v>404.34268061353697</v>
          </cell>
          <cell r="AD51">
            <v>334.2753976922998</v>
          </cell>
          <cell r="AI51">
            <v>0</v>
          </cell>
        </row>
        <row r="52">
          <cell r="A52">
            <v>95</v>
          </cell>
          <cell r="D52">
            <v>366.05399999999997</v>
          </cell>
          <cell r="F52">
            <v>8</v>
          </cell>
          <cell r="G52">
            <v>0</v>
          </cell>
          <cell r="W52">
            <v>100</v>
          </cell>
          <cell r="X52">
            <v>354.7</v>
          </cell>
          <cell r="Z52">
            <v>20</v>
          </cell>
          <cell r="AC52">
            <v>404.24800393150122</v>
          </cell>
          <cell r="AD52">
            <v>334.23352476550906</v>
          </cell>
          <cell r="AI52">
            <v>0</v>
          </cell>
        </row>
        <row r="53">
          <cell r="A53">
            <v>100</v>
          </cell>
          <cell r="D53">
            <v>365.774</v>
          </cell>
          <cell r="F53">
            <v>8</v>
          </cell>
          <cell r="G53">
            <v>0</v>
          </cell>
          <cell r="W53">
            <v>105</v>
          </cell>
          <cell r="X53">
            <v>353.5</v>
          </cell>
          <cell r="Z53">
            <v>21</v>
          </cell>
          <cell r="AC53">
            <v>404.15453567932025</v>
          </cell>
          <cell r="AD53">
            <v>334.19124738133337</v>
          </cell>
          <cell r="AI53">
            <v>0</v>
          </cell>
        </row>
        <row r="54">
          <cell r="A54">
            <v>105</v>
          </cell>
          <cell r="D54">
            <v>365.54300000000001</v>
          </cell>
          <cell r="F54">
            <v>8</v>
          </cell>
          <cell r="G54">
            <v>0</v>
          </cell>
          <cell r="W54">
            <v>110</v>
          </cell>
          <cell r="X54">
            <v>351.8</v>
          </cell>
          <cell r="Z54">
            <v>22</v>
          </cell>
          <cell r="AC54">
            <v>404.06017732395566</v>
          </cell>
          <cell r="AD54">
            <v>334.14808360458602</v>
          </cell>
          <cell r="AI54">
            <v>0</v>
          </cell>
        </row>
        <row r="55">
          <cell r="A55">
            <v>110</v>
          </cell>
          <cell r="D55">
            <v>365.30599999999998</v>
          </cell>
          <cell r="F55">
            <v>8</v>
          </cell>
          <cell r="G55">
            <v>0</v>
          </cell>
          <cell r="W55">
            <v>115</v>
          </cell>
          <cell r="X55">
            <v>349.7</v>
          </cell>
          <cell r="Z55">
            <v>23</v>
          </cell>
          <cell r="AC55">
            <v>403.96389722723973</v>
          </cell>
          <cell r="AD55">
            <v>334.10587527888754</v>
          </cell>
          <cell r="AI55">
            <v>0</v>
          </cell>
        </row>
        <row r="56">
          <cell r="A56">
            <v>115</v>
          </cell>
          <cell r="D56">
            <v>365.10899999999998</v>
          </cell>
          <cell r="F56">
            <v>8</v>
          </cell>
          <cell r="G56">
            <v>0</v>
          </cell>
          <cell r="W56">
            <v>120</v>
          </cell>
          <cell r="X56">
            <v>345.6</v>
          </cell>
          <cell r="Z56">
            <v>24</v>
          </cell>
          <cell r="AC56">
            <v>403.87897833630313</v>
          </cell>
          <cell r="AD56">
            <v>334.07313331618082</v>
          </cell>
          <cell r="AI56">
            <v>0</v>
          </cell>
        </row>
        <row r="57">
          <cell r="A57">
            <v>120</v>
          </cell>
          <cell r="D57">
            <v>364.90699999999998</v>
          </cell>
          <cell r="F57">
            <v>8</v>
          </cell>
          <cell r="G57">
            <v>0</v>
          </cell>
          <cell r="W57">
            <v>125</v>
          </cell>
          <cell r="X57">
            <v>342.5</v>
          </cell>
          <cell r="Z57">
            <v>25</v>
          </cell>
          <cell r="AC57">
            <v>403.77797208993684</v>
          </cell>
          <cell r="AD57">
            <v>334.02794450325302</v>
          </cell>
          <cell r="AI57">
            <v>0</v>
          </cell>
        </row>
        <row r="58">
          <cell r="A58">
            <v>125</v>
          </cell>
          <cell r="D58">
            <v>364.73099999999999</v>
          </cell>
          <cell r="F58">
            <v>8</v>
          </cell>
          <cell r="G58">
            <v>0</v>
          </cell>
          <cell r="W58">
            <v>130</v>
          </cell>
          <cell r="X58">
            <v>340.5</v>
          </cell>
          <cell r="Z58">
            <v>26</v>
          </cell>
          <cell r="AC58">
            <v>403.55237661651864</v>
          </cell>
          <cell r="AD58">
            <v>333.88479063313667</v>
          </cell>
          <cell r="AI58">
            <v>0</v>
          </cell>
        </row>
        <row r="59">
          <cell r="A59">
            <v>130</v>
          </cell>
          <cell r="D59">
            <v>364.55099999999999</v>
          </cell>
          <cell r="F59">
            <v>8</v>
          </cell>
          <cell r="G59">
            <v>0</v>
          </cell>
          <cell r="W59">
            <v>135</v>
          </cell>
          <cell r="X59">
            <v>338.9</v>
          </cell>
          <cell r="Z59">
            <v>27</v>
          </cell>
          <cell r="AC59">
            <v>403.34424141509817</v>
          </cell>
          <cell r="AD59">
            <v>333.73245276517309</v>
          </cell>
          <cell r="AI59">
            <v>0</v>
          </cell>
        </row>
        <row r="60">
          <cell r="A60">
            <v>135</v>
          </cell>
          <cell r="D60">
            <v>364.392</v>
          </cell>
          <cell r="F60">
            <v>12.5259</v>
          </cell>
          <cell r="G60">
            <v>0.123377</v>
          </cell>
          <cell r="W60">
            <v>140</v>
          </cell>
          <cell r="X60">
            <v>337.2</v>
          </cell>
          <cell r="Z60">
            <v>28</v>
          </cell>
          <cell r="AC60">
            <v>403.17760126511848</v>
          </cell>
          <cell r="AD60">
            <v>333.63153567076142</v>
          </cell>
          <cell r="AI60">
            <v>0</v>
          </cell>
        </row>
        <row r="61">
          <cell r="A61">
            <v>140</v>
          </cell>
          <cell r="D61">
            <v>351.48099999999999</v>
          </cell>
          <cell r="F61">
            <v>5.8316800000000004</v>
          </cell>
          <cell r="G61">
            <v>1.2664899999999999</v>
          </cell>
          <cell r="W61">
            <v>145</v>
          </cell>
          <cell r="X61">
            <v>336</v>
          </cell>
          <cell r="Z61">
            <v>29</v>
          </cell>
          <cell r="AC61">
            <v>403.04428674579441</v>
          </cell>
          <cell r="AD61">
            <v>333.56253821785339</v>
          </cell>
          <cell r="AI61">
            <v>0</v>
          </cell>
        </row>
        <row r="62">
          <cell r="A62">
            <v>145</v>
          </cell>
          <cell r="D62">
            <v>350.97800000000001</v>
          </cell>
          <cell r="F62">
            <v>21.826899999999998</v>
          </cell>
          <cell r="G62">
            <v>1.90215</v>
          </cell>
          <cell r="W62">
            <v>150</v>
          </cell>
          <cell r="X62">
            <v>335.1</v>
          </cell>
          <cell r="Z62">
            <v>30</v>
          </cell>
          <cell r="AC62">
            <v>402.93480744759694</v>
          </cell>
          <cell r="AD62">
            <v>333.49318860046111</v>
          </cell>
          <cell r="AI62">
            <v>0</v>
          </cell>
        </row>
        <row r="63">
          <cell r="A63">
            <v>150</v>
          </cell>
          <cell r="D63">
            <v>339.738</v>
          </cell>
          <cell r="F63">
            <v>21.0334</v>
          </cell>
          <cell r="G63">
            <v>2.3454700000000002</v>
          </cell>
          <cell r="W63">
            <v>155</v>
          </cell>
          <cell r="X63">
            <v>333.2</v>
          </cell>
          <cell r="Z63">
            <v>31</v>
          </cell>
          <cell r="AC63">
            <v>402.82602979164375</v>
          </cell>
          <cell r="AD63">
            <v>333.42345775918369</v>
          </cell>
          <cell r="AI63">
            <v>0</v>
          </cell>
        </row>
        <row r="64">
          <cell r="A64">
            <v>155</v>
          </cell>
          <cell r="D64">
            <v>337.36799999999999</v>
          </cell>
          <cell r="F64">
            <v>4.7498500000000003</v>
          </cell>
          <cell r="G64">
            <v>2.8465600000000002</v>
          </cell>
          <cell r="W64">
            <v>160</v>
          </cell>
          <cell r="X64">
            <v>328</v>
          </cell>
          <cell r="Z64">
            <v>32</v>
          </cell>
          <cell r="AC64">
            <v>402.70961581974132</v>
          </cell>
          <cell r="AD64">
            <v>333.35122946040497</v>
          </cell>
          <cell r="AI64">
            <v>0</v>
          </cell>
        </row>
        <row r="65">
          <cell r="A65">
            <v>160</v>
          </cell>
          <cell r="D65">
            <v>327.767</v>
          </cell>
          <cell r="F65">
            <v>9.9580099999999998</v>
          </cell>
          <cell r="G65">
            <v>3.2511399999999999</v>
          </cell>
          <cell r="W65">
            <v>165</v>
          </cell>
          <cell r="X65">
            <v>321.2</v>
          </cell>
          <cell r="Z65">
            <v>33</v>
          </cell>
          <cell r="AC65">
            <v>402.59539601315845</v>
          </cell>
          <cell r="AD65">
            <v>333.30603758417004</v>
          </cell>
          <cell r="AI65">
            <v>0</v>
          </cell>
        </row>
        <row r="66">
          <cell r="A66">
            <v>165</v>
          </cell>
          <cell r="D66">
            <v>316.48899999999998</v>
          </cell>
          <cell r="F66">
            <v>7.7657699999999998</v>
          </cell>
          <cell r="G66">
            <v>3.5933999999999999</v>
          </cell>
          <cell r="W66">
            <v>170</v>
          </cell>
          <cell r="X66">
            <v>314</v>
          </cell>
          <cell r="Z66">
            <v>34</v>
          </cell>
          <cell r="AC66">
            <v>402.48550854380892</v>
          </cell>
          <cell r="AD66">
            <v>333.27415144843633</v>
          </cell>
          <cell r="AI66">
            <v>0</v>
          </cell>
        </row>
        <row r="67">
          <cell r="A67">
            <v>170</v>
          </cell>
          <cell r="D67">
            <v>310.274</v>
          </cell>
          <cell r="F67">
            <v>10.540900000000001</v>
          </cell>
          <cell r="G67">
            <v>3.9061300000000001</v>
          </cell>
          <cell r="W67">
            <v>175</v>
          </cell>
          <cell r="X67">
            <v>306.60000000000002</v>
          </cell>
          <cell r="Z67">
            <v>35</v>
          </cell>
          <cell r="AC67">
            <v>402.38764527555242</v>
          </cell>
          <cell r="AD67">
            <v>333.24519464324629</v>
          </cell>
          <cell r="AI67">
            <v>0</v>
          </cell>
        </row>
        <row r="68">
          <cell r="A68">
            <v>175</v>
          </cell>
          <cell r="D68">
            <v>303.37099999999998</v>
          </cell>
          <cell r="F68">
            <v>12.9193</v>
          </cell>
          <cell r="G68">
            <v>4.18614</v>
          </cell>
          <cell r="W68">
            <v>180</v>
          </cell>
          <cell r="X68">
            <v>299.39999999999998</v>
          </cell>
          <cell r="Z68">
            <v>36</v>
          </cell>
          <cell r="AC68">
            <v>402.290733715388</v>
          </cell>
          <cell r="AD68">
            <v>333.21639726455294</v>
          </cell>
          <cell r="AI68">
            <v>0</v>
          </cell>
        </row>
        <row r="69">
          <cell r="A69">
            <v>180</v>
          </cell>
          <cell r="D69">
            <v>297.81099999999998</v>
          </cell>
          <cell r="F69">
            <v>19.989000000000001</v>
          </cell>
          <cell r="G69">
            <v>4.4535900000000002</v>
          </cell>
          <cell r="W69">
            <v>185</v>
          </cell>
          <cell r="X69">
            <v>292.89999999999998</v>
          </cell>
          <cell r="Z69">
            <v>37</v>
          </cell>
          <cell r="AC69">
            <v>402.20730879539155</v>
          </cell>
          <cell r="AD69">
            <v>333.19187514846396</v>
          </cell>
          <cell r="AI69">
            <v>0</v>
          </cell>
        </row>
        <row r="70">
          <cell r="A70">
            <v>185</v>
          </cell>
          <cell r="D70">
            <v>291.024</v>
          </cell>
          <cell r="F70">
            <v>23.0853</v>
          </cell>
          <cell r="G70">
            <v>4.6902999999999997</v>
          </cell>
          <cell r="W70">
            <v>190</v>
          </cell>
          <cell r="X70">
            <v>286.8</v>
          </cell>
          <cell r="Z70">
            <v>38</v>
          </cell>
          <cell r="AC70">
            <v>402.13945121887116</v>
          </cell>
          <cell r="AD70">
            <v>333.17381729473027</v>
          </cell>
          <cell r="AI70">
            <v>0</v>
          </cell>
        </row>
        <row r="71">
          <cell r="A71">
            <v>190</v>
          </cell>
          <cell r="D71">
            <v>284.346</v>
          </cell>
          <cell r="F71">
            <v>24.744</v>
          </cell>
          <cell r="G71">
            <v>4.8936400000000004</v>
          </cell>
          <cell r="W71">
            <v>195</v>
          </cell>
          <cell r="X71">
            <v>281.2</v>
          </cell>
          <cell r="Z71">
            <v>39</v>
          </cell>
          <cell r="AC71">
            <v>402.07239637853701</v>
          </cell>
          <cell r="AD71">
            <v>333.15613224202667</v>
          </cell>
          <cell r="AI71">
            <v>0</v>
          </cell>
        </row>
        <row r="72">
          <cell r="A72">
            <v>195</v>
          </cell>
          <cell r="D72">
            <v>278.03300000000002</v>
          </cell>
          <cell r="F72">
            <v>14.090400000000001</v>
          </cell>
          <cell r="G72">
            <v>5.1125600000000002</v>
          </cell>
          <cell r="W72">
            <v>200</v>
          </cell>
          <cell r="X72">
            <v>275.89999999999998</v>
          </cell>
          <cell r="Z72">
            <v>40</v>
          </cell>
          <cell r="AC72">
            <v>402.01349564340143</v>
          </cell>
          <cell r="AD72">
            <v>333.140689450651</v>
          </cell>
          <cell r="AI72">
            <v>0</v>
          </cell>
        </row>
        <row r="73">
          <cell r="A73">
            <v>200</v>
          </cell>
          <cell r="D73">
            <v>271.62299999999999</v>
          </cell>
          <cell r="F73">
            <v>7.2080299999999999</v>
          </cell>
          <cell r="G73">
            <v>5.3569500000000003</v>
          </cell>
          <cell r="W73">
            <v>205</v>
          </cell>
          <cell r="X73">
            <v>271.2</v>
          </cell>
          <cell r="Z73">
            <v>41</v>
          </cell>
          <cell r="AC73">
            <v>401.97078248299704</v>
          </cell>
          <cell r="AD73">
            <v>333.12832477118297</v>
          </cell>
          <cell r="AI73">
            <v>0</v>
          </cell>
        </row>
        <row r="74">
          <cell r="A74">
            <v>205</v>
          </cell>
          <cell r="D74">
            <v>266.70600000000002</v>
          </cell>
          <cell r="F74">
            <v>5.38049</v>
          </cell>
          <cell r="G74">
            <v>5.6197699999999999</v>
          </cell>
          <cell r="W74">
            <v>210</v>
          </cell>
          <cell r="X74">
            <v>266.39999999999998</v>
          </cell>
          <cell r="Z74">
            <v>42</v>
          </cell>
          <cell r="AC74">
            <v>401.92680059922452</v>
          </cell>
          <cell r="AD74">
            <v>333.11351132087555</v>
          </cell>
          <cell r="AI74">
            <v>0</v>
          </cell>
        </row>
        <row r="75">
          <cell r="A75">
            <v>210</v>
          </cell>
          <cell r="D75">
            <v>260.59699999999998</v>
          </cell>
          <cell r="F75">
            <v>2.2028500000000002</v>
          </cell>
          <cell r="G75">
            <v>5.9303800000000004</v>
          </cell>
          <cell r="W75">
            <v>215</v>
          </cell>
          <cell r="X75">
            <v>261.8</v>
          </cell>
          <cell r="Z75">
            <v>43</v>
          </cell>
          <cell r="AC75">
            <v>401.88213128147652</v>
          </cell>
          <cell r="AD75">
            <v>333.09790081524091</v>
          </cell>
          <cell r="AI75">
            <v>0</v>
          </cell>
        </row>
        <row r="76">
          <cell r="A76">
            <v>215</v>
          </cell>
          <cell r="D76">
            <v>253.88</v>
          </cell>
          <cell r="F76">
            <v>7.0913199999999996E-2</v>
          </cell>
          <cell r="G76">
            <v>6.2386999999999997</v>
          </cell>
          <cell r="W76">
            <v>220</v>
          </cell>
          <cell r="X76">
            <v>256.89999999999998</v>
          </cell>
          <cell r="Z76">
            <v>44</v>
          </cell>
          <cell r="AC76">
            <v>401.83752438267334</v>
          </cell>
          <cell r="AD76">
            <v>333.08222789066133</v>
          </cell>
          <cell r="AI76">
            <v>0</v>
          </cell>
        </row>
        <row r="77">
          <cell r="A77">
            <v>220</v>
          </cell>
          <cell r="D77">
            <v>249.37200000000001</v>
          </cell>
          <cell r="F77">
            <v>6.7461300000000002E-2</v>
          </cell>
          <cell r="G77">
            <v>6.5346599999999997</v>
          </cell>
          <cell r="W77">
            <v>225</v>
          </cell>
          <cell r="X77">
            <v>251.4</v>
          </cell>
          <cell r="Z77">
            <v>45</v>
          </cell>
          <cell r="AC77">
            <v>401.79094937862101</v>
          </cell>
          <cell r="AD77">
            <v>333.0660145155374</v>
          </cell>
          <cell r="AI77">
            <v>0</v>
          </cell>
        </row>
        <row r="78">
          <cell r="A78">
            <v>225</v>
          </cell>
          <cell r="D78">
            <v>243.19800000000001</v>
          </cell>
          <cell r="F78">
            <v>6.0627199999999999E-2</v>
          </cell>
          <cell r="G78">
            <v>6.8105500000000001</v>
          </cell>
          <cell r="W78">
            <v>230</v>
          </cell>
          <cell r="X78">
            <v>246</v>
          </cell>
          <cell r="Z78">
            <v>46</v>
          </cell>
          <cell r="AC78">
            <v>401.72617734865332</v>
          </cell>
          <cell r="AD78">
            <v>333.04542528722573</v>
          </cell>
          <cell r="AI78">
            <v>0</v>
          </cell>
        </row>
        <row r="79">
          <cell r="A79">
            <v>230</v>
          </cell>
          <cell r="D79">
            <v>237.21700000000001</v>
          </cell>
          <cell r="F79">
            <v>5.7056200000000001E-2</v>
          </cell>
          <cell r="G79">
            <v>7.0648499999999999</v>
          </cell>
          <cell r="W79">
            <v>235</v>
          </cell>
          <cell r="X79">
            <v>240.8</v>
          </cell>
          <cell r="Z79">
            <v>47</v>
          </cell>
          <cell r="AC79">
            <v>401.65715743992627</v>
          </cell>
          <cell r="AD79">
            <v>333.02370835685502</v>
          </cell>
          <cell r="AI79">
            <v>0</v>
          </cell>
        </row>
        <row r="80">
          <cell r="A80">
            <v>235</v>
          </cell>
          <cell r="D80">
            <v>231.429</v>
          </cell>
          <cell r="F80">
            <v>5.3555899999999997E-2</v>
          </cell>
          <cell r="G80">
            <v>7.3013300000000001</v>
          </cell>
          <cell r="W80">
            <v>240</v>
          </cell>
          <cell r="X80">
            <v>234.7</v>
          </cell>
          <cell r="Z80">
            <v>48</v>
          </cell>
          <cell r="AC80">
            <v>401.59828034347368</v>
          </cell>
          <cell r="AD80">
            <v>333.00387464445748</v>
          </cell>
          <cell r="AI80">
            <v>0</v>
          </cell>
        </row>
        <row r="81">
          <cell r="A81">
            <v>240</v>
          </cell>
          <cell r="D81">
            <v>225.83600000000001</v>
          </cell>
          <cell r="F81">
            <v>5.00448E-2</v>
          </cell>
          <cell r="G81">
            <v>7.52095</v>
          </cell>
          <cell r="W81">
            <v>245</v>
          </cell>
          <cell r="X81">
            <v>228.1</v>
          </cell>
          <cell r="Z81">
            <v>49</v>
          </cell>
          <cell r="AC81">
            <v>401.57255075379004</v>
          </cell>
          <cell r="AD81">
            <v>332.9836672944578</v>
          </cell>
          <cell r="AI81">
            <v>0</v>
          </cell>
        </row>
        <row r="82">
          <cell r="A82">
            <v>245</v>
          </cell>
          <cell r="D82">
            <v>220.417</v>
          </cell>
          <cell r="F82">
            <v>4.65244E-2</v>
          </cell>
          <cell r="G82">
            <v>7.72464</v>
          </cell>
          <cell r="W82">
            <v>250</v>
          </cell>
          <cell r="X82">
            <v>222</v>
          </cell>
          <cell r="Z82">
            <v>50</v>
          </cell>
          <cell r="AC82">
            <v>401.55825942077411</v>
          </cell>
          <cell r="AD82">
            <v>332.96501265750317</v>
          </cell>
          <cell r="AI82">
            <v>0</v>
          </cell>
        </row>
        <row r="83">
          <cell r="A83">
            <v>250</v>
          </cell>
          <cell r="D83">
            <v>215.172</v>
          </cell>
          <cell r="F83">
            <v>4.2995499999999999E-2</v>
          </cell>
          <cell r="G83">
            <v>7.9133599999999999</v>
          </cell>
          <cell r="W83">
            <v>255</v>
          </cell>
          <cell r="X83">
            <v>216.1</v>
          </cell>
          <cell r="Z83">
            <v>51</v>
          </cell>
          <cell r="AC83">
            <v>401.60768083926473</v>
          </cell>
          <cell r="AD83">
            <v>332.96204260733589</v>
          </cell>
          <cell r="AI83">
            <v>0</v>
          </cell>
        </row>
        <row r="84">
          <cell r="A84">
            <v>255</v>
          </cell>
          <cell r="D84">
            <v>210.095</v>
          </cell>
          <cell r="F84">
            <v>3.9447400000000001E-2</v>
          </cell>
          <cell r="G84">
            <v>8.08901</v>
          </cell>
          <cell r="W84">
            <v>260</v>
          </cell>
          <cell r="X84">
            <v>210.6</v>
          </cell>
          <cell r="Z84">
            <v>52</v>
          </cell>
          <cell r="AC84">
            <v>401.66525961551207</v>
          </cell>
          <cell r="AD84">
            <v>332.96053937945231</v>
          </cell>
          <cell r="AI84">
            <v>0</v>
          </cell>
        </row>
        <row r="85">
          <cell r="A85">
            <v>260</v>
          </cell>
          <cell r="D85">
            <v>205.184</v>
          </cell>
          <cell r="F85">
            <v>3.5894299999999997E-2</v>
          </cell>
          <cell r="G85">
            <v>8.2515800000000006</v>
          </cell>
          <cell r="W85">
            <v>265</v>
          </cell>
          <cell r="X85">
            <v>204.2</v>
          </cell>
          <cell r="Z85">
            <v>53</v>
          </cell>
          <cell r="AC85">
            <v>401.6972550552365</v>
          </cell>
          <cell r="AD85">
            <v>332.95934661869967</v>
          </cell>
          <cell r="AI85">
            <v>0</v>
          </cell>
        </row>
        <row r="86">
          <cell r="A86">
            <v>265</v>
          </cell>
          <cell r="D86">
            <v>200.43299999999999</v>
          </cell>
          <cell r="F86">
            <v>3.2371900000000002E-2</v>
          </cell>
          <cell r="G86">
            <v>8.4040400000000002</v>
          </cell>
          <cell r="W86">
            <v>270</v>
          </cell>
          <cell r="X86">
            <v>197.8</v>
          </cell>
          <cell r="Z86">
            <v>54</v>
          </cell>
          <cell r="AC86">
            <v>401.70399297751999</v>
          </cell>
          <cell r="AD86">
            <v>332.94702795387752</v>
          </cell>
          <cell r="AI86">
            <v>0</v>
          </cell>
        </row>
        <row r="87">
          <cell r="A87">
            <v>270</v>
          </cell>
          <cell r="D87">
            <v>195.83600000000001</v>
          </cell>
          <cell r="F87">
            <v>3.2313799999999997E-2</v>
          </cell>
          <cell r="G87">
            <v>8.5413999999999994</v>
          </cell>
          <cell r="W87">
            <v>275</v>
          </cell>
          <cell r="X87">
            <v>191.6</v>
          </cell>
          <cell r="Z87">
            <v>55</v>
          </cell>
          <cell r="AC87">
            <v>401.62631480019553</v>
          </cell>
          <cell r="AD87">
            <v>332.90030839568584</v>
          </cell>
          <cell r="AI87">
            <v>0</v>
          </cell>
        </row>
        <row r="88">
          <cell r="A88">
            <v>275</v>
          </cell>
          <cell r="D88">
            <v>191.39</v>
          </cell>
          <cell r="F88">
            <v>2.8753600000000001E-2</v>
          </cell>
          <cell r="G88">
            <v>8.6706400000000006</v>
          </cell>
          <cell r="W88">
            <v>280</v>
          </cell>
          <cell r="X88">
            <v>185.8</v>
          </cell>
          <cell r="Z88">
            <v>56</v>
          </cell>
          <cell r="AC88">
            <v>401.42252191855238</v>
          </cell>
          <cell r="AD88">
            <v>332.81340794983856</v>
          </cell>
          <cell r="AI88">
            <v>0</v>
          </cell>
        </row>
        <row r="89">
          <cell r="A89">
            <v>280</v>
          </cell>
          <cell r="D89">
            <v>187.09</v>
          </cell>
          <cell r="F89">
            <v>2.8734200000000001E-2</v>
          </cell>
          <cell r="G89">
            <v>8.7927700000000009</v>
          </cell>
          <cell r="W89">
            <v>285</v>
          </cell>
          <cell r="X89">
            <v>180.2</v>
          </cell>
          <cell r="Z89">
            <v>57</v>
          </cell>
          <cell r="AC89">
            <v>401.18176449315149</v>
          </cell>
          <cell r="AD89">
            <v>332.74613175027309</v>
          </cell>
          <cell r="AI89">
            <v>0</v>
          </cell>
        </row>
        <row r="90">
          <cell r="A90">
            <v>285</v>
          </cell>
          <cell r="D90">
            <v>182.92599999999999</v>
          </cell>
          <cell r="F90">
            <v>2.51709E-2</v>
          </cell>
          <cell r="G90">
            <v>8.9007699999999996</v>
          </cell>
          <cell r="W90">
            <v>290</v>
          </cell>
          <cell r="X90">
            <v>175</v>
          </cell>
          <cell r="Z90">
            <v>58</v>
          </cell>
          <cell r="AC90">
            <v>400.95217258502367</v>
          </cell>
          <cell r="AD90">
            <v>332.67701213298363</v>
          </cell>
          <cell r="AI90">
            <v>0</v>
          </cell>
        </row>
        <row r="91">
          <cell r="A91">
            <v>290</v>
          </cell>
          <cell r="D91">
            <v>178.898</v>
          </cell>
          <cell r="F91">
            <v>2.1598900000000001E-2</v>
          </cell>
          <cell r="G91">
            <v>9.0066799999999994</v>
          </cell>
          <cell r="W91">
            <v>295</v>
          </cell>
          <cell r="X91">
            <v>170.3</v>
          </cell>
          <cell r="Z91">
            <v>59</v>
          </cell>
          <cell r="AC91">
            <v>400.7349128681563</v>
          </cell>
          <cell r="AD91">
            <v>332.60368313870089</v>
          </cell>
          <cell r="AI91">
            <v>0</v>
          </cell>
        </row>
        <row r="92">
          <cell r="A92">
            <v>295</v>
          </cell>
          <cell r="D92">
            <v>175.00299999999999</v>
          </cell>
          <cell r="F92">
            <v>2.1587800000000001E-2</v>
          </cell>
          <cell r="G92">
            <v>9.0984400000000001</v>
          </cell>
          <cell r="W92">
            <v>300</v>
          </cell>
          <cell r="X92">
            <v>165.7</v>
          </cell>
          <cell r="Z92">
            <v>60</v>
          </cell>
          <cell r="AC92">
            <v>400.48619006378914</v>
          </cell>
          <cell r="AD92">
            <v>332.63481239638423</v>
          </cell>
          <cell r="AI92">
            <v>0</v>
          </cell>
        </row>
        <row r="93">
          <cell r="A93">
            <v>300</v>
          </cell>
          <cell r="D93">
            <v>171.232</v>
          </cell>
          <cell r="F93">
            <v>2.1574800000000002E-2</v>
          </cell>
          <cell r="G93">
            <v>9.1901299999999999</v>
          </cell>
          <cell r="W93">
            <v>305</v>
          </cell>
          <cell r="X93">
            <v>161.5</v>
          </cell>
          <cell r="Z93">
            <v>61</v>
          </cell>
          <cell r="AC93">
            <v>400.18632857869557</v>
          </cell>
          <cell r="AD93">
            <v>332.5971012222243</v>
          </cell>
          <cell r="AI93">
            <v>0</v>
          </cell>
        </row>
        <row r="94">
          <cell r="A94">
            <v>305</v>
          </cell>
          <cell r="D94">
            <v>167.583</v>
          </cell>
          <cell r="F94">
            <v>2.60126E-2</v>
          </cell>
          <cell r="G94">
            <v>9.2686700000000002</v>
          </cell>
          <cell r="W94">
            <v>310</v>
          </cell>
          <cell r="X94">
            <v>157.6</v>
          </cell>
          <cell r="Z94">
            <v>62</v>
          </cell>
          <cell r="AC94">
            <v>399.8960257657659</v>
          </cell>
          <cell r="AD94">
            <v>332.47881658706171</v>
          </cell>
          <cell r="AI94">
            <v>0</v>
          </cell>
        </row>
        <row r="95">
          <cell r="A95">
            <v>310</v>
          </cell>
          <cell r="D95">
            <v>163.691</v>
          </cell>
          <cell r="F95">
            <v>2.5956699999999999E-2</v>
          </cell>
          <cell r="G95">
            <v>9.3789999999999996</v>
          </cell>
          <cell r="W95">
            <v>315</v>
          </cell>
          <cell r="X95">
            <v>154</v>
          </cell>
          <cell r="Z95">
            <v>63</v>
          </cell>
          <cell r="AC95">
            <v>399.63280728419278</v>
          </cell>
          <cell r="AD95">
            <v>332.43887128490616</v>
          </cell>
          <cell r="AI95">
            <v>0</v>
          </cell>
        </row>
        <row r="96">
          <cell r="A96">
            <v>315</v>
          </cell>
          <cell r="D96">
            <v>159.66999999999999</v>
          </cell>
          <cell r="F96">
            <v>2.0797699999999999E-2</v>
          </cell>
          <cell r="G96">
            <v>9.4717699999999994</v>
          </cell>
          <cell r="W96">
            <v>320</v>
          </cell>
          <cell r="X96">
            <v>150.9</v>
          </cell>
          <cell r="Z96">
            <v>64</v>
          </cell>
          <cell r="AC96">
            <v>399.32631716681936</v>
          </cell>
          <cell r="AD96">
            <v>332.45268485881951</v>
          </cell>
          <cell r="AI96">
            <v>0</v>
          </cell>
        </row>
        <row r="97">
          <cell r="A97">
            <v>320</v>
          </cell>
          <cell r="D97">
            <v>156.142</v>
          </cell>
          <cell r="F97">
            <v>2.07893E-2</v>
          </cell>
          <cell r="G97">
            <v>9.5601199999999995</v>
          </cell>
          <cell r="W97">
            <v>325</v>
          </cell>
          <cell r="X97">
            <v>148</v>
          </cell>
          <cell r="Z97">
            <v>65</v>
          </cell>
          <cell r="AC97">
            <v>399.0148357999069</v>
          </cell>
          <cell r="AD97">
            <v>332.31298004089376</v>
          </cell>
          <cell r="AI97">
            <v>0</v>
          </cell>
        </row>
        <row r="98">
          <cell r="A98">
            <v>325</v>
          </cell>
          <cell r="D98">
            <v>152.72300000000001</v>
          </cell>
          <cell r="F98">
            <v>1.5620999999999999E-2</v>
          </cell>
          <cell r="G98">
            <v>9.6367399999999996</v>
          </cell>
          <cell r="W98">
            <v>330</v>
          </cell>
          <cell r="X98">
            <v>145.4</v>
          </cell>
          <cell r="Z98">
            <v>66</v>
          </cell>
          <cell r="AC98">
            <v>398.73244199013709</v>
          </cell>
          <cell r="AD98">
            <v>332.11377618035249</v>
          </cell>
          <cell r="AI98">
            <v>0</v>
          </cell>
        </row>
        <row r="99">
          <cell r="A99">
            <v>330</v>
          </cell>
          <cell r="D99">
            <v>149.429</v>
          </cell>
          <cell r="F99">
            <v>1.56151E-2</v>
          </cell>
          <cell r="G99">
            <v>9.7030999999999992</v>
          </cell>
          <cell r="W99">
            <v>335</v>
          </cell>
          <cell r="X99">
            <v>142.9</v>
          </cell>
          <cell r="Z99">
            <v>67</v>
          </cell>
          <cell r="AC99">
            <v>398.45435147582424</v>
          </cell>
          <cell r="AD99">
            <v>331.91212153381861</v>
          </cell>
          <cell r="AI99">
            <v>0</v>
          </cell>
        </row>
        <row r="100">
          <cell r="A100">
            <v>335</v>
          </cell>
          <cell r="D100">
            <v>146.251</v>
          </cell>
          <cell r="F100">
            <v>1.56095E-2</v>
          </cell>
          <cell r="G100">
            <v>9.7694299999999998</v>
          </cell>
          <cell r="W100">
            <v>340</v>
          </cell>
          <cell r="X100">
            <v>140.6</v>
          </cell>
          <cell r="Z100">
            <v>68</v>
          </cell>
          <cell r="AC100">
            <v>398.26111157474384</v>
          </cell>
          <cell r="AD100">
            <v>331.75957372514642</v>
          </cell>
          <cell r="AI100">
            <v>0</v>
          </cell>
        </row>
        <row r="101">
          <cell r="A101">
            <v>340</v>
          </cell>
          <cell r="D101">
            <v>143.18600000000001</v>
          </cell>
          <cell r="F101">
            <v>1.0430699999999999E-2</v>
          </cell>
          <cell r="G101">
            <v>9.8240200000000009</v>
          </cell>
          <cell r="W101">
            <v>345</v>
          </cell>
          <cell r="X101">
            <v>138.6</v>
          </cell>
          <cell r="Z101">
            <v>69</v>
          </cell>
          <cell r="AC101">
            <v>398.01826955633885</v>
          </cell>
          <cell r="AD101">
            <v>331.67282071092995</v>
          </cell>
          <cell r="AI101">
            <v>0</v>
          </cell>
        </row>
        <row r="102">
          <cell r="A102">
            <v>345</v>
          </cell>
          <cell r="D102">
            <v>140.22900000000001</v>
          </cell>
          <cell r="F102">
            <v>1.0427199999999999E-2</v>
          </cell>
          <cell r="G102">
            <v>9.8683399999999999</v>
          </cell>
          <cell r="W102">
            <v>350</v>
          </cell>
          <cell r="X102">
            <v>136.80000000000001</v>
          </cell>
          <cell r="Z102">
            <v>70</v>
          </cell>
          <cell r="AC102">
            <v>397.73865060927744</v>
          </cell>
          <cell r="AD102">
            <v>331.56860949032773</v>
          </cell>
          <cell r="AI102">
            <v>0</v>
          </cell>
        </row>
        <row r="103">
          <cell r="A103">
            <v>350</v>
          </cell>
          <cell r="D103">
            <v>137.376</v>
          </cell>
          <cell r="F103">
            <v>1.04238E-2</v>
          </cell>
          <cell r="G103">
            <v>9.9126300000000001</v>
          </cell>
          <cell r="W103">
            <v>355</v>
          </cell>
          <cell r="X103">
            <v>135.1</v>
          </cell>
          <cell r="Z103">
            <v>71</v>
          </cell>
          <cell r="AC103">
            <v>397.50936318086923</v>
          </cell>
          <cell r="AD103">
            <v>331.49343036220301</v>
          </cell>
          <cell r="AI103">
            <v>0</v>
          </cell>
        </row>
        <row r="104">
          <cell r="A104">
            <v>355</v>
          </cell>
          <cell r="D104">
            <v>134.62200000000001</v>
          </cell>
          <cell r="F104">
            <v>1.04206E-2</v>
          </cell>
          <cell r="G104">
            <v>9.9569200000000002</v>
          </cell>
          <cell r="W104">
            <v>360</v>
          </cell>
          <cell r="X104">
            <v>133.1</v>
          </cell>
          <cell r="Z104">
            <v>72</v>
          </cell>
          <cell r="AC104">
            <v>397.22452368871222</v>
          </cell>
          <cell r="AD104">
            <v>331.43780834210372</v>
          </cell>
          <cell r="AI104">
            <v>0</v>
          </cell>
        </row>
        <row r="105">
          <cell r="A105">
            <v>360</v>
          </cell>
          <cell r="D105">
            <v>131.965</v>
          </cell>
          <cell r="F105">
            <v>0.14297199999999999</v>
          </cell>
          <cell r="G105">
            <v>10.001200000000001</v>
          </cell>
          <cell r="W105">
            <v>365</v>
          </cell>
          <cell r="X105">
            <v>130.9</v>
          </cell>
          <cell r="Z105">
            <v>73</v>
          </cell>
          <cell r="AC105">
            <v>396.91399280812669</v>
          </cell>
          <cell r="AD105">
            <v>331.38271514682759</v>
          </cell>
          <cell r="AI105">
            <v>0</v>
          </cell>
        </row>
        <row r="106">
          <cell r="A106">
            <v>365</v>
          </cell>
          <cell r="D106">
            <v>129.399</v>
          </cell>
          <cell r="F106">
            <v>0.143265</v>
          </cell>
          <cell r="G106">
            <v>10.608599999999999</v>
          </cell>
          <cell r="W106">
            <v>370</v>
          </cell>
          <cell r="X106">
            <v>128.4</v>
          </cell>
          <cell r="Z106">
            <v>74</v>
          </cell>
          <cell r="AC106">
            <v>396.67754696207049</v>
          </cell>
          <cell r="AD106">
            <v>331.15412516094347</v>
          </cell>
          <cell r="AI106">
            <v>0</v>
          </cell>
        </row>
        <row r="107">
          <cell r="A107">
            <v>370</v>
          </cell>
          <cell r="D107">
            <v>126.923</v>
          </cell>
          <cell r="F107">
            <v>0.13711400000000001</v>
          </cell>
          <cell r="G107">
            <v>11.2182</v>
          </cell>
          <cell r="W107">
            <v>375</v>
          </cell>
          <cell r="X107">
            <v>125.7</v>
          </cell>
          <cell r="Z107">
            <v>75</v>
          </cell>
          <cell r="AC107">
            <v>396.13976313371575</v>
          </cell>
          <cell r="AD107">
            <v>331.01280265269497</v>
          </cell>
          <cell r="AI107">
            <v>0</v>
          </cell>
        </row>
        <row r="108">
          <cell r="A108">
            <v>375</v>
          </cell>
          <cell r="D108">
            <v>124.533</v>
          </cell>
          <cell r="F108">
            <v>0.13641</v>
          </cell>
          <cell r="G108">
            <v>11.830500000000001</v>
          </cell>
          <cell r="W108">
            <v>380</v>
          </cell>
          <cell r="X108">
            <v>123</v>
          </cell>
          <cell r="Z108">
            <v>76</v>
          </cell>
          <cell r="AC108">
            <v>395.36341129894765</v>
          </cell>
          <cell r="AD108">
            <v>330.90746793228823</v>
          </cell>
          <cell r="AI108">
            <v>0</v>
          </cell>
        </row>
        <row r="109">
          <cell r="A109">
            <v>380</v>
          </cell>
          <cell r="D109">
            <v>122.22499999999999</v>
          </cell>
          <cell r="F109">
            <v>0.145148</v>
          </cell>
          <cell r="G109">
            <v>12.445399999999999</v>
          </cell>
          <cell r="W109">
            <v>385</v>
          </cell>
          <cell r="X109">
            <v>120.4</v>
          </cell>
          <cell r="Z109">
            <v>77</v>
          </cell>
          <cell r="AC109">
            <v>394.46135102085447</v>
          </cell>
          <cell r="AD109">
            <v>330.78620032879991</v>
          </cell>
          <cell r="AI109">
            <v>0</v>
          </cell>
        </row>
        <row r="110">
          <cell r="A110">
            <v>385</v>
          </cell>
          <cell r="D110">
            <v>119.996</v>
          </cell>
          <cell r="F110">
            <v>0.34883599999999998</v>
          </cell>
          <cell r="G110">
            <v>13.0631</v>
          </cell>
          <cell r="W110">
            <v>390</v>
          </cell>
          <cell r="X110">
            <v>117.6</v>
          </cell>
          <cell r="Z110">
            <v>78</v>
          </cell>
          <cell r="AC110">
            <v>393.33774212548246</v>
          </cell>
          <cell r="AD110">
            <v>330.62311652743324</v>
          </cell>
          <cell r="AI110">
            <v>0</v>
          </cell>
        </row>
        <row r="111">
          <cell r="A111">
            <v>390</v>
          </cell>
          <cell r="D111">
            <v>117.80800000000001</v>
          </cell>
          <cell r="F111">
            <v>0.36513800000000002</v>
          </cell>
          <cell r="G111">
            <v>14.622999999999999</v>
          </cell>
          <cell r="W111">
            <v>395</v>
          </cell>
          <cell r="X111">
            <v>114.9</v>
          </cell>
          <cell r="Z111">
            <v>79</v>
          </cell>
          <cell r="AC111">
            <v>392.24908322371357</v>
          </cell>
          <cell r="AD111">
            <v>330.42476271781368</v>
          </cell>
          <cell r="AI111">
            <v>0</v>
          </cell>
        </row>
        <row r="112">
          <cell r="A112">
            <v>395</v>
          </cell>
          <cell r="D112">
            <v>115.49299999999999</v>
          </cell>
          <cell r="F112">
            <v>0.39511200000000002</v>
          </cell>
          <cell r="G112">
            <v>15.559200000000001</v>
          </cell>
          <cell r="W112">
            <v>400</v>
          </cell>
          <cell r="X112">
            <v>112.6</v>
          </cell>
          <cell r="Z112">
            <v>80</v>
          </cell>
          <cell r="AC112">
            <v>391.30083751690103</v>
          </cell>
          <cell r="AD112">
            <v>330.1900768623787</v>
          </cell>
          <cell r="AI112">
            <v>0</v>
          </cell>
        </row>
        <row r="113">
          <cell r="A113">
            <v>400</v>
          </cell>
          <cell r="D113">
            <v>113.23</v>
          </cell>
          <cell r="F113">
            <v>0.39511200000000002</v>
          </cell>
          <cell r="G113">
            <v>15.956799999999999</v>
          </cell>
          <cell r="W113">
            <v>405</v>
          </cell>
          <cell r="X113">
            <v>110.6</v>
          </cell>
          <cell r="Z113">
            <v>81</v>
          </cell>
          <cell r="AC113">
            <v>390.49139754187206</v>
          </cell>
          <cell r="AD113">
            <v>329.94085168277763</v>
          </cell>
          <cell r="AI113">
            <v>0</v>
          </cell>
        </row>
        <row r="114">
          <cell r="A114">
            <v>405</v>
          </cell>
          <cell r="D114">
            <v>111.098</v>
          </cell>
          <cell r="F114">
            <v>0.39511200000000002</v>
          </cell>
          <cell r="G114">
            <v>16.354399999999998</v>
          </cell>
          <cell r="W114">
            <v>410</v>
          </cell>
          <cell r="X114">
            <v>108.4</v>
          </cell>
          <cell r="Z114">
            <v>82</v>
          </cell>
          <cell r="AC114">
            <v>389.73056836903066</v>
          </cell>
          <cell r="AD114">
            <v>329.67806699420981</v>
          </cell>
          <cell r="AI114">
            <v>0</v>
          </cell>
        </row>
        <row r="115">
          <cell r="A115">
            <v>410</v>
          </cell>
          <cell r="D115">
            <v>109.02800000000001</v>
          </cell>
          <cell r="F115">
            <v>0.39511200000000002</v>
          </cell>
          <cell r="G115">
            <v>16.751999999999999</v>
          </cell>
          <cell r="W115">
            <v>415</v>
          </cell>
          <cell r="X115">
            <v>106.1</v>
          </cell>
          <cell r="Z115">
            <v>83</v>
          </cell>
          <cell r="AC115">
            <v>389.08362325440555</v>
          </cell>
          <cell r="AD115">
            <v>329.41750587048818</v>
          </cell>
          <cell r="AI115">
            <v>0</v>
          </cell>
        </row>
        <row r="116">
          <cell r="A116">
            <v>415</v>
          </cell>
          <cell r="D116">
            <v>107.059</v>
          </cell>
          <cell r="F116">
            <v>0.39511200000000002</v>
          </cell>
          <cell r="G116">
            <v>17.1496</v>
          </cell>
          <cell r="W116">
            <v>420</v>
          </cell>
          <cell r="X116">
            <v>104.4</v>
          </cell>
          <cell r="Z116">
            <v>84</v>
          </cell>
          <cell r="AC116">
            <v>388.51733008364351</v>
          </cell>
          <cell r="AD116">
            <v>329.17754334433675</v>
          </cell>
          <cell r="AI116">
            <v>0</v>
          </cell>
        </row>
        <row r="117">
          <cell r="A117">
            <v>420</v>
          </cell>
          <cell r="D117">
            <v>105.16</v>
          </cell>
          <cell r="F117">
            <v>0.39511200000000002</v>
          </cell>
          <cell r="G117">
            <v>17.5472</v>
          </cell>
          <cell r="W117">
            <v>425</v>
          </cell>
          <cell r="X117">
            <v>102.5</v>
          </cell>
          <cell r="Z117">
            <v>85</v>
          </cell>
          <cell r="AC117">
            <v>388.03334518168657</v>
          </cell>
          <cell r="AD117">
            <v>328.94971389104961</v>
          </cell>
          <cell r="AI117">
            <v>0</v>
          </cell>
        </row>
        <row r="118">
          <cell r="A118">
            <v>425</v>
          </cell>
          <cell r="D118">
            <v>103.334</v>
          </cell>
          <cell r="F118">
            <v>0.39511200000000002</v>
          </cell>
          <cell r="G118">
            <v>17.944800000000001</v>
          </cell>
          <cell r="W118">
            <v>430</v>
          </cell>
          <cell r="X118">
            <v>100.8</v>
          </cell>
          <cell r="Z118">
            <v>86</v>
          </cell>
          <cell r="AC118">
            <v>387.60927312882217</v>
          </cell>
          <cell r="AD118">
            <v>328.63271390885069</v>
          </cell>
          <cell r="AI118">
            <v>0</v>
          </cell>
        </row>
        <row r="119">
          <cell r="A119">
            <v>430</v>
          </cell>
          <cell r="D119">
            <v>101.57599999999999</v>
          </cell>
          <cell r="F119">
            <v>0.39511200000000002</v>
          </cell>
          <cell r="G119">
            <v>18.342400000000001</v>
          </cell>
          <cell r="W119">
            <v>435</v>
          </cell>
          <cell r="X119">
            <v>99.1</v>
          </cell>
          <cell r="Z119">
            <v>87</v>
          </cell>
          <cell r="AC119">
            <v>387.227932429747</v>
          </cell>
          <cell r="AD119">
            <v>328.32186490122336</v>
          </cell>
          <cell r="AI119">
            <v>0</v>
          </cell>
        </row>
        <row r="120">
          <cell r="A120">
            <v>435</v>
          </cell>
          <cell r="D120">
            <v>99.883600000000001</v>
          </cell>
          <cell r="F120">
            <v>0.39511200000000002</v>
          </cell>
          <cell r="G120">
            <v>18.739999999999998</v>
          </cell>
          <cell r="W120">
            <v>440</v>
          </cell>
          <cell r="X120">
            <v>97.3</v>
          </cell>
          <cell r="Z120">
            <v>88</v>
          </cell>
          <cell r="AC120">
            <v>386.92838962389447</v>
          </cell>
          <cell r="AD120">
            <v>328.13701187365456</v>
          </cell>
          <cell r="AI120">
            <v>0</v>
          </cell>
        </row>
        <row r="121">
          <cell r="A121">
            <v>440</v>
          </cell>
          <cell r="D121">
            <v>98.254199999999997</v>
          </cell>
          <cell r="F121">
            <v>0.39511200000000002</v>
          </cell>
          <cell r="G121">
            <v>19.137599999999999</v>
          </cell>
          <cell r="W121">
            <v>445</v>
          </cell>
          <cell r="X121">
            <v>95.4</v>
          </cell>
          <cell r="Z121">
            <v>89</v>
          </cell>
          <cell r="AC121">
            <v>386.60279948429479</v>
          </cell>
          <cell r="AD121">
            <v>327.96833218199856</v>
          </cell>
          <cell r="AI121">
            <v>0</v>
          </cell>
        </row>
        <row r="122">
          <cell r="A122">
            <v>445</v>
          </cell>
          <cell r="D122">
            <v>96.6845</v>
          </cell>
          <cell r="F122">
            <v>0.39511200000000002</v>
          </cell>
          <cell r="G122">
            <v>19.5352</v>
          </cell>
          <cell r="W122">
            <v>450</v>
          </cell>
          <cell r="X122">
            <v>93.6</v>
          </cell>
          <cell r="Z122">
            <v>90</v>
          </cell>
          <cell r="AC122">
            <v>386.27830395315976</v>
          </cell>
          <cell r="AD122">
            <v>327.79740233124522</v>
          </cell>
          <cell r="AI122">
            <v>0</v>
          </cell>
        </row>
        <row r="123">
          <cell r="A123">
            <v>450</v>
          </cell>
          <cell r="D123">
            <v>95.172899999999998</v>
          </cell>
          <cell r="F123">
            <v>0.39511200000000002</v>
          </cell>
          <cell r="G123">
            <v>19.9328</v>
          </cell>
          <cell r="W123">
            <v>455</v>
          </cell>
          <cell r="X123">
            <v>92.6</v>
          </cell>
          <cell r="Z123">
            <v>91</v>
          </cell>
          <cell r="AC123">
            <v>386.0108515552638</v>
          </cell>
          <cell r="AD123">
            <v>327.66096913468891</v>
          </cell>
          <cell r="AI123">
            <v>0</v>
          </cell>
        </row>
        <row r="124">
          <cell r="A124">
            <v>455</v>
          </cell>
          <cell r="D124">
            <v>93.716200000000001</v>
          </cell>
          <cell r="F124">
            <v>0.39511200000000002</v>
          </cell>
          <cell r="G124">
            <v>20.330400000000001</v>
          </cell>
          <cell r="W124">
            <v>460</v>
          </cell>
          <cell r="X124">
            <v>93.1</v>
          </cell>
          <cell r="Z124">
            <v>92</v>
          </cell>
          <cell r="AC124">
            <v>385.72654236547982</v>
          </cell>
          <cell r="AD124">
            <v>327.49503650768332</v>
          </cell>
          <cell r="AI124">
            <v>0</v>
          </cell>
        </row>
        <row r="125">
          <cell r="A125">
            <v>460</v>
          </cell>
          <cell r="D125">
            <v>92.909099999999995</v>
          </cell>
          <cell r="F125">
            <v>1.7405799999999999E-4</v>
          </cell>
          <cell r="G125">
            <v>20.4099</v>
          </cell>
          <cell r="W125">
            <v>465</v>
          </cell>
          <cell r="X125">
            <v>95</v>
          </cell>
          <cell r="Z125">
            <v>93</v>
          </cell>
          <cell r="AC125">
            <v>385.47922852681637</v>
          </cell>
          <cell r="AD125">
            <v>327.3509253373108</v>
          </cell>
          <cell r="AI125">
            <v>0</v>
          </cell>
        </row>
        <row r="126">
          <cell r="A126">
            <v>465</v>
          </cell>
          <cell r="D126">
            <v>92.909099999999995</v>
          </cell>
          <cell r="F126">
            <v>1.7405799999999999E-4</v>
          </cell>
          <cell r="G126">
            <v>20.4101</v>
          </cell>
          <cell r="W126">
            <v>470</v>
          </cell>
          <cell r="X126">
            <v>96.5</v>
          </cell>
          <cell r="Z126">
            <v>94</v>
          </cell>
          <cell r="AC126">
            <v>385.29503810362371</v>
          </cell>
          <cell r="AD126">
            <v>327.26418153152986</v>
          </cell>
          <cell r="AI126">
            <v>0</v>
          </cell>
        </row>
        <row r="127">
          <cell r="A127">
            <v>470</v>
          </cell>
          <cell r="D127">
            <v>92.909099999999995</v>
          </cell>
          <cell r="F127">
            <v>1.7405799999999999E-4</v>
          </cell>
          <cell r="G127">
            <v>20.410299999999999</v>
          </cell>
          <cell r="W127">
            <v>475</v>
          </cell>
          <cell r="X127">
            <v>97.7</v>
          </cell>
          <cell r="Z127">
            <v>95</v>
          </cell>
          <cell r="AC127">
            <v>385.05004073496019</v>
          </cell>
          <cell r="AD127">
            <v>327.11755706098842</v>
          </cell>
          <cell r="AI127">
            <v>0</v>
          </cell>
        </row>
        <row r="128">
          <cell r="A128">
            <v>475</v>
          </cell>
          <cell r="D128">
            <v>92.909099999999995</v>
          </cell>
          <cell r="F128">
            <v>1.7405799999999999E-4</v>
          </cell>
          <cell r="G128">
            <v>20.410499999999999</v>
          </cell>
          <cell r="W128">
            <v>480</v>
          </cell>
          <cell r="X128">
            <v>98.6</v>
          </cell>
          <cell r="Z128">
            <v>96</v>
          </cell>
          <cell r="AC128">
            <v>384.66625757328461</v>
          </cell>
          <cell r="AD128">
            <v>326.93420668147724</v>
          </cell>
          <cell r="AI128">
            <v>0</v>
          </cell>
        </row>
        <row r="129">
          <cell r="A129">
            <v>480</v>
          </cell>
          <cell r="D129">
            <v>92.909099999999995</v>
          </cell>
          <cell r="F129">
            <v>1.7405799999999999E-4</v>
          </cell>
          <cell r="G129">
            <v>20.410599999999999</v>
          </cell>
          <cell r="W129">
            <v>485</v>
          </cell>
          <cell r="X129">
            <v>99.2</v>
          </cell>
          <cell r="Z129">
            <v>97</v>
          </cell>
          <cell r="AC129">
            <v>384.33477825691637</v>
          </cell>
          <cell r="AD129">
            <v>326.89172945613097</v>
          </cell>
          <cell r="AI129">
            <v>0</v>
          </cell>
        </row>
        <row r="130">
          <cell r="A130">
            <v>485</v>
          </cell>
          <cell r="D130">
            <v>92.909099999999995</v>
          </cell>
          <cell r="F130">
            <v>1.7405799999999999E-4</v>
          </cell>
          <cell r="G130">
            <v>20.410799999999998</v>
          </cell>
          <cell r="W130">
            <v>490</v>
          </cell>
          <cell r="X130">
            <v>99.2</v>
          </cell>
          <cell r="Z130">
            <v>98</v>
          </cell>
          <cell r="AC130">
            <v>383.97510705176404</v>
          </cell>
          <cell r="AD130">
            <v>326.7050453092142</v>
          </cell>
          <cell r="AI130">
            <v>0</v>
          </cell>
        </row>
        <row r="131">
          <cell r="A131">
            <v>490</v>
          </cell>
          <cell r="D131">
            <v>92.901200000000003</v>
          </cell>
          <cell r="F131">
            <v>1.7405799999999999E-4</v>
          </cell>
          <cell r="G131">
            <v>20.411000000000001</v>
          </cell>
          <cell r="W131">
            <v>495</v>
          </cell>
          <cell r="X131">
            <v>98.9</v>
          </cell>
          <cell r="Z131">
            <v>99</v>
          </cell>
          <cell r="AC131">
            <v>383.5462668522257</v>
          </cell>
          <cell r="AD131">
            <v>326.52573209596289</v>
          </cell>
          <cell r="AI131">
            <v>0</v>
          </cell>
        </row>
        <row r="132">
          <cell r="A132">
            <v>495</v>
          </cell>
          <cell r="D132">
            <v>92.901200000000003</v>
          </cell>
          <cell r="F132">
            <v>1.7405799999999999E-4</v>
          </cell>
          <cell r="G132">
            <v>20.411200000000001</v>
          </cell>
          <cell r="W132">
            <v>500</v>
          </cell>
          <cell r="X132">
            <v>98.4</v>
          </cell>
          <cell r="Z132">
            <v>100</v>
          </cell>
          <cell r="AC132">
            <v>383.19460868565972</v>
          </cell>
          <cell r="AD132">
            <v>326.38839682976851</v>
          </cell>
          <cell r="AI132">
            <v>0</v>
          </cell>
        </row>
        <row r="133">
          <cell r="A133">
            <v>500</v>
          </cell>
          <cell r="D133">
            <v>92.901200000000003</v>
          </cell>
          <cell r="F133">
            <v>1.7405799999999999E-4</v>
          </cell>
          <cell r="G133">
            <v>20.411300000000001</v>
          </cell>
          <cell r="Z133">
            <v>101</v>
          </cell>
          <cell r="AC133">
            <v>382.83091988823367</v>
          </cell>
          <cell r="AD133">
            <v>326.28656913021689</v>
          </cell>
          <cell r="AI133">
            <v>0</v>
          </cell>
        </row>
        <row r="134">
          <cell r="Z134">
            <v>102</v>
          </cell>
          <cell r="AC134">
            <v>382.53175522975727</v>
          </cell>
          <cell r="AD134">
            <v>326.17802728731436</v>
          </cell>
          <cell r="AI134">
            <v>0</v>
          </cell>
        </row>
        <row r="135">
          <cell r="Z135">
            <v>103</v>
          </cell>
          <cell r="AC135">
            <v>382.16541255888819</v>
          </cell>
          <cell r="AD135">
            <v>325.99094808342181</v>
          </cell>
          <cell r="AI135">
            <v>0</v>
          </cell>
        </row>
        <row r="136">
          <cell r="Z136">
            <v>104</v>
          </cell>
          <cell r="AC136">
            <v>381.83246231442348</v>
          </cell>
          <cell r="AD136">
            <v>325.82844774765687</v>
          </cell>
          <cell r="AI136">
            <v>0</v>
          </cell>
        </row>
        <row r="137">
          <cell r="Z137">
            <v>105</v>
          </cell>
          <cell r="AC137">
            <v>381.43879644149189</v>
          </cell>
          <cell r="AD137">
            <v>325.65881967337197</v>
          </cell>
          <cell r="AI137">
            <v>0</v>
          </cell>
        </row>
        <row r="138">
          <cell r="Z138">
            <v>106</v>
          </cell>
          <cell r="AC138">
            <v>381.13106044811008</v>
          </cell>
          <cell r="AD138">
            <v>325.39932343136064</v>
          </cell>
          <cell r="AI138">
            <v>0</v>
          </cell>
        </row>
        <row r="139">
          <cell r="Z139">
            <v>107</v>
          </cell>
          <cell r="AC139">
            <v>380.77096311576747</v>
          </cell>
          <cell r="AD139">
            <v>325.12785345781845</v>
          </cell>
          <cell r="AI139">
            <v>0</v>
          </cell>
        </row>
        <row r="140">
          <cell r="Z140">
            <v>108</v>
          </cell>
          <cell r="AC140">
            <v>380.39743360334239</v>
          </cell>
          <cell r="AD140">
            <v>324.84474736856737</v>
          </cell>
          <cell r="AI140">
            <v>0</v>
          </cell>
        </row>
        <row r="141">
          <cell r="Z141">
            <v>109</v>
          </cell>
          <cell r="AC141">
            <v>379.92478013411386</v>
          </cell>
          <cell r="AD141">
            <v>324.59494933278546</v>
          </cell>
          <cell r="AI141">
            <v>0</v>
          </cell>
        </row>
        <row r="142">
          <cell r="Z142">
            <v>110</v>
          </cell>
          <cell r="AC142">
            <v>379.39345102384124</v>
          </cell>
          <cell r="AD142">
            <v>324.36523380931629</v>
          </cell>
          <cell r="AI142">
            <v>0</v>
          </cell>
        </row>
        <row r="143">
          <cell r="Z143">
            <v>111</v>
          </cell>
          <cell r="AC143">
            <v>378.94406892452946</v>
          </cell>
          <cell r="AD143">
            <v>324.11915977533454</v>
          </cell>
          <cell r="AI143">
            <v>0</v>
          </cell>
        </row>
        <row r="144">
          <cell r="Z144">
            <v>112</v>
          </cell>
          <cell r="AC144">
            <v>378.50144259230387</v>
          </cell>
          <cell r="AD144">
            <v>323.88700910787622</v>
          </cell>
          <cell r="AI144">
            <v>0</v>
          </cell>
        </row>
        <row r="145">
          <cell r="Z145">
            <v>113</v>
          </cell>
          <cell r="AC145">
            <v>377.98368624170547</v>
          </cell>
          <cell r="AD145">
            <v>323.66980569316382</v>
          </cell>
          <cell r="AI145">
            <v>0</v>
          </cell>
        </row>
        <row r="146">
          <cell r="Z146">
            <v>114</v>
          </cell>
          <cell r="AC146">
            <v>377.20773739653112</v>
          </cell>
          <cell r="AD146">
            <v>323.50981838077553</v>
          </cell>
          <cell r="AI146">
            <v>0</v>
          </cell>
        </row>
        <row r="147">
          <cell r="Z147">
            <v>115</v>
          </cell>
          <cell r="AC147">
            <v>376.41136828424862</v>
          </cell>
          <cell r="AD147">
            <v>323.12810050765711</v>
          </cell>
          <cell r="AI147">
            <v>0</v>
          </cell>
        </row>
        <row r="148">
          <cell r="Z148">
            <v>116</v>
          </cell>
          <cell r="AC148">
            <v>375.63557214155725</v>
          </cell>
          <cell r="AD148">
            <v>322.48558335474917</v>
          </cell>
          <cell r="AI148">
            <v>0</v>
          </cell>
        </row>
        <row r="149">
          <cell r="Z149">
            <v>117</v>
          </cell>
          <cell r="AC149">
            <v>374.85619174945612</v>
          </cell>
          <cell r="AD149">
            <v>321.58270915741252</v>
          </cell>
          <cell r="AI149">
            <v>0</v>
          </cell>
        </row>
        <row r="150">
          <cell r="Z150">
            <v>118</v>
          </cell>
          <cell r="AC150">
            <v>374.25369724343761</v>
          </cell>
          <cell r="AD150">
            <v>320.4205872169465</v>
          </cell>
          <cell r="AI150">
            <v>0</v>
          </cell>
        </row>
        <row r="151">
          <cell r="Z151">
            <v>119</v>
          </cell>
          <cell r="AC151">
            <v>373.91484594655697</v>
          </cell>
          <cell r="AD151">
            <v>319.0385458485257</v>
          </cell>
          <cell r="AI151">
            <v>0</v>
          </cell>
        </row>
        <row r="152">
          <cell r="Z152">
            <v>120</v>
          </cell>
          <cell r="AC152">
            <v>373.77694801662653</v>
          </cell>
          <cell r="AD152">
            <v>317.56276395000179</v>
          </cell>
          <cell r="AI152">
            <v>0</v>
          </cell>
        </row>
        <row r="153">
          <cell r="Z153">
            <v>121</v>
          </cell>
          <cell r="AC153">
            <v>373.75030275853692</v>
          </cell>
          <cell r="AD153">
            <v>316.15757470833535</v>
          </cell>
          <cell r="AI153">
            <v>0</v>
          </cell>
        </row>
        <row r="154">
          <cell r="Z154">
            <v>122</v>
          </cell>
          <cell r="AC154">
            <v>373.86045958021913</v>
          </cell>
          <cell r="AD154">
            <v>314.72319663017487</v>
          </cell>
          <cell r="AI154">
            <v>0</v>
          </cell>
        </row>
        <row r="155">
          <cell r="Z155">
            <v>123</v>
          </cell>
          <cell r="AC155">
            <v>374.03702229809693</v>
          </cell>
          <cell r="AD155">
            <v>313.3109300745312</v>
          </cell>
          <cell r="AI155">
            <v>0</v>
          </cell>
        </row>
        <row r="156">
          <cell r="Z156">
            <v>124</v>
          </cell>
          <cell r="AC156">
            <v>374.21316654316178</v>
          </cell>
          <cell r="AD156">
            <v>311.95236306915075</v>
          </cell>
          <cell r="AI156">
            <v>0</v>
          </cell>
        </row>
        <row r="157">
          <cell r="Z157">
            <v>125</v>
          </cell>
          <cell r="AC157">
            <v>374.39277621592873</v>
          </cell>
          <cell r="AD157">
            <v>310.75541870449149</v>
          </cell>
          <cell r="AI157">
            <v>0</v>
          </cell>
        </row>
        <row r="158">
          <cell r="Z158">
            <v>126</v>
          </cell>
          <cell r="AC158">
            <v>374.55634439395817</v>
          </cell>
          <cell r="AD158">
            <v>309.55383798132459</v>
          </cell>
          <cell r="AI158">
            <v>0</v>
          </cell>
        </row>
        <row r="159">
          <cell r="Z159">
            <v>127</v>
          </cell>
          <cell r="AC159">
            <v>374.79628787261117</v>
          </cell>
          <cell r="AD159">
            <v>308.53084519687036</v>
          </cell>
          <cell r="AI159">
            <v>0</v>
          </cell>
        </row>
        <row r="160">
          <cell r="Z160">
            <v>128</v>
          </cell>
          <cell r="AC160">
            <v>375.00302541828353</v>
          </cell>
          <cell r="AD160">
            <v>307.56296516759289</v>
          </cell>
          <cell r="AI160">
            <v>0</v>
          </cell>
        </row>
        <row r="161">
          <cell r="Z161">
            <v>129</v>
          </cell>
          <cell r="AC161">
            <v>375.23443757867392</v>
          </cell>
          <cell r="AD161">
            <v>306.51141589445979</v>
          </cell>
          <cell r="AI161">
            <v>0</v>
          </cell>
        </row>
        <row r="162">
          <cell r="Z162">
            <v>130</v>
          </cell>
          <cell r="AC162">
            <v>375.39758847502355</v>
          </cell>
          <cell r="AD162">
            <v>305.67024852496775</v>
          </cell>
          <cell r="AI162">
            <v>0</v>
          </cell>
        </row>
        <row r="163">
          <cell r="Z163">
            <v>131</v>
          </cell>
          <cell r="AC163">
            <v>375.60051313454926</v>
          </cell>
          <cell r="AD163">
            <v>304.80070763898937</v>
          </cell>
          <cell r="AI163">
            <v>0</v>
          </cell>
        </row>
        <row r="164">
          <cell r="Z164">
            <v>132</v>
          </cell>
          <cell r="AC164">
            <v>375.80555493130385</v>
          </cell>
          <cell r="AD164">
            <v>303.94149165232466</v>
          </cell>
          <cell r="AI164">
            <v>0</v>
          </cell>
        </row>
        <row r="165">
          <cell r="Z165">
            <v>133</v>
          </cell>
          <cell r="AC165">
            <v>375.86335914531077</v>
          </cell>
          <cell r="AD165">
            <v>303.23611087405328</v>
          </cell>
          <cell r="AI165">
            <v>0</v>
          </cell>
        </row>
        <row r="166">
          <cell r="Z166">
            <v>134</v>
          </cell>
          <cell r="AC166">
            <v>375.94835216966374</v>
          </cell>
          <cell r="AD166">
            <v>302.56233305647049</v>
          </cell>
          <cell r="AI166">
            <v>0</v>
          </cell>
        </row>
        <row r="167">
          <cell r="Z167">
            <v>135</v>
          </cell>
          <cell r="AC167">
            <v>376.009281793063</v>
          </cell>
          <cell r="AD167">
            <v>301.86283872881029</v>
          </cell>
          <cell r="AI167">
            <v>0</v>
          </cell>
        </row>
        <row r="168">
          <cell r="Z168">
            <v>136</v>
          </cell>
          <cell r="AC168">
            <v>375.95219846560087</v>
          </cell>
          <cell r="AD168">
            <v>301.05158046627923</v>
          </cell>
          <cell r="AI168">
            <v>0</v>
          </cell>
        </row>
        <row r="169">
          <cell r="Z169">
            <v>137</v>
          </cell>
          <cell r="AC169">
            <v>375.91615761184653</v>
          </cell>
          <cell r="AD169">
            <v>300.38478148526656</v>
          </cell>
          <cell r="AI169">
            <v>0</v>
          </cell>
        </row>
        <row r="170">
          <cell r="Z170">
            <v>138</v>
          </cell>
          <cell r="AC170">
            <v>375.93183926327691</v>
          </cell>
          <cell r="AD170">
            <v>299.72081760560269</v>
          </cell>
          <cell r="AI170">
            <v>0</v>
          </cell>
        </row>
        <row r="171">
          <cell r="Z171">
            <v>139</v>
          </cell>
          <cell r="AC171">
            <v>375.93279244592151</v>
          </cell>
          <cell r="AD171">
            <v>299.23626413799508</v>
          </cell>
          <cell r="AI171">
            <v>0</v>
          </cell>
        </row>
        <row r="172">
          <cell r="Z172">
            <v>140</v>
          </cell>
          <cell r="AC172">
            <v>375.93116499795354</v>
          </cell>
          <cell r="AD172">
            <v>298.6150529147373</v>
          </cell>
          <cell r="AI172">
            <v>0</v>
          </cell>
        </row>
        <row r="173">
          <cell r="Z173">
            <v>141</v>
          </cell>
          <cell r="AC173">
            <v>375.96061637632056</v>
          </cell>
          <cell r="AD173">
            <v>298.03984191294956</v>
          </cell>
          <cell r="AI173">
            <v>0</v>
          </cell>
        </row>
        <row r="174">
          <cell r="Z174">
            <v>142</v>
          </cell>
          <cell r="AC174">
            <v>375.93382202008257</v>
          </cell>
          <cell r="AD174">
            <v>297.583462971335</v>
          </cell>
          <cell r="AI174">
            <v>0</v>
          </cell>
        </row>
        <row r="175">
          <cell r="Z175">
            <v>143</v>
          </cell>
          <cell r="AC175">
            <v>375.91440895437711</v>
          </cell>
          <cell r="AD175">
            <v>297.1234462805462</v>
          </cell>
          <cell r="AI175">
            <v>0</v>
          </cell>
        </row>
        <row r="176">
          <cell r="Z176">
            <v>144</v>
          </cell>
          <cell r="AC176">
            <v>375.95303957278736</v>
          </cell>
          <cell r="AD176">
            <v>296.645504094025</v>
          </cell>
          <cell r="AI176">
            <v>0</v>
          </cell>
        </row>
        <row r="177">
          <cell r="Z177">
            <v>145</v>
          </cell>
          <cell r="AC177">
            <v>375.95445708515149</v>
          </cell>
          <cell r="AD177">
            <v>296.17588129954277</v>
          </cell>
          <cell r="AI177">
            <v>0</v>
          </cell>
        </row>
        <row r="178">
          <cell r="Z178">
            <v>146</v>
          </cell>
          <cell r="AC178">
            <v>375.93826167334748</v>
          </cell>
          <cell r="AD178">
            <v>295.77438256337518</v>
          </cell>
          <cell r="AI178">
            <v>0</v>
          </cell>
        </row>
        <row r="179">
          <cell r="Z179">
            <v>147</v>
          </cell>
          <cell r="AC179">
            <v>375.93281419587782</v>
          </cell>
          <cell r="AD179">
            <v>295.34241437460634</v>
          </cell>
          <cell r="AI179">
            <v>0</v>
          </cell>
        </row>
        <row r="180">
          <cell r="Z180">
            <v>148</v>
          </cell>
          <cell r="AC180">
            <v>375.9750501879347</v>
          </cell>
          <cell r="AD180">
            <v>294.98768910629792</v>
          </cell>
          <cell r="AI180">
            <v>0</v>
          </cell>
        </row>
        <row r="181">
          <cell r="Z181">
            <v>149</v>
          </cell>
          <cell r="AC181">
            <v>376.04676890002298</v>
          </cell>
          <cell r="AD181">
            <v>294.50145553276326</v>
          </cell>
          <cell r="AI181">
            <v>0</v>
          </cell>
        </row>
        <row r="182">
          <cell r="Z182">
            <v>150</v>
          </cell>
          <cell r="AC182">
            <v>376.0642527709349</v>
          </cell>
          <cell r="AD182">
            <v>294.17154673930941</v>
          </cell>
          <cell r="AI182">
            <v>0</v>
          </cell>
        </row>
        <row r="183">
          <cell r="Z183">
            <v>151</v>
          </cell>
          <cell r="AC183">
            <v>376.08075777805067</v>
          </cell>
          <cell r="AD183">
            <v>293.91026732053155</v>
          </cell>
          <cell r="AI183">
            <v>0</v>
          </cell>
        </row>
        <row r="184">
          <cell r="Z184">
            <v>152</v>
          </cell>
          <cell r="AC184">
            <v>375.97014982584074</v>
          </cell>
          <cell r="AD184">
            <v>293.55386623337233</v>
          </cell>
          <cell r="AI184">
            <v>0</v>
          </cell>
        </row>
        <row r="185">
          <cell r="Z185">
            <v>153</v>
          </cell>
          <cell r="AC185">
            <v>375.8139951442422</v>
          </cell>
          <cell r="AD185">
            <v>293.0360410935458</v>
          </cell>
          <cell r="AI185">
            <v>0</v>
          </cell>
        </row>
        <row r="186">
          <cell r="Z186">
            <v>154</v>
          </cell>
          <cell r="AC186">
            <v>375.34659305890841</v>
          </cell>
          <cell r="AD186">
            <v>292.47949249408396</v>
          </cell>
          <cell r="AI186">
            <v>0</v>
          </cell>
        </row>
        <row r="187">
          <cell r="Z187">
            <v>155</v>
          </cell>
          <cell r="AC187">
            <v>374.47279393056567</v>
          </cell>
          <cell r="AD187">
            <v>291.9330413144562</v>
          </cell>
          <cell r="AI187">
            <v>0.12892818030856007</v>
          </cell>
        </row>
        <row r="188">
          <cell r="Z188">
            <v>156</v>
          </cell>
          <cell r="AC188">
            <v>373.46090289161549</v>
          </cell>
          <cell r="AD188">
            <v>291.25693237559273</v>
          </cell>
          <cell r="AI188">
            <v>1.343020340561691</v>
          </cell>
        </row>
        <row r="189">
          <cell r="Z189">
            <v>157</v>
          </cell>
          <cell r="AC189">
            <v>372.22136462695704</v>
          </cell>
          <cell r="AD189">
            <v>290.60481967943264</v>
          </cell>
          <cell r="AI189">
            <v>2.8022438841051667</v>
          </cell>
        </row>
        <row r="190">
          <cell r="Z190">
            <v>158</v>
          </cell>
          <cell r="AC190">
            <v>370.85366084921492</v>
          </cell>
          <cell r="AD190">
            <v>289.92481430432855</v>
          </cell>
          <cell r="AI190">
            <v>4.2614674276486433</v>
          </cell>
        </row>
        <row r="191">
          <cell r="Z191">
            <v>159</v>
          </cell>
          <cell r="AC191">
            <v>369.28692300955936</v>
          </cell>
          <cell r="AD191">
            <v>289.12518456033388</v>
          </cell>
          <cell r="AI191">
            <v>5.7206909711921181</v>
          </cell>
        </row>
        <row r="192">
          <cell r="Z192">
            <v>160</v>
          </cell>
          <cell r="AC192">
            <v>367.71595843379362</v>
          </cell>
          <cell r="AD192">
            <v>288.33862224320433</v>
          </cell>
          <cell r="AI192">
            <v>6.8580408356998195</v>
          </cell>
        </row>
        <row r="193">
          <cell r="Z193">
            <v>161</v>
          </cell>
          <cell r="AC193">
            <v>366.14056344397909</v>
          </cell>
          <cell r="AD193">
            <v>287.37596124651748</v>
          </cell>
          <cell r="AI193">
            <v>7.9760995601102298</v>
          </cell>
        </row>
        <row r="194">
          <cell r="Z194">
            <v>162</v>
          </cell>
          <cell r="AC194">
            <v>364.47535724492661</v>
          </cell>
          <cell r="AD194">
            <v>286.27777973948832</v>
          </cell>
          <cell r="AI194">
            <v>11.623059375217204</v>
          </cell>
        </row>
        <row r="195">
          <cell r="Z195">
            <v>163</v>
          </cell>
          <cell r="AC195">
            <v>362.7887704688564</v>
          </cell>
          <cell r="AD195">
            <v>285.31316073529723</v>
          </cell>
          <cell r="AI195">
            <v>8.0186325065053818</v>
          </cell>
        </row>
        <row r="196">
          <cell r="Z196">
            <v>164</v>
          </cell>
          <cell r="AC196">
            <v>361.05087999324019</v>
          </cell>
          <cell r="AD196">
            <v>284.35714868852381</v>
          </cell>
          <cell r="AI196">
            <v>6.0093046365416001</v>
          </cell>
        </row>
        <row r="197">
          <cell r="Z197">
            <v>165</v>
          </cell>
          <cell r="AC197">
            <v>359.32002545945346</v>
          </cell>
          <cell r="AD197">
            <v>283.2491608670876</v>
          </cell>
          <cell r="AI197">
            <v>5.6547906143645843</v>
          </cell>
        </row>
        <row r="198">
          <cell r="Z198">
            <v>166</v>
          </cell>
          <cell r="AC198">
            <v>357.74133501425547</v>
          </cell>
          <cell r="AD198">
            <v>282.00094174591004</v>
          </cell>
          <cell r="AI198">
            <v>4.4641926843188913E-2</v>
          </cell>
        </row>
        <row r="199">
          <cell r="Z199">
            <v>167</v>
          </cell>
          <cell r="AC199">
            <v>356.11353757918101</v>
          </cell>
          <cell r="AD199">
            <v>280.78905533255141</v>
          </cell>
          <cell r="AI199">
            <v>0</v>
          </cell>
        </row>
        <row r="200">
          <cell r="Z200">
            <v>168</v>
          </cell>
          <cell r="AC200">
            <v>354.62928172761349</v>
          </cell>
          <cell r="AD200">
            <v>279.3716549317146</v>
          </cell>
          <cell r="AI200">
            <v>0</v>
          </cell>
        </row>
        <row r="201">
          <cell r="Z201">
            <v>169</v>
          </cell>
          <cell r="AC201">
            <v>353.1737011112229</v>
          </cell>
          <cell r="AD201">
            <v>277.86026125756888</v>
          </cell>
          <cell r="AI201">
            <v>0</v>
          </cell>
        </row>
        <row r="202">
          <cell r="Z202">
            <v>170</v>
          </cell>
          <cell r="AC202">
            <v>351.81521570411815</v>
          </cell>
          <cell r="AD202">
            <v>276.29468411030984</v>
          </cell>
          <cell r="AI202">
            <v>0</v>
          </cell>
        </row>
        <row r="203">
          <cell r="Z203">
            <v>171</v>
          </cell>
          <cell r="AC203">
            <v>350.48336907967877</v>
          </cell>
          <cell r="AD203">
            <v>274.59657282143002</v>
          </cell>
          <cell r="AI203">
            <v>0</v>
          </cell>
        </row>
        <row r="204">
          <cell r="Z204">
            <v>172</v>
          </cell>
          <cell r="AC204">
            <v>349.17915874160474</v>
          </cell>
          <cell r="AD204">
            <v>272.93650386414492</v>
          </cell>
          <cell r="AI204">
            <v>0</v>
          </cell>
        </row>
        <row r="205">
          <cell r="Z205">
            <v>173</v>
          </cell>
          <cell r="AC205">
            <v>348.03189683272342</v>
          </cell>
          <cell r="AD205">
            <v>271.18123419080666</v>
          </cell>
          <cell r="AI205">
            <v>0</v>
          </cell>
        </row>
        <row r="206">
          <cell r="Z206">
            <v>174</v>
          </cell>
          <cell r="AC206">
            <v>346.89721965806126</v>
          </cell>
          <cell r="AD206">
            <v>269.31614322685522</v>
          </cell>
          <cell r="AI206">
            <v>0</v>
          </cell>
        </row>
        <row r="207">
          <cell r="Z207">
            <v>175</v>
          </cell>
          <cell r="AC207">
            <v>345.80528472078055</v>
          </cell>
          <cell r="AD207">
            <v>267.55463983920032</v>
          </cell>
          <cell r="AI207">
            <v>0</v>
          </cell>
        </row>
        <row r="208">
          <cell r="Z208">
            <v>176</v>
          </cell>
          <cell r="AC208">
            <v>344.74323883902588</v>
          </cell>
          <cell r="AD208">
            <v>265.63154745417563</v>
          </cell>
          <cell r="AI208">
            <v>0</v>
          </cell>
        </row>
        <row r="209">
          <cell r="Z209">
            <v>177</v>
          </cell>
          <cell r="AC209">
            <v>343.83588197017923</v>
          </cell>
          <cell r="AD209">
            <v>263.58354055301788</v>
          </cell>
          <cell r="AI209">
            <v>0</v>
          </cell>
        </row>
        <row r="210">
          <cell r="Z210">
            <v>178</v>
          </cell>
          <cell r="AC210">
            <v>342.92690576708139</v>
          </cell>
          <cell r="AD210">
            <v>261.69991032793223</v>
          </cell>
          <cell r="AI210">
            <v>0</v>
          </cell>
        </row>
        <row r="211">
          <cell r="Z211">
            <v>179</v>
          </cell>
          <cell r="AC211">
            <v>342.04135240920357</v>
          </cell>
          <cell r="AD211">
            <v>259.6639904327842</v>
          </cell>
          <cell r="AI211">
            <v>0</v>
          </cell>
        </row>
        <row r="212">
          <cell r="Z212">
            <v>180</v>
          </cell>
          <cell r="AC212">
            <v>341.19808100160611</v>
          </cell>
          <cell r="AD212">
            <v>257.7716976969229</v>
          </cell>
          <cell r="AI212">
            <v>0</v>
          </cell>
        </row>
        <row r="213">
          <cell r="Z213">
            <v>181</v>
          </cell>
          <cell r="AC213">
            <v>340.30615832380192</v>
          </cell>
          <cell r="AD213">
            <v>255.93013112613085</v>
          </cell>
          <cell r="AI213">
            <v>0</v>
          </cell>
        </row>
        <row r="214">
          <cell r="Z214">
            <v>182</v>
          </cell>
          <cell r="AC214">
            <v>339.52214807230393</v>
          </cell>
          <cell r="AD214">
            <v>254.0501703886176</v>
          </cell>
          <cell r="AI214">
            <v>0</v>
          </cell>
        </row>
        <row r="215">
          <cell r="Z215">
            <v>183</v>
          </cell>
          <cell r="AC215">
            <v>338.73423796690901</v>
          </cell>
          <cell r="AD215">
            <v>252.18988063366422</v>
          </cell>
          <cell r="AI215">
            <v>0</v>
          </cell>
        </row>
        <row r="216">
          <cell r="Z216">
            <v>184</v>
          </cell>
          <cell r="AC216">
            <v>337.97607695101766</v>
          </cell>
          <cell r="AD216">
            <v>250.30489950258064</v>
          </cell>
          <cell r="AI216">
            <v>0</v>
          </cell>
        </row>
        <row r="217">
          <cell r="Z217">
            <v>185</v>
          </cell>
          <cell r="AC217">
            <v>337.28203620556502</v>
          </cell>
          <cell r="AD217">
            <v>248.59356746992222</v>
          </cell>
          <cell r="AI217">
            <v>1.3401555874300908E-2</v>
          </cell>
        </row>
        <row r="218">
          <cell r="Z218">
            <v>186</v>
          </cell>
          <cell r="AC218">
            <v>336.56693805798574</v>
          </cell>
          <cell r="AD218">
            <v>246.8730432034086</v>
          </cell>
          <cell r="AI218">
            <v>0.13990088554433422</v>
          </cell>
        </row>
        <row r="219">
          <cell r="Z219">
            <v>187</v>
          </cell>
          <cell r="AC219">
            <v>335.82539635397086</v>
          </cell>
          <cell r="AD219">
            <v>245.1803626385506</v>
          </cell>
          <cell r="AI219">
            <v>0.2920028963640402</v>
          </cell>
        </row>
        <row r="220">
          <cell r="Z220">
            <v>188</v>
          </cell>
          <cell r="AC220">
            <v>335.09427309958255</v>
          </cell>
          <cell r="AD220">
            <v>243.44678012117967</v>
          </cell>
          <cell r="AI220">
            <v>0.44410490718374612</v>
          </cell>
        </row>
        <row r="221">
          <cell r="Z221">
            <v>189</v>
          </cell>
          <cell r="AC221">
            <v>334.37961484866287</v>
          </cell>
          <cell r="AD221">
            <v>241.71983646442925</v>
          </cell>
          <cell r="AI221">
            <v>0.59620691800345205</v>
          </cell>
        </row>
        <row r="222">
          <cell r="Z222">
            <v>190</v>
          </cell>
          <cell r="AC222">
            <v>333.72199441717902</v>
          </cell>
          <cell r="AD222">
            <v>240.04215506631516</v>
          </cell>
          <cell r="AI222">
            <v>0.74830892882315803</v>
          </cell>
        </row>
        <row r="223">
          <cell r="Z223">
            <v>191</v>
          </cell>
          <cell r="AC223">
            <v>333.05257748870702</v>
          </cell>
          <cell r="AD223">
            <v>238.3356618168898</v>
          </cell>
          <cell r="AI223">
            <v>0.90041093964286389</v>
          </cell>
        </row>
        <row r="224">
          <cell r="Z224">
            <v>192</v>
          </cell>
          <cell r="AC224">
            <v>332.42752617837863</v>
          </cell>
          <cell r="AD224">
            <v>236.80566321313455</v>
          </cell>
          <cell r="AI224">
            <v>1.0525129504625699</v>
          </cell>
        </row>
        <row r="225">
          <cell r="Z225">
            <v>193</v>
          </cell>
          <cell r="AC225">
            <v>331.75956578643184</v>
          </cell>
          <cell r="AD225">
            <v>235.06648844105214</v>
          </cell>
          <cell r="AI225">
            <v>1.2046149612822759</v>
          </cell>
        </row>
        <row r="226">
          <cell r="Z226">
            <v>194</v>
          </cell>
          <cell r="AC226">
            <v>331.14675570994899</v>
          </cell>
          <cell r="AD226">
            <v>233.425626152956</v>
          </cell>
          <cell r="AI226">
            <v>1.446618041142725</v>
          </cell>
        </row>
        <row r="227">
          <cell r="Z227">
            <v>195</v>
          </cell>
          <cell r="AC227">
            <v>330.65516474678617</v>
          </cell>
          <cell r="AD227">
            <v>231.93250934717599</v>
          </cell>
          <cell r="AI227">
            <v>2.8397881884670833</v>
          </cell>
        </row>
        <row r="228">
          <cell r="Z228">
            <v>196</v>
          </cell>
          <cell r="AC228">
            <v>329.95205126332229</v>
          </cell>
          <cell r="AD228">
            <v>230.26747124660307</v>
          </cell>
          <cell r="AI228">
            <v>3.2845245714824158</v>
          </cell>
        </row>
        <row r="229">
          <cell r="Z229">
            <v>197</v>
          </cell>
          <cell r="AC229">
            <v>329.34793910725728</v>
          </cell>
          <cell r="AD229">
            <v>228.81657002474506</v>
          </cell>
          <cell r="AI229">
            <v>4.2854787864805131</v>
          </cell>
        </row>
        <row r="230">
          <cell r="Z230">
            <v>198</v>
          </cell>
          <cell r="AC230">
            <v>328.77084850612891</v>
          </cell>
          <cell r="AD230">
            <v>227.25794018806732</v>
          </cell>
          <cell r="AI230">
            <v>7.1656911150498486</v>
          </cell>
        </row>
        <row r="231">
          <cell r="Z231">
            <v>199</v>
          </cell>
          <cell r="AC231">
            <v>328.16438489692734</v>
          </cell>
          <cell r="AD231">
            <v>225.7253275919029</v>
          </cell>
          <cell r="AI231">
            <v>7.539053665975981</v>
          </cell>
        </row>
        <row r="232">
          <cell r="Z232">
            <v>200</v>
          </cell>
          <cell r="AC232">
            <v>327.65330787201384</v>
          </cell>
          <cell r="AD232">
            <v>224.31718792568</v>
          </cell>
          <cell r="AI232">
            <v>8.0138875951639914</v>
          </cell>
        </row>
        <row r="233">
          <cell r="Z233">
            <v>201</v>
          </cell>
          <cell r="AC233">
            <v>327.19399211122061</v>
          </cell>
          <cell r="AD233">
            <v>222.96515413259092</v>
          </cell>
          <cell r="AI233">
            <v>8.0426018769465788</v>
          </cell>
        </row>
        <row r="234">
          <cell r="Z234">
            <v>202</v>
          </cell>
          <cell r="AC234">
            <v>326.68800243019882</v>
          </cell>
          <cell r="AD234">
            <v>221.51749840811692</v>
          </cell>
          <cell r="AI234">
            <v>6.8764299013151007</v>
          </cell>
        </row>
        <row r="235">
          <cell r="Z235">
            <v>203</v>
          </cell>
          <cell r="AC235">
            <v>326.1252244603125</v>
          </cell>
          <cell r="AD235">
            <v>220.11470415608332</v>
          </cell>
          <cell r="AI235">
            <v>8.0193777166339348</v>
          </cell>
        </row>
        <row r="236">
          <cell r="Z236">
            <v>204</v>
          </cell>
          <cell r="AC236">
            <v>325.6171130301567</v>
          </cell>
          <cell r="AD236">
            <v>218.67286595348787</v>
          </cell>
          <cell r="AI236">
            <v>8.342016079015881</v>
          </cell>
        </row>
        <row r="237">
          <cell r="Z237">
            <v>205</v>
          </cell>
          <cell r="AC237">
            <v>325.12309829927881</v>
          </cell>
          <cell r="AD237">
            <v>217.29597583211344</v>
          </cell>
          <cell r="AI237">
            <v>7.5490256267853599</v>
          </cell>
        </row>
        <row r="238">
          <cell r="Z238">
            <v>206</v>
          </cell>
          <cell r="AC238">
            <v>324.60230364280613</v>
          </cell>
          <cell r="AD238">
            <v>215.88480689931447</v>
          </cell>
          <cell r="AI238">
            <v>9.3256447750970946</v>
          </cell>
        </row>
        <row r="239">
          <cell r="Z239">
            <v>207</v>
          </cell>
          <cell r="AC239">
            <v>324.04856714625168</v>
          </cell>
          <cell r="AD239">
            <v>214.53148307667107</v>
          </cell>
          <cell r="AI239">
            <v>7.8060205745069213</v>
          </cell>
        </row>
        <row r="240">
          <cell r="Z240">
            <v>208</v>
          </cell>
          <cell r="AC240">
            <v>323.56033425387182</v>
          </cell>
          <cell r="AD240">
            <v>213.08379412362493</v>
          </cell>
          <cell r="AI240">
            <v>8.0658269203534054</v>
          </cell>
        </row>
        <row r="241">
          <cell r="Z241">
            <v>209</v>
          </cell>
          <cell r="AC241">
            <v>323.10678905921145</v>
          </cell>
          <cell r="AD241">
            <v>211.70087697460573</v>
          </cell>
          <cell r="AI241">
            <v>6.6286640510150523</v>
          </cell>
        </row>
        <row r="242">
          <cell r="Z242">
            <v>210</v>
          </cell>
          <cell r="AC242">
            <v>322.64917300500582</v>
          </cell>
          <cell r="AD242">
            <v>210.31351901841293</v>
          </cell>
          <cell r="AI242">
            <v>7.1388944467678694</v>
          </cell>
        </row>
        <row r="243">
          <cell r="Z243">
            <v>211</v>
          </cell>
          <cell r="AC243">
            <v>322.20725616680591</v>
          </cell>
          <cell r="AD243">
            <v>208.93515043080583</v>
          </cell>
          <cell r="AI243">
            <v>5.4206988659470596</v>
          </cell>
        </row>
        <row r="244">
          <cell r="Z244">
            <v>212</v>
          </cell>
          <cell r="AC244">
            <v>321.7414763082532</v>
          </cell>
          <cell r="AD244">
            <v>207.64281122039534</v>
          </cell>
          <cell r="AI244">
            <v>3.8436012769216896</v>
          </cell>
        </row>
        <row r="245">
          <cell r="Z245">
            <v>213</v>
          </cell>
          <cell r="AC245">
            <v>321.13809404475199</v>
          </cell>
          <cell r="AD245">
            <v>206.28190134999153</v>
          </cell>
          <cell r="AI245">
            <v>6.3838990630755861</v>
          </cell>
        </row>
        <row r="246">
          <cell r="Z246">
            <v>214</v>
          </cell>
          <cell r="AC246">
            <v>320.5542951735963</v>
          </cell>
          <cell r="AD246">
            <v>205.04135794964384</v>
          </cell>
          <cell r="AI246">
            <v>6.6099743874979477</v>
          </cell>
        </row>
        <row r="247">
          <cell r="Z247">
            <v>215</v>
          </cell>
          <cell r="AC247">
            <v>319.99283368032394</v>
          </cell>
          <cell r="AD247">
            <v>203.61829919881126</v>
          </cell>
          <cell r="AI247">
            <v>7.3295068843051752</v>
          </cell>
        </row>
        <row r="248">
          <cell r="Z248">
            <v>216</v>
          </cell>
          <cell r="AC248">
            <v>319.48517277521046</v>
          </cell>
          <cell r="AD248">
            <v>202.27218912756567</v>
          </cell>
          <cell r="AI248">
            <v>7.3695014775605046</v>
          </cell>
        </row>
        <row r="249">
          <cell r="Z249">
            <v>217</v>
          </cell>
          <cell r="AC249">
            <v>318.87740086070517</v>
          </cell>
          <cell r="AD249">
            <v>200.94194035278281</v>
          </cell>
          <cell r="AI249">
            <v>7.3060155958019344</v>
          </cell>
        </row>
        <row r="250">
          <cell r="Z250">
            <v>218</v>
          </cell>
          <cell r="AC250">
            <v>318.23353200856076</v>
          </cell>
          <cell r="AD250">
            <v>199.5122174955049</v>
          </cell>
          <cell r="AI250">
            <v>5.4909389208862525</v>
          </cell>
        </row>
        <row r="251">
          <cell r="Z251">
            <v>219</v>
          </cell>
          <cell r="AC251">
            <v>317.55625322015914</v>
          </cell>
          <cell r="AD251">
            <v>198.30470356624932</v>
          </cell>
          <cell r="AI251">
            <v>0.64653857006469384</v>
          </cell>
        </row>
        <row r="252">
          <cell r="Z252">
            <v>220</v>
          </cell>
          <cell r="AC252">
            <v>316.83537482776296</v>
          </cell>
          <cell r="AD252">
            <v>197.01637705718323</v>
          </cell>
          <cell r="AI252">
            <v>1.4025637694844539</v>
          </cell>
        </row>
        <row r="253">
          <cell r="Z253">
            <v>221</v>
          </cell>
          <cell r="AC253">
            <v>315.85643676670321</v>
          </cell>
          <cell r="AD253">
            <v>195.63877516820867</v>
          </cell>
          <cell r="AI253">
            <v>1.6064336999947426</v>
          </cell>
        </row>
        <row r="254">
          <cell r="Z254">
            <v>222</v>
          </cell>
          <cell r="AC254">
            <v>315.11234067838893</v>
          </cell>
          <cell r="AD254">
            <v>194.36919746332993</v>
          </cell>
          <cell r="AI254">
            <v>1.4924965765092375</v>
          </cell>
        </row>
        <row r="255">
          <cell r="Z255">
            <v>223</v>
          </cell>
          <cell r="AC255">
            <v>314.28153331756181</v>
          </cell>
          <cell r="AD255">
            <v>193.10309738735018</v>
          </cell>
          <cell r="AI255">
            <v>1.3785594530237328</v>
          </cell>
        </row>
        <row r="256">
          <cell r="Z256">
            <v>224</v>
          </cell>
          <cell r="AC256">
            <v>313.44834222350113</v>
          </cell>
          <cell r="AD256">
            <v>191.77121043608577</v>
          </cell>
          <cell r="AI256">
            <v>1.2646223295382277</v>
          </cell>
        </row>
        <row r="257">
          <cell r="Z257">
            <v>225</v>
          </cell>
          <cell r="AC257">
            <v>312.49619787532231</v>
          </cell>
          <cell r="AD257">
            <v>190.43988535854521</v>
          </cell>
          <cell r="AI257">
            <v>1.1506852060527228</v>
          </cell>
        </row>
        <row r="258">
          <cell r="Z258">
            <v>226</v>
          </cell>
          <cell r="AC258">
            <v>311.53002366938512</v>
          </cell>
          <cell r="AD258">
            <v>189.23207037437948</v>
          </cell>
          <cell r="AI258">
            <v>1.036748082567218</v>
          </cell>
        </row>
        <row r="259">
          <cell r="Z259">
            <v>227</v>
          </cell>
          <cell r="AC259">
            <v>310.59885604628749</v>
          </cell>
          <cell r="AD259">
            <v>188.01559003060504</v>
          </cell>
          <cell r="AI259">
            <v>0.92281095908171307</v>
          </cell>
        </row>
        <row r="260">
          <cell r="Z260">
            <v>228</v>
          </cell>
          <cell r="AC260">
            <v>309.51980338395072</v>
          </cell>
          <cell r="AD260">
            <v>186.85344962888391</v>
          </cell>
          <cell r="AI260">
            <v>0.80887383559620807</v>
          </cell>
        </row>
        <row r="261">
          <cell r="Z261">
            <v>229</v>
          </cell>
          <cell r="AC261">
            <v>308.55749868470349</v>
          </cell>
          <cell r="AD261">
            <v>185.67822210270265</v>
          </cell>
          <cell r="AI261">
            <v>0.69493671211070329</v>
          </cell>
        </row>
        <row r="262">
          <cell r="Z262">
            <v>230</v>
          </cell>
          <cell r="AC262">
            <v>307.60574524248779</v>
          </cell>
          <cell r="AD262">
            <v>184.48833946152484</v>
          </cell>
          <cell r="AI262">
            <v>0.58099958862519829</v>
          </cell>
        </row>
        <row r="263">
          <cell r="Z263">
            <v>231</v>
          </cell>
          <cell r="AC263">
            <v>306.63320203817432</v>
          </cell>
          <cell r="AD263">
            <v>183.36667128865616</v>
          </cell>
          <cell r="AI263">
            <v>0.46706246513969329</v>
          </cell>
        </row>
        <row r="264">
          <cell r="Z264">
            <v>232</v>
          </cell>
          <cell r="AC264">
            <v>305.6756164162897</v>
          </cell>
          <cell r="AD264">
            <v>182.25734323290354</v>
          </cell>
          <cell r="AI264">
            <v>0.3531253416541883</v>
          </cell>
        </row>
        <row r="265">
          <cell r="Z265">
            <v>233</v>
          </cell>
          <cell r="AC265">
            <v>304.59203896666418</v>
          </cell>
          <cell r="AD265">
            <v>181.22905160912296</v>
          </cell>
          <cell r="AI265">
            <v>0.23918821816868341</v>
          </cell>
        </row>
        <row r="266">
          <cell r="Z266">
            <v>234</v>
          </cell>
          <cell r="AC266">
            <v>303.59839742637831</v>
          </cell>
          <cell r="AD266">
            <v>180.12805905181526</v>
          </cell>
          <cell r="AI266">
            <v>0.12525109468317852</v>
          </cell>
        </row>
        <row r="267">
          <cell r="Z267">
            <v>235</v>
          </cell>
          <cell r="AC267">
            <v>302.53952491780439</v>
          </cell>
          <cell r="AD267">
            <v>179.23849727027118</v>
          </cell>
          <cell r="AI267">
            <v>2.0460865441076045E-2</v>
          </cell>
        </row>
        <row r="268">
          <cell r="Z268">
            <v>236</v>
          </cell>
          <cell r="AC268">
            <v>301.40870476840132</v>
          </cell>
          <cell r="AD268">
            <v>178.24526000055266</v>
          </cell>
          <cell r="AI268">
            <v>0</v>
          </cell>
        </row>
        <row r="269">
          <cell r="Z269">
            <v>237</v>
          </cell>
          <cell r="AC269">
            <v>299.94974792670916</v>
          </cell>
          <cell r="AD269">
            <v>177.24772511464806</v>
          </cell>
          <cell r="AI269">
            <v>0</v>
          </cell>
        </row>
        <row r="270">
          <cell r="Z270">
            <v>238</v>
          </cell>
          <cell r="AC270">
            <v>298.37410990204074</v>
          </cell>
          <cell r="AD270">
            <v>176.29697564059416</v>
          </cell>
          <cell r="AI270">
            <v>0</v>
          </cell>
        </row>
        <row r="271">
          <cell r="Z271">
            <v>239</v>
          </cell>
          <cell r="AC271">
            <v>296.73014267345877</v>
          </cell>
          <cell r="AD271">
            <v>175.52685667538628</v>
          </cell>
          <cell r="AI271">
            <v>0</v>
          </cell>
        </row>
        <row r="272">
          <cell r="Z272">
            <v>240</v>
          </cell>
          <cell r="AC272">
            <v>294.98870840202676</v>
          </cell>
          <cell r="AD272">
            <v>174.5408867181911</v>
          </cell>
          <cell r="AI272">
            <v>0</v>
          </cell>
        </row>
        <row r="273">
          <cell r="Z273">
            <v>241</v>
          </cell>
          <cell r="AC273">
            <v>293.23872911353578</v>
          </cell>
          <cell r="AD273">
            <v>173.57185367323905</v>
          </cell>
          <cell r="AI273">
            <v>0</v>
          </cell>
        </row>
        <row r="274">
          <cell r="Z274">
            <v>242</v>
          </cell>
          <cell r="AC274">
            <v>291.52539418866536</v>
          </cell>
          <cell r="AD274">
            <v>172.56296759224801</v>
          </cell>
          <cell r="AI274">
            <v>0</v>
          </cell>
        </row>
        <row r="275">
          <cell r="Z275">
            <v>243</v>
          </cell>
          <cell r="AC275">
            <v>289.81087396872414</v>
          </cell>
          <cell r="AD275">
            <v>171.61148714900821</v>
          </cell>
          <cell r="AI275">
            <v>0</v>
          </cell>
        </row>
        <row r="276">
          <cell r="Z276">
            <v>244</v>
          </cell>
          <cell r="AC276">
            <v>288.22967145707304</v>
          </cell>
          <cell r="AD276">
            <v>170.69599200727478</v>
          </cell>
          <cell r="AI276">
            <v>0</v>
          </cell>
        </row>
        <row r="277">
          <cell r="Z277">
            <v>245</v>
          </cell>
          <cell r="AC277">
            <v>286.62934171602524</v>
          </cell>
          <cell r="AD277">
            <v>169.64469447538292</v>
          </cell>
          <cell r="AI277">
            <v>0</v>
          </cell>
        </row>
        <row r="278">
          <cell r="Z278">
            <v>246</v>
          </cell>
          <cell r="AC278">
            <v>285.0978324004584</v>
          </cell>
          <cell r="AD278">
            <v>168.64973732184188</v>
          </cell>
          <cell r="AI278">
            <v>0</v>
          </cell>
        </row>
        <row r="279">
          <cell r="Z279">
            <v>247</v>
          </cell>
          <cell r="AC279">
            <v>283.61874555044034</v>
          </cell>
          <cell r="AD279">
            <v>167.71215434567256</v>
          </cell>
          <cell r="AI279">
            <v>0</v>
          </cell>
        </row>
        <row r="280">
          <cell r="Z280">
            <v>248</v>
          </cell>
          <cell r="AC280">
            <v>282.14544959179022</v>
          </cell>
          <cell r="AD280">
            <v>166.72013319300819</v>
          </cell>
          <cell r="AI280">
            <v>0</v>
          </cell>
        </row>
        <row r="281">
          <cell r="Z281">
            <v>249</v>
          </cell>
          <cell r="AC281">
            <v>280.60297550365033</v>
          </cell>
          <cell r="AD281">
            <v>165.85912642949998</v>
          </cell>
          <cell r="AI281">
            <v>0</v>
          </cell>
        </row>
        <row r="282">
          <cell r="Z282">
            <v>250</v>
          </cell>
          <cell r="AC282">
            <v>278.98453673676028</v>
          </cell>
          <cell r="AD282">
            <v>165.05670037963887</v>
          </cell>
          <cell r="AI282">
            <v>0</v>
          </cell>
        </row>
        <row r="283">
          <cell r="Z283">
            <v>251</v>
          </cell>
          <cell r="AC283">
            <v>277.37577576242103</v>
          </cell>
          <cell r="AD283">
            <v>164.19738846609968</v>
          </cell>
          <cell r="AI283">
            <v>0</v>
          </cell>
        </row>
        <row r="284">
          <cell r="Z284">
            <v>252</v>
          </cell>
          <cell r="AC284">
            <v>275.86649226505307</v>
          </cell>
          <cell r="AD284">
            <v>163.42892256065434</v>
          </cell>
          <cell r="AI284">
            <v>0</v>
          </cell>
        </row>
        <row r="285">
          <cell r="Z285">
            <v>253</v>
          </cell>
          <cell r="AC285">
            <v>274.3231864743687</v>
          </cell>
          <cell r="AD285">
            <v>162.57674605562912</v>
          </cell>
          <cell r="AI285">
            <v>0</v>
          </cell>
        </row>
        <row r="286">
          <cell r="Z286">
            <v>254</v>
          </cell>
          <cell r="AC286">
            <v>272.80357328094703</v>
          </cell>
          <cell r="AD286">
            <v>161.76390928083453</v>
          </cell>
          <cell r="AI286">
            <v>0</v>
          </cell>
        </row>
        <row r="287">
          <cell r="Z287">
            <v>255</v>
          </cell>
          <cell r="AC287">
            <v>271.25324302310349</v>
          </cell>
          <cell r="AD287">
            <v>161.04907797390331</v>
          </cell>
          <cell r="AI287">
            <v>0.78158792230899343</v>
          </cell>
        </row>
        <row r="288">
          <cell r="Z288">
            <v>256</v>
          </cell>
          <cell r="AC288">
            <v>269.82210113526043</v>
          </cell>
          <cell r="AD288">
            <v>160.19343202789767</v>
          </cell>
          <cell r="AI288">
            <v>1.482561938046606</v>
          </cell>
        </row>
        <row r="289">
          <cell r="Z289">
            <v>257</v>
          </cell>
          <cell r="AC289">
            <v>268.41361680976888</v>
          </cell>
          <cell r="AD289">
            <v>159.40184606299005</v>
          </cell>
          <cell r="AI289">
            <v>3.4528896504743369</v>
          </cell>
        </row>
        <row r="290">
          <cell r="Z290">
            <v>258</v>
          </cell>
          <cell r="AC290">
            <v>266.99695904180589</v>
          </cell>
          <cell r="AD290">
            <v>158.65263609609565</v>
          </cell>
          <cell r="AI290">
            <v>6.2990296675942083</v>
          </cell>
        </row>
        <row r="291">
          <cell r="Z291">
            <v>259</v>
          </cell>
          <cell r="AC291">
            <v>265.64683557636926</v>
          </cell>
          <cell r="AD291">
            <v>157.93281955341024</v>
          </cell>
          <cell r="AI291">
            <v>9.1451696847140802</v>
          </cell>
        </row>
        <row r="292">
          <cell r="Z292">
            <v>260</v>
          </cell>
          <cell r="AC292">
            <v>263.85158156904788</v>
          </cell>
          <cell r="AD292">
            <v>157.35557997579807</v>
          </cell>
          <cell r="AI292">
            <v>12.888322228611768</v>
          </cell>
        </row>
        <row r="293">
          <cell r="Z293">
            <v>261</v>
          </cell>
          <cell r="AC293">
            <v>262.00505163133278</v>
          </cell>
          <cell r="AD293">
            <v>156.74239982896515</v>
          </cell>
          <cell r="AI293">
            <v>15.109242100271661</v>
          </cell>
        </row>
        <row r="294">
          <cell r="Z294">
            <v>262</v>
          </cell>
          <cell r="AC294">
            <v>260.15099045195285</v>
          </cell>
          <cell r="AD294">
            <v>156.13110022180095</v>
          </cell>
          <cell r="AI294">
            <v>14.133921336047147</v>
          </cell>
        </row>
        <row r="295">
          <cell r="Z295">
            <v>263</v>
          </cell>
          <cell r="AC295">
            <v>258.24771270592657</v>
          </cell>
          <cell r="AD295">
            <v>155.49984226334217</v>
          </cell>
          <cell r="AI295">
            <v>17.689804352051524</v>
          </cell>
        </row>
        <row r="296">
          <cell r="Z296">
            <v>264</v>
          </cell>
          <cell r="AC296">
            <v>256.39600814058082</v>
          </cell>
          <cell r="AD296">
            <v>154.77449942946441</v>
          </cell>
          <cell r="AI296">
            <v>17.187211173995554</v>
          </cell>
        </row>
        <row r="297">
          <cell r="Z297">
            <v>265</v>
          </cell>
          <cell r="AC297">
            <v>254.36953405449196</v>
          </cell>
          <cell r="AD297">
            <v>154.14539895660351</v>
          </cell>
          <cell r="AI297">
            <v>16.628422454409378</v>
          </cell>
        </row>
        <row r="298">
          <cell r="Z298">
            <v>266</v>
          </cell>
          <cell r="AC298">
            <v>252.53621567252037</v>
          </cell>
          <cell r="AD298">
            <v>153.40817158441672</v>
          </cell>
          <cell r="AI298">
            <v>20.144474240018546</v>
          </cell>
        </row>
        <row r="299">
          <cell r="Z299">
            <v>267</v>
          </cell>
          <cell r="AC299">
            <v>250.8721367122493</v>
          </cell>
          <cell r="AD299">
            <v>152.50345412885559</v>
          </cell>
          <cell r="AI299">
            <v>17.539235417426791</v>
          </cell>
        </row>
        <row r="300">
          <cell r="Z300">
            <v>268</v>
          </cell>
          <cell r="AC300">
            <v>249.19072059996134</v>
          </cell>
          <cell r="AD300">
            <v>151.72435200876069</v>
          </cell>
          <cell r="AI300">
            <v>18.333755815581906</v>
          </cell>
        </row>
        <row r="301">
          <cell r="Z301">
            <v>269</v>
          </cell>
          <cell r="AC301">
            <v>247.58972487853134</v>
          </cell>
          <cell r="AD301">
            <v>150.69537899530133</v>
          </cell>
          <cell r="AI301">
            <v>17.923063673819914</v>
          </cell>
        </row>
        <row r="302">
          <cell r="Z302">
            <v>270</v>
          </cell>
          <cell r="AC302">
            <v>245.91512359757326</v>
          </cell>
          <cell r="AD302">
            <v>149.77454212724047</v>
          </cell>
          <cell r="AI302">
            <v>16.278159681035905</v>
          </cell>
        </row>
        <row r="303">
          <cell r="Z303">
            <v>271</v>
          </cell>
          <cell r="AC303">
            <v>244.28755049283535</v>
          </cell>
          <cell r="AD303">
            <v>148.76451325117944</v>
          </cell>
          <cell r="AI303">
            <v>16.357754267570485</v>
          </cell>
        </row>
        <row r="304">
          <cell r="Z304">
            <v>272</v>
          </cell>
          <cell r="AC304">
            <v>242.65421843661812</v>
          </cell>
          <cell r="AD304">
            <v>147.74650573110506</v>
          </cell>
          <cell r="AI304">
            <v>18.158041524284954</v>
          </cell>
        </row>
        <row r="305">
          <cell r="Z305">
            <v>273</v>
          </cell>
          <cell r="AC305">
            <v>241.23313712767373</v>
          </cell>
          <cell r="AD305">
            <v>146.7497433015451</v>
          </cell>
          <cell r="AI305">
            <v>18.598624025373336</v>
          </cell>
        </row>
        <row r="306">
          <cell r="Z306">
            <v>274</v>
          </cell>
          <cell r="AC306">
            <v>239.83084728619477</v>
          </cell>
          <cell r="AD306">
            <v>145.77486674694885</v>
          </cell>
          <cell r="AI306">
            <v>20.189318787572368</v>
          </cell>
        </row>
        <row r="307">
          <cell r="Z307">
            <v>275</v>
          </cell>
          <cell r="AC307">
            <v>238.58214627753483</v>
          </cell>
          <cell r="AD307">
            <v>144.74357722599746</v>
          </cell>
          <cell r="AI307">
            <v>18.352389561451307</v>
          </cell>
        </row>
        <row r="308">
          <cell r="Z308">
            <v>276</v>
          </cell>
          <cell r="AC308">
            <v>237.23397248134634</v>
          </cell>
          <cell r="AD308">
            <v>143.69356588537821</v>
          </cell>
          <cell r="AI308">
            <v>17.457463712014107</v>
          </cell>
        </row>
        <row r="309">
          <cell r="Z309">
            <v>277</v>
          </cell>
          <cell r="AC309">
            <v>235.82481284902724</v>
          </cell>
          <cell r="AD309">
            <v>142.74860540137291</v>
          </cell>
          <cell r="AI309">
            <v>16.663833257879084</v>
          </cell>
        </row>
        <row r="310">
          <cell r="Z310">
            <v>278</v>
          </cell>
          <cell r="AC310">
            <v>234.38638459554565</v>
          </cell>
          <cell r="AD310">
            <v>141.84008789445735</v>
          </cell>
          <cell r="AI310">
            <v>16.604772493785237</v>
          </cell>
        </row>
        <row r="311">
          <cell r="Z311">
            <v>279</v>
          </cell>
          <cell r="AC311">
            <v>233.10518628643203</v>
          </cell>
          <cell r="AD311">
            <v>140.92276878469548</v>
          </cell>
          <cell r="AI311">
            <v>15.244161164661845</v>
          </cell>
        </row>
        <row r="312">
          <cell r="Z312">
            <v>280</v>
          </cell>
          <cell r="AC312">
            <v>231.77366607919421</v>
          </cell>
          <cell r="AD312">
            <v>139.99588952595977</v>
          </cell>
          <cell r="AI312">
            <v>14.02231856086277</v>
          </cell>
        </row>
        <row r="313">
          <cell r="Z313">
            <v>281</v>
          </cell>
          <cell r="AC313">
            <v>230.45791407965368</v>
          </cell>
          <cell r="AD313">
            <v>139.12119096857822</v>
          </cell>
          <cell r="AI313">
            <v>11.856349628696613</v>
          </cell>
        </row>
        <row r="314">
          <cell r="Z314">
            <v>282</v>
          </cell>
          <cell r="AC314">
            <v>229.05585933530875</v>
          </cell>
          <cell r="AD314">
            <v>138.20107655843134</v>
          </cell>
          <cell r="AI314">
            <v>13.003672345827782</v>
          </cell>
        </row>
        <row r="315">
          <cell r="Z315">
            <v>283</v>
          </cell>
          <cell r="AC315">
            <v>227.67951341867274</v>
          </cell>
          <cell r="AD315">
            <v>137.27721040412825</v>
          </cell>
          <cell r="AI315">
            <v>11.559735196159197</v>
          </cell>
        </row>
        <row r="316">
          <cell r="Z316">
            <v>284</v>
          </cell>
          <cell r="AC316">
            <v>226.23308687410923</v>
          </cell>
          <cell r="AD316">
            <v>136.32571725003112</v>
          </cell>
          <cell r="AI316">
            <v>9.8346660457616437</v>
          </cell>
        </row>
        <row r="317">
          <cell r="Z317">
            <v>285</v>
          </cell>
          <cell r="AC317">
            <v>224.90437300778075</v>
          </cell>
          <cell r="AD317">
            <v>135.52408459301483</v>
          </cell>
          <cell r="AI317">
            <v>9.2625307162559984</v>
          </cell>
        </row>
        <row r="318">
          <cell r="Z318">
            <v>286</v>
          </cell>
          <cell r="AC318">
            <v>223.65711501272449</v>
          </cell>
          <cell r="AD318">
            <v>134.59842345351831</v>
          </cell>
          <cell r="AI318">
            <v>9.5581717362743355</v>
          </cell>
        </row>
        <row r="319">
          <cell r="Z319">
            <v>287</v>
          </cell>
          <cell r="AC319">
            <v>222.43182992270403</v>
          </cell>
          <cell r="AD319">
            <v>133.78573469554294</v>
          </cell>
          <cell r="AI319">
            <v>3.6748997340355722</v>
          </cell>
        </row>
        <row r="320">
          <cell r="Z320">
            <v>288</v>
          </cell>
          <cell r="AC320">
            <v>221.17143600009547</v>
          </cell>
          <cell r="AD320">
            <v>133.01806316500534</v>
          </cell>
          <cell r="AI320">
            <v>7.8503000307464141</v>
          </cell>
        </row>
        <row r="321">
          <cell r="Z321">
            <v>289</v>
          </cell>
          <cell r="AC321">
            <v>219.94342284042193</v>
          </cell>
          <cell r="AD321">
            <v>132.26300313890385</v>
          </cell>
          <cell r="AI321">
            <v>5.0229955464183007</v>
          </cell>
        </row>
        <row r="322">
          <cell r="Z322">
            <v>290</v>
          </cell>
          <cell r="AC322">
            <v>218.66433206674185</v>
          </cell>
          <cell r="AD322">
            <v>131.47572048164142</v>
          </cell>
          <cell r="AI322">
            <v>4.8974108128985891</v>
          </cell>
        </row>
        <row r="323">
          <cell r="Z323">
            <v>291</v>
          </cell>
          <cell r="AC323">
            <v>217.46277208632409</v>
          </cell>
          <cell r="AD323">
            <v>130.76571153176974</v>
          </cell>
          <cell r="AI323">
            <v>0.59654587395487535</v>
          </cell>
        </row>
        <row r="324">
          <cell r="Z324">
            <v>292</v>
          </cell>
          <cell r="AC324">
            <v>216.31041361638609</v>
          </cell>
          <cell r="AD324">
            <v>129.98926565682501</v>
          </cell>
          <cell r="AI324">
            <v>0</v>
          </cell>
        </row>
        <row r="325">
          <cell r="Z325">
            <v>293</v>
          </cell>
          <cell r="AC325">
            <v>215.17493390048855</v>
          </cell>
          <cell r="AD325">
            <v>129.22235175956411</v>
          </cell>
          <cell r="AI325">
            <v>0</v>
          </cell>
        </row>
        <row r="326">
          <cell r="Z326">
            <v>294</v>
          </cell>
          <cell r="AC326">
            <v>214.03351653679783</v>
          </cell>
          <cell r="AD326">
            <v>128.45902812978994</v>
          </cell>
          <cell r="AI326">
            <v>0</v>
          </cell>
        </row>
        <row r="327">
          <cell r="Z327">
            <v>295</v>
          </cell>
          <cell r="AC327">
            <v>212.89672566783224</v>
          </cell>
          <cell r="AD327">
            <v>127.70361891891672</v>
          </cell>
          <cell r="AI327">
            <v>0</v>
          </cell>
        </row>
        <row r="328">
          <cell r="Z328">
            <v>296</v>
          </cell>
          <cell r="AC328">
            <v>211.71936088311884</v>
          </cell>
          <cell r="AD328">
            <v>126.94367719624968</v>
          </cell>
          <cell r="AI328">
            <v>0</v>
          </cell>
        </row>
        <row r="329">
          <cell r="Z329">
            <v>297</v>
          </cell>
          <cell r="AC329">
            <v>210.56963103924085</v>
          </cell>
          <cell r="AD329">
            <v>126.28569729416269</v>
          </cell>
          <cell r="AI329">
            <v>0</v>
          </cell>
        </row>
        <row r="330">
          <cell r="Z330">
            <v>298</v>
          </cell>
          <cell r="AC330">
            <v>209.42831897108493</v>
          </cell>
          <cell r="AD330">
            <v>125.47334632842824</v>
          </cell>
          <cell r="AI330">
            <v>0</v>
          </cell>
        </row>
        <row r="331">
          <cell r="Z331">
            <v>299</v>
          </cell>
          <cell r="AC331">
            <v>208.44735050321333</v>
          </cell>
          <cell r="AD331">
            <v>124.8127696872649</v>
          </cell>
          <cell r="AI331">
            <v>0</v>
          </cell>
        </row>
        <row r="332">
          <cell r="Z332">
            <v>300</v>
          </cell>
          <cell r="AC332">
            <v>207.40478010303673</v>
          </cell>
          <cell r="AD332">
            <v>124.16690931298517</v>
          </cell>
          <cell r="AI332">
            <v>0</v>
          </cell>
        </row>
        <row r="333">
          <cell r="Z333">
            <v>301</v>
          </cell>
          <cell r="AC333">
            <v>206.28820206351585</v>
          </cell>
          <cell r="AD333">
            <v>123.50345125284215</v>
          </cell>
          <cell r="AI333">
            <v>0</v>
          </cell>
        </row>
        <row r="334">
          <cell r="Z334">
            <v>302</v>
          </cell>
          <cell r="AC334">
            <v>205.21307159363775</v>
          </cell>
          <cell r="AD334">
            <v>122.92605270170768</v>
          </cell>
          <cell r="AI334">
            <v>0</v>
          </cell>
        </row>
        <row r="335">
          <cell r="Z335">
            <v>303</v>
          </cell>
          <cell r="AC335">
            <v>204.16751739309015</v>
          </cell>
          <cell r="AD335">
            <v>122.13660348283199</v>
          </cell>
          <cell r="AI335">
            <v>0</v>
          </cell>
        </row>
        <row r="336">
          <cell r="Z336">
            <v>304</v>
          </cell>
          <cell r="AC336">
            <v>203.16090112243302</v>
          </cell>
          <cell r="AD336">
            <v>121.47797832161086</v>
          </cell>
          <cell r="AI336">
            <v>0</v>
          </cell>
        </row>
        <row r="337">
          <cell r="Z337">
            <v>305</v>
          </cell>
          <cell r="AC337">
            <v>202.22020672567504</v>
          </cell>
          <cell r="AD337">
            <v>120.88941815833664</v>
          </cell>
          <cell r="AI337">
            <v>0</v>
          </cell>
        </row>
        <row r="338">
          <cell r="Z338">
            <v>306</v>
          </cell>
          <cell r="AC338">
            <v>201.18792944642212</v>
          </cell>
          <cell r="AD338">
            <v>120.22592218724702</v>
          </cell>
          <cell r="AI338">
            <v>0</v>
          </cell>
        </row>
        <row r="339">
          <cell r="Z339">
            <v>307</v>
          </cell>
          <cell r="AC339">
            <v>200.15310613933332</v>
          </cell>
          <cell r="AD339">
            <v>119.61590830780909</v>
          </cell>
          <cell r="AI339">
            <v>0</v>
          </cell>
        </row>
        <row r="340">
          <cell r="Z340">
            <v>308</v>
          </cell>
          <cell r="AC340">
            <v>199.16877869370751</v>
          </cell>
          <cell r="AD340">
            <v>119.09698348062473</v>
          </cell>
          <cell r="AI340">
            <v>0</v>
          </cell>
        </row>
        <row r="341">
          <cell r="Z341">
            <v>309</v>
          </cell>
          <cell r="AC341">
            <v>198.26092495403242</v>
          </cell>
          <cell r="AD341">
            <v>118.48809727133204</v>
          </cell>
          <cell r="AI341">
            <v>0</v>
          </cell>
        </row>
        <row r="342">
          <cell r="Z342">
            <v>310</v>
          </cell>
          <cell r="AC342">
            <v>197.26075668839002</v>
          </cell>
          <cell r="AD342">
            <v>118.02186136873968</v>
          </cell>
          <cell r="AI342">
            <v>0</v>
          </cell>
        </row>
        <row r="343">
          <cell r="Z343">
            <v>311</v>
          </cell>
          <cell r="AC343">
            <v>196.33834483690947</v>
          </cell>
          <cell r="AD343">
            <v>117.4786425829631</v>
          </cell>
          <cell r="AI343">
            <v>0</v>
          </cell>
        </row>
        <row r="344">
          <cell r="Z344">
            <v>312</v>
          </cell>
          <cell r="AC344">
            <v>195.42926719904273</v>
          </cell>
          <cell r="AD344">
            <v>116.93837263561373</v>
          </cell>
          <cell r="AI344">
            <v>0</v>
          </cell>
        </row>
        <row r="345">
          <cell r="Z345">
            <v>313</v>
          </cell>
          <cell r="AC345">
            <v>194.47914664912452</v>
          </cell>
          <cell r="AD345">
            <v>116.4257876868549</v>
          </cell>
          <cell r="AI345">
            <v>0</v>
          </cell>
        </row>
        <row r="346">
          <cell r="Z346">
            <v>314</v>
          </cell>
          <cell r="AC346">
            <v>193.60350450179359</v>
          </cell>
          <cell r="AD346">
            <v>115.89642620855969</v>
          </cell>
          <cell r="AI346">
            <v>0</v>
          </cell>
        </row>
        <row r="347">
          <cell r="Z347">
            <v>315</v>
          </cell>
          <cell r="AC347">
            <v>192.70747636895962</v>
          </cell>
          <cell r="AD347">
            <v>115.45355341894205</v>
          </cell>
          <cell r="AI347">
            <v>0</v>
          </cell>
        </row>
        <row r="348">
          <cell r="Z348">
            <v>316</v>
          </cell>
          <cell r="AC348">
            <v>191.91101364130031</v>
          </cell>
          <cell r="AD348">
            <v>115.02004730750974</v>
          </cell>
          <cell r="AI348">
            <v>0</v>
          </cell>
        </row>
        <row r="349">
          <cell r="Z349">
            <v>317</v>
          </cell>
          <cell r="AC349">
            <v>191.02937387319361</v>
          </cell>
          <cell r="AD349">
            <v>114.60059649081963</v>
          </cell>
          <cell r="AI349">
            <v>0</v>
          </cell>
        </row>
        <row r="350">
          <cell r="Z350">
            <v>318</v>
          </cell>
          <cell r="AC350">
            <v>190.09301337658081</v>
          </cell>
          <cell r="AD350">
            <v>114.15395414357658</v>
          </cell>
          <cell r="AI350">
            <v>0</v>
          </cell>
        </row>
        <row r="351">
          <cell r="Z351">
            <v>319</v>
          </cell>
          <cell r="AC351">
            <v>189.28702543380848</v>
          </cell>
          <cell r="AD351">
            <v>113.72991375569013</v>
          </cell>
          <cell r="AI351">
            <v>0</v>
          </cell>
        </row>
        <row r="352">
          <cell r="Z352">
            <v>320</v>
          </cell>
          <cell r="AC352">
            <v>188.49498724944644</v>
          </cell>
          <cell r="AD352">
            <v>113.38395658368424</v>
          </cell>
          <cell r="AI352">
            <v>0</v>
          </cell>
        </row>
        <row r="353">
          <cell r="Z353">
            <v>321</v>
          </cell>
          <cell r="AC353">
            <v>187.69133347492766</v>
          </cell>
          <cell r="AD353">
            <v>112.97213464665772</v>
          </cell>
          <cell r="AI353">
            <v>0</v>
          </cell>
        </row>
        <row r="354">
          <cell r="Z354">
            <v>322</v>
          </cell>
          <cell r="AC354">
            <v>186.94184394630921</v>
          </cell>
          <cell r="AD354">
            <v>112.59097302159105</v>
          </cell>
          <cell r="AI354">
            <v>0</v>
          </cell>
        </row>
        <row r="355">
          <cell r="Z355">
            <v>323</v>
          </cell>
          <cell r="AC355">
            <v>186.22129936299996</v>
          </cell>
          <cell r="AD355">
            <v>112.3472698341847</v>
          </cell>
          <cell r="AI355">
            <v>0</v>
          </cell>
        </row>
        <row r="356">
          <cell r="Z356">
            <v>324</v>
          </cell>
          <cell r="AC356">
            <v>185.43182551248174</v>
          </cell>
          <cell r="AD356">
            <v>111.96798103256458</v>
          </cell>
          <cell r="AI356">
            <v>0</v>
          </cell>
        </row>
        <row r="357">
          <cell r="Z357">
            <v>325</v>
          </cell>
          <cell r="AC357">
            <v>184.58184504781678</v>
          </cell>
          <cell r="AD357">
            <v>111.5703256226256</v>
          </cell>
          <cell r="AI357">
            <v>0</v>
          </cell>
        </row>
        <row r="358">
          <cell r="Z358">
            <v>326</v>
          </cell>
          <cell r="AC358">
            <v>183.78713077803212</v>
          </cell>
          <cell r="AD358">
            <v>111.28571634586433</v>
          </cell>
          <cell r="AI358">
            <v>0</v>
          </cell>
        </row>
        <row r="359">
          <cell r="Z359">
            <v>327</v>
          </cell>
          <cell r="AC359">
            <v>183.09929608214125</v>
          </cell>
          <cell r="AD359">
            <v>110.95563529918351</v>
          </cell>
          <cell r="AI359">
            <v>0</v>
          </cell>
        </row>
        <row r="360">
          <cell r="Z360">
            <v>328</v>
          </cell>
          <cell r="AC360">
            <v>182.23776968417224</v>
          </cell>
          <cell r="AD360">
            <v>110.62101171631981</v>
          </cell>
          <cell r="AI360">
            <v>0</v>
          </cell>
        </row>
        <row r="361">
          <cell r="Z361">
            <v>329</v>
          </cell>
          <cell r="AC361">
            <v>181.54796036656978</v>
          </cell>
          <cell r="AD361">
            <v>110.36673343048318</v>
          </cell>
          <cell r="AI361">
            <v>0</v>
          </cell>
        </row>
        <row r="362">
          <cell r="Z362">
            <v>330</v>
          </cell>
          <cell r="AC362">
            <v>180.78386566284368</v>
          </cell>
          <cell r="AD362">
            <v>110.07010784247532</v>
          </cell>
          <cell r="AI362">
            <v>0</v>
          </cell>
        </row>
        <row r="363">
          <cell r="Z363">
            <v>331</v>
          </cell>
          <cell r="AC363">
            <v>180.05458269972621</v>
          </cell>
          <cell r="AD363">
            <v>109.71484902320627</v>
          </cell>
          <cell r="AI363">
            <v>0</v>
          </cell>
        </row>
        <row r="364">
          <cell r="Z364">
            <v>332</v>
          </cell>
          <cell r="AC364">
            <v>179.42181039871889</v>
          </cell>
          <cell r="AD364">
            <v>109.37393489810376</v>
          </cell>
          <cell r="AI364">
            <v>0</v>
          </cell>
        </row>
        <row r="365">
          <cell r="Z365">
            <v>333</v>
          </cell>
          <cell r="AC365">
            <v>178.69411422104943</v>
          </cell>
          <cell r="AD365">
            <v>109.08951219935514</v>
          </cell>
          <cell r="AI365">
            <v>0</v>
          </cell>
        </row>
        <row r="366">
          <cell r="Z366">
            <v>334</v>
          </cell>
          <cell r="AC366">
            <v>177.93128013770541</v>
          </cell>
          <cell r="AD366">
            <v>108.8343219978118</v>
          </cell>
          <cell r="AI366">
            <v>0</v>
          </cell>
        </row>
        <row r="367">
          <cell r="Z367">
            <v>335</v>
          </cell>
          <cell r="AC367">
            <v>177.27188617145981</v>
          </cell>
          <cell r="AD367">
            <v>108.56211655904769</v>
          </cell>
          <cell r="AI367">
            <v>0</v>
          </cell>
        </row>
        <row r="368">
          <cell r="Z368">
            <v>336</v>
          </cell>
          <cell r="AC368">
            <v>176.54363217629441</v>
          </cell>
          <cell r="AD368">
            <v>108.32392936251536</v>
          </cell>
          <cell r="AI368">
            <v>0</v>
          </cell>
        </row>
        <row r="369">
          <cell r="Z369">
            <v>337</v>
          </cell>
          <cell r="AC369">
            <v>175.88409038283794</v>
          </cell>
          <cell r="AD369">
            <v>108.03963457703742</v>
          </cell>
          <cell r="AI369">
            <v>0</v>
          </cell>
        </row>
        <row r="370">
          <cell r="Z370">
            <v>338</v>
          </cell>
          <cell r="AC370">
            <v>175.25210505020436</v>
          </cell>
          <cell r="AD370">
            <v>107.81103355409904</v>
          </cell>
          <cell r="AI370">
            <v>0</v>
          </cell>
        </row>
        <row r="371">
          <cell r="Z371">
            <v>339</v>
          </cell>
          <cell r="AC371">
            <v>174.56792748705979</v>
          </cell>
          <cell r="AD371">
            <v>107.60175339807662</v>
          </cell>
          <cell r="AI371">
            <v>0</v>
          </cell>
        </row>
        <row r="372">
          <cell r="Z372">
            <v>340</v>
          </cell>
          <cell r="AC372">
            <v>173.97717297336814</v>
          </cell>
          <cell r="AD372">
            <v>107.35645715367221</v>
          </cell>
          <cell r="AI372">
            <v>0</v>
          </cell>
        </row>
        <row r="373">
          <cell r="Z373">
            <v>341</v>
          </cell>
          <cell r="AC373">
            <v>173.34502208968217</v>
          </cell>
          <cell r="AD373">
            <v>107.13491601608843</v>
          </cell>
          <cell r="AI373">
            <v>0</v>
          </cell>
        </row>
        <row r="374">
          <cell r="Z374">
            <v>342</v>
          </cell>
          <cell r="AC374">
            <v>172.66990698727545</v>
          </cell>
          <cell r="AD374">
            <v>106.90337527073012</v>
          </cell>
          <cell r="AI374">
            <v>0</v>
          </cell>
        </row>
        <row r="375">
          <cell r="Z375">
            <v>343</v>
          </cell>
          <cell r="AC375">
            <v>172.04708631856249</v>
          </cell>
          <cell r="AD375">
            <v>106.67538900631739</v>
          </cell>
          <cell r="AI375">
            <v>0</v>
          </cell>
        </row>
        <row r="376">
          <cell r="Z376">
            <v>344</v>
          </cell>
          <cell r="AC376">
            <v>171.47456015443072</v>
          </cell>
          <cell r="AD376">
            <v>106.53461102794604</v>
          </cell>
          <cell r="AI376">
            <v>0</v>
          </cell>
        </row>
        <row r="377">
          <cell r="Z377">
            <v>345</v>
          </cell>
          <cell r="AC377">
            <v>170.94640855167754</v>
          </cell>
          <cell r="AD377">
            <v>106.36645519747063</v>
          </cell>
          <cell r="AI377">
            <v>0</v>
          </cell>
        </row>
        <row r="378">
          <cell r="Z378">
            <v>346</v>
          </cell>
          <cell r="AC378">
            <v>170.39431981305182</v>
          </cell>
          <cell r="AD378">
            <v>106.10760518708126</v>
          </cell>
          <cell r="AI378">
            <v>0</v>
          </cell>
        </row>
        <row r="379">
          <cell r="Z379">
            <v>347</v>
          </cell>
          <cell r="AC379">
            <v>169.80550106755339</v>
          </cell>
          <cell r="AD379">
            <v>105.7965500800269</v>
          </cell>
          <cell r="AI379">
            <v>0</v>
          </cell>
        </row>
        <row r="380">
          <cell r="Z380">
            <v>348</v>
          </cell>
          <cell r="AC380">
            <v>169.21224676684085</v>
          </cell>
          <cell r="AD380">
            <v>105.6165444242705</v>
          </cell>
          <cell r="AI380">
            <v>0</v>
          </cell>
        </row>
        <row r="381">
          <cell r="Z381">
            <v>349</v>
          </cell>
          <cell r="AC381">
            <v>168.80136401163375</v>
          </cell>
          <cell r="AD381">
            <v>105.45954332503518</v>
          </cell>
          <cell r="AI381">
            <v>0</v>
          </cell>
        </row>
        <row r="382">
          <cell r="Z382">
            <v>350</v>
          </cell>
          <cell r="AC382">
            <v>168.24839825541574</v>
          </cell>
          <cell r="AD382">
            <v>105.35791913721908</v>
          </cell>
          <cell r="AI382">
            <v>0</v>
          </cell>
        </row>
        <row r="383">
          <cell r="Z383">
            <v>351</v>
          </cell>
          <cell r="AC383">
            <v>167.79664930481684</v>
          </cell>
          <cell r="AD383">
            <v>105.17822282657508</v>
          </cell>
          <cell r="AI383">
            <v>0</v>
          </cell>
        </row>
        <row r="384">
          <cell r="Z384">
            <v>352</v>
          </cell>
          <cell r="AC384">
            <v>167.27640604730357</v>
          </cell>
          <cell r="AD384">
            <v>104.99707449032121</v>
          </cell>
          <cell r="AI384">
            <v>0</v>
          </cell>
        </row>
        <row r="385">
          <cell r="Z385">
            <v>353</v>
          </cell>
          <cell r="AC385">
            <v>166.66703982519931</v>
          </cell>
          <cell r="AD385">
            <v>104.88335698921013</v>
          </cell>
          <cell r="AI385">
            <v>0</v>
          </cell>
        </row>
        <row r="386">
          <cell r="Z386">
            <v>354</v>
          </cell>
          <cell r="AC386">
            <v>166.27833093165034</v>
          </cell>
          <cell r="AD386">
            <v>104.69260699719824</v>
          </cell>
          <cell r="AI386">
            <v>0</v>
          </cell>
        </row>
        <row r="387">
          <cell r="Z387">
            <v>355</v>
          </cell>
          <cell r="AC387">
            <v>165.77095226823513</v>
          </cell>
          <cell r="AD387">
            <v>104.51898579059412</v>
          </cell>
          <cell r="AI387">
            <v>0</v>
          </cell>
        </row>
        <row r="388">
          <cell r="Z388">
            <v>356</v>
          </cell>
          <cell r="AC388">
            <v>165.26091105526839</v>
          </cell>
          <cell r="AD388">
            <v>104.32424614256192</v>
          </cell>
          <cell r="AI388">
            <v>0</v>
          </cell>
        </row>
        <row r="389">
          <cell r="Z389">
            <v>357</v>
          </cell>
          <cell r="AC389">
            <v>164.71754261463775</v>
          </cell>
          <cell r="AD389">
            <v>104.09200995458001</v>
          </cell>
          <cell r="AI389">
            <v>0</v>
          </cell>
        </row>
        <row r="390">
          <cell r="Z390">
            <v>358</v>
          </cell>
          <cell r="AC390">
            <v>164.08325522517046</v>
          </cell>
          <cell r="AD390">
            <v>103.8364338202131</v>
          </cell>
          <cell r="AI390">
            <v>0</v>
          </cell>
        </row>
        <row r="391">
          <cell r="Z391">
            <v>359</v>
          </cell>
          <cell r="AC391">
            <v>163.65226405385079</v>
          </cell>
          <cell r="AD391">
            <v>103.47416883698754</v>
          </cell>
          <cell r="AI391">
            <v>0</v>
          </cell>
        </row>
        <row r="392">
          <cell r="Z392">
            <v>360</v>
          </cell>
          <cell r="AC392">
            <v>163.14637710854132</v>
          </cell>
          <cell r="AD392">
            <v>103.20936760081329</v>
          </cell>
          <cell r="AI392">
            <v>0</v>
          </cell>
        </row>
        <row r="393">
          <cell r="Z393">
            <v>361</v>
          </cell>
          <cell r="AC393">
            <v>162.63516915071551</v>
          </cell>
          <cell r="AD393">
            <v>102.941676813127</v>
          </cell>
          <cell r="AI393">
            <v>0</v>
          </cell>
        </row>
        <row r="394">
          <cell r="Z394">
            <v>362</v>
          </cell>
          <cell r="AC394">
            <v>162.03230655135857</v>
          </cell>
          <cell r="AD394">
            <v>102.65098873923469</v>
          </cell>
          <cell r="AI394">
            <v>0</v>
          </cell>
        </row>
        <row r="395">
          <cell r="Z395">
            <v>363</v>
          </cell>
          <cell r="AC395">
            <v>161.39710883172091</v>
          </cell>
          <cell r="AD395">
            <v>102.41889493800745</v>
          </cell>
          <cell r="AI395">
            <v>0</v>
          </cell>
        </row>
        <row r="396">
          <cell r="Z396">
            <v>364</v>
          </cell>
          <cell r="AC396">
            <v>160.76222479927571</v>
          </cell>
          <cell r="AD396">
            <v>102.16482696301215</v>
          </cell>
          <cell r="AI396">
            <v>0</v>
          </cell>
        </row>
        <row r="397">
          <cell r="Z397">
            <v>365</v>
          </cell>
          <cell r="AC397">
            <v>160.14289001573601</v>
          </cell>
          <cell r="AD397">
            <v>101.7887057506302</v>
          </cell>
          <cell r="AI397">
            <v>0.1344281795615663</v>
          </cell>
        </row>
        <row r="398">
          <cell r="Z398">
            <v>366</v>
          </cell>
          <cell r="AC398">
            <v>159.41499112207535</v>
          </cell>
          <cell r="AD398">
            <v>101.45731752898135</v>
          </cell>
          <cell r="AI398">
            <v>1.5232667586268791</v>
          </cell>
        </row>
        <row r="399">
          <cell r="Z399">
            <v>367</v>
          </cell>
          <cell r="AC399">
            <v>158.72644485291201</v>
          </cell>
          <cell r="AD399">
            <v>101.19357603578979</v>
          </cell>
          <cell r="AI399">
            <v>3.2192718535557265</v>
          </cell>
        </row>
        <row r="400">
          <cell r="Z400">
            <v>368</v>
          </cell>
          <cell r="AC400">
            <v>158.06589467493342</v>
          </cell>
          <cell r="AD400">
            <v>100.87267428832276</v>
          </cell>
          <cell r="AI400">
            <v>2.0920036724156699</v>
          </cell>
        </row>
        <row r="401">
          <cell r="Z401">
            <v>369</v>
          </cell>
          <cell r="AC401">
            <v>157.3449813557628</v>
          </cell>
          <cell r="AD401">
            <v>100.49571368237326</v>
          </cell>
          <cell r="AI401">
            <v>3.2659033922558183</v>
          </cell>
        </row>
        <row r="402">
          <cell r="Z402">
            <v>370</v>
          </cell>
          <cell r="AC402">
            <v>156.71598758468468</v>
          </cell>
          <cell r="AD402">
            <v>100.11735309994162</v>
          </cell>
          <cell r="AI402">
            <v>2.5196855784220902</v>
          </cell>
        </row>
        <row r="403">
          <cell r="Z403">
            <v>371</v>
          </cell>
          <cell r="AC403">
            <v>155.98845999679315</v>
          </cell>
          <cell r="AD403">
            <v>99.772880910508846</v>
          </cell>
          <cell r="AI403">
            <v>2.9256689839992842</v>
          </cell>
        </row>
        <row r="404">
          <cell r="Z404">
            <v>372</v>
          </cell>
          <cell r="AC404">
            <v>155.30609795827954</v>
          </cell>
          <cell r="AD404">
            <v>99.466173248898329</v>
          </cell>
          <cell r="AI404">
            <v>3.0154815754583155</v>
          </cell>
        </row>
        <row r="405">
          <cell r="Z405">
            <v>373</v>
          </cell>
          <cell r="AC405">
            <v>154.64905948974618</v>
          </cell>
          <cell r="AD405">
            <v>99.134538778559545</v>
          </cell>
          <cell r="AI405">
            <v>4.6383621010798768</v>
          </cell>
        </row>
        <row r="406">
          <cell r="Z406">
            <v>374</v>
          </cell>
          <cell r="AC406">
            <v>153.87429658616352</v>
          </cell>
          <cell r="AD406">
            <v>98.768876382516694</v>
          </cell>
          <cell r="AI406">
            <v>6.4763405113014922</v>
          </cell>
        </row>
        <row r="407">
          <cell r="Z407">
            <v>375</v>
          </cell>
          <cell r="AC407">
            <v>153.17980145721941</v>
          </cell>
          <cell r="AD407">
            <v>98.387004597905232</v>
          </cell>
          <cell r="AI407">
            <v>6.2547267743573745</v>
          </cell>
        </row>
        <row r="408">
          <cell r="Z408">
            <v>376</v>
          </cell>
          <cell r="AC408">
            <v>152.43761184852605</v>
          </cell>
          <cell r="AD408">
            <v>98.031224688711376</v>
          </cell>
          <cell r="AI408">
            <v>6.4304823607898678</v>
          </cell>
        </row>
        <row r="409">
          <cell r="Z409">
            <v>377</v>
          </cell>
          <cell r="AC409">
            <v>151.78502368399822</v>
          </cell>
          <cell r="AD409">
            <v>97.702054676721559</v>
          </cell>
          <cell r="AI409">
            <v>8.1298767776836449</v>
          </cell>
        </row>
        <row r="410">
          <cell r="Z410">
            <v>378</v>
          </cell>
          <cell r="AC410">
            <v>151.07826042917947</v>
          </cell>
          <cell r="AD410">
            <v>97.384574032485801</v>
          </cell>
          <cell r="AI410">
            <v>8.4941665559743385</v>
          </cell>
        </row>
        <row r="411">
          <cell r="Z411">
            <v>379</v>
          </cell>
          <cell r="AC411">
            <v>150.38195215035151</v>
          </cell>
          <cell r="AD411">
            <v>96.964581980953938</v>
          </cell>
          <cell r="AI411">
            <v>8.1219664237877627</v>
          </cell>
        </row>
        <row r="412">
          <cell r="Z412">
            <v>380</v>
          </cell>
          <cell r="AC412">
            <v>149.61746074074011</v>
          </cell>
          <cell r="AD412">
            <v>96.551109523174958</v>
          </cell>
          <cell r="AI412">
            <v>6.8691868852346278</v>
          </cell>
        </row>
        <row r="413">
          <cell r="Z413">
            <v>381</v>
          </cell>
          <cell r="AC413">
            <v>148.93230210723141</v>
          </cell>
          <cell r="AD413">
            <v>96.204449259984003</v>
          </cell>
          <cell r="AI413">
            <v>8.3940923967311303</v>
          </cell>
        </row>
        <row r="414">
          <cell r="Z414">
            <v>382</v>
          </cell>
          <cell r="AC414">
            <v>148.20436849879385</v>
          </cell>
          <cell r="AD414">
            <v>95.888742414473882</v>
          </cell>
          <cell r="AI414">
            <v>8.1619613214264817</v>
          </cell>
        </row>
        <row r="415">
          <cell r="Z415">
            <v>383</v>
          </cell>
          <cell r="AC415">
            <v>147.46987994534794</v>
          </cell>
          <cell r="AD415">
            <v>95.568749808997651</v>
          </cell>
          <cell r="AI415">
            <v>7.4606236487826756</v>
          </cell>
        </row>
        <row r="416">
          <cell r="Z416">
            <v>384</v>
          </cell>
          <cell r="AC416">
            <v>146.74963257755141</v>
          </cell>
          <cell r="AD416">
            <v>95.150613466495003</v>
          </cell>
          <cell r="AI416">
            <v>8.7925180674068013</v>
          </cell>
        </row>
        <row r="417">
          <cell r="Z417">
            <v>385</v>
          </cell>
          <cell r="AC417">
            <v>146.12175421601066</v>
          </cell>
          <cell r="AD417">
            <v>94.764043498447407</v>
          </cell>
          <cell r="AI417">
            <v>8.342812024219473</v>
          </cell>
        </row>
        <row r="418">
          <cell r="Z418">
            <v>386</v>
          </cell>
          <cell r="AC418">
            <v>145.40210714665264</v>
          </cell>
          <cell r="AD418">
            <v>94.44699773252259</v>
          </cell>
          <cell r="AI418">
            <v>7.0620311269361524</v>
          </cell>
        </row>
        <row r="419">
          <cell r="Z419">
            <v>387</v>
          </cell>
          <cell r="AC419">
            <v>144.68503317739845</v>
          </cell>
          <cell r="AD419">
            <v>94.061199857814387</v>
          </cell>
          <cell r="AI419">
            <v>6.6506522245469908</v>
          </cell>
        </row>
        <row r="420">
          <cell r="Z420">
            <v>388</v>
          </cell>
          <cell r="AC420">
            <v>143.9046656585023</v>
          </cell>
          <cell r="AD420">
            <v>93.699258577125079</v>
          </cell>
          <cell r="AI420">
            <v>7.6458168621599301</v>
          </cell>
        </row>
        <row r="421">
          <cell r="Z421">
            <v>389</v>
          </cell>
          <cell r="AC421">
            <v>143.06923690908638</v>
          </cell>
          <cell r="AD421">
            <v>93.382970007811338</v>
          </cell>
          <cell r="AI421">
            <v>8.1867135708217891</v>
          </cell>
        </row>
        <row r="422">
          <cell r="Z422">
            <v>390</v>
          </cell>
          <cell r="AC422">
            <v>142.24411343582179</v>
          </cell>
          <cell r="AD422">
            <v>93.059598745046031</v>
          </cell>
          <cell r="AI422">
            <v>7.4694998736712925</v>
          </cell>
        </row>
        <row r="423">
          <cell r="Z423">
            <v>391</v>
          </cell>
          <cell r="AC423">
            <v>141.60832876147475</v>
          </cell>
          <cell r="AD423">
            <v>92.686570731653021</v>
          </cell>
          <cell r="AI423">
            <v>7.9439011400711328</v>
          </cell>
        </row>
        <row r="424">
          <cell r="Z424">
            <v>392</v>
          </cell>
          <cell r="AC424">
            <v>140.81710420988634</v>
          </cell>
          <cell r="AD424">
            <v>92.273172686838976</v>
          </cell>
          <cell r="AI424">
            <v>7.2110483273171955</v>
          </cell>
        </row>
        <row r="425">
          <cell r="Z425">
            <v>393</v>
          </cell>
          <cell r="AC425">
            <v>140.04484271051174</v>
          </cell>
          <cell r="AD425">
            <v>91.910871765641275</v>
          </cell>
          <cell r="AI425">
            <v>7.0424899046208456</v>
          </cell>
        </row>
        <row r="426">
          <cell r="Z426">
            <v>394</v>
          </cell>
          <cell r="AC426">
            <v>139.30712236367359</v>
          </cell>
          <cell r="AD426">
            <v>91.599804584221317</v>
          </cell>
          <cell r="AI426">
            <v>6.0696080020790681</v>
          </cell>
        </row>
        <row r="427">
          <cell r="Z427">
            <v>395</v>
          </cell>
          <cell r="AC427">
            <v>138.55668472014679</v>
          </cell>
          <cell r="AD427">
            <v>91.26148558867115</v>
          </cell>
          <cell r="AI427">
            <v>6.7976852239314152</v>
          </cell>
        </row>
        <row r="428">
          <cell r="Z428">
            <v>396</v>
          </cell>
          <cell r="AC428">
            <v>137.90653715445515</v>
          </cell>
          <cell r="AD428">
            <v>91.054993253167879</v>
          </cell>
          <cell r="AI428">
            <v>6.523504045792559</v>
          </cell>
        </row>
        <row r="429">
          <cell r="Z429">
            <v>397</v>
          </cell>
          <cell r="AC429">
            <v>137.20622794665783</v>
          </cell>
          <cell r="AD429">
            <v>90.863587754368382</v>
          </cell>
          <cell r="AI429">
            <v>5.7366526691484143</v>
          </cell>
        </row>
        <row r="430">
          <cell r="Z430">
            <v>398</v>
          </cell>
          <cell r="AC430">
            <v>136.55634466748498</v>
          </cell>
          <cell r="AD430">
            <v>90.567269097632547</v>
          </cell>
          <cell r="AI430">
            <v>4.130417716321122</v>
          </cell>
        </row>
        <row r="431">
          <cell r="Z431">
            <v>399</v>
          </cell>
          <cell r="AC431">
            <v>135.93534548377698</v>
          </cell>
          <cell r="AD431">
            <v>90.279227616675627</v>
          </cell>
          <cell r="AI431">
            <v>3.0435552175487977</v>
          </cell>
        </row>
        <row r="432">
          <cell r="Z432">
            <v>400</v>
          </cell>
          <cell r="AC432">
            <v>135.24395411405607</v>
          </cell>
          <cell r="AD432">
            <v>90.121046433152202</v>
          </cell>
          <cell r="AI432">
            <v>2.6206591060878477</v>
          </cell>
        </row>
        <row r="433">
          <cell r="Z433">
            <v>401</v>
          </cell>
          <cell r="AC433">
            <v>134.57440731041714</v>
          </cell>
          <cell r="AD433">
            <v>89.922969088115607</v>
          </cell>
          <cell r="AI433">
            <v>6.5088217889115339E-3</v>
          </cell>
        </row>
        <row r="434">
          <cell r="Z434">
            <v>402</v>
          </cell>
          <cell r="AC434">
            <v>133.93779383009178</v>
          </cell>
          <cell r="AD434">
            <v>89.721717293720062</v>
          </cell>
          <cell r="AI434">
            <v>0</v>
          </cell>
        </row>
        <row r="435">
          <cell r="Z435">
            <v>403</v>
          </cell>
          <cell r="AC435">
            <v>133.41551147360022</v>
          </cell>
          <cell r="AD435">
            <v>89.521360708963002</v>
          </cell>
          <cell r="AI435">
            <v>0</v>
          </cell>
        </row>
        <row r="436">
          <cell r="Z436">
            <v>404</v>
          </cell>
          <cell r="AC436">
            <v>132.70129540757671</v>
          </cell>
          <cell r="AD436">
            <v>89.336697723905829</v>
          </cell>
          <cell r="AI436">
            <v>0</v>
          </cell>
        </row>
        <row r="437">
          <cell r="Z437">
            <v>405</v>
          </cell>
          <cell r="AC437">
            <v>132.03646325001648</v>
          </cell>
          <cell r="AD437">
            <v>89.173741044737071</v>
          </cell>
          <cell r="AI437">
            <v>0</v>
          </cell>
        </row>
        <row r="438">
          <cell r="Z438">
            <v>406</v>
          </cell>
          <cell r="AC438">
            <v>131.30596417466083</v>
          </cell>
          <cell r="AD438">
            <v>89.05210485522025</v>
          </cell>
          <cell r="AI438">
            <v>0</v>
          </cell>
        </row>
        <row r="439">
          <cell r="Z439">
            <v>407</v>
          </cell>
          <cell r="AC439">
            <v>130.70953389503984</v>
          </cell>
          <cell r="AD439">
            <v>88.809534355374694</v>
          </cell>
          <cell r="AI439">
            <v>0</v>
          </cell>
        </row>
        <row r="440">
          <cell r="Z440">
            <v>408</v>
          </cell>
          <cell r="AC440">
            <v>129.96966414594701</v>
          </cell>
          <cell r="AD440">
            <v>88.584589112833569</v>
          </cell>
          <cell r="AI440">
            <v>0</v>
          </cell>
        </row>
        <row r="441">
          <cell r="Z441">
            <v>409</v>
          </cell>
          <cell r="AC441">
            <v>129.42549962857433</v>
          </cell>
          <cell r="AD441">
            <v>88.362952387425764</v>
          </cell>
          <cell r="AI441">
            <v>0</v>
          </cell>
        </row>
        <row r="442">
          <cell r="Z442">
            <v>410</v>
          </cell>
          <cell r="AC442">
            <v>128.69090441568406</v>
          </cell>
          <cell r="AD442">
            <v>88.137158427017525</v>
          </cell>
          <cell r="AI442">
            <v>0</v>
          </cell>
        </row>
        <row r="443">
          <cell r="Z443">
            <v>411</v>
          </cell>
          <cell r="AC443">
            <v>127.88897148856347</v>
          </cell>
          <cell r="AD443">
            <v>87.851034841060454</v>
          </cell>
          <cell r="AI443">
            <v>0</v>
          </cell>
        </row>
        <row r="444">
          <cell r="Z444">
            <v>412</v>
          </cell>
          <cell r="AC444">
            <v>127.14564762752144</v>
          </cell>
          <cell r="AD444">
            <v>87.630315466283861</v>
          </cell>
          <cell r="AI444">
            <v>0</v>
          </cell>
        </row>
        <row r="445">
          <cell r="Z445">
            <v>413</v>
          </cell>
          <cell r="AC445">
            <v>126.49643410842125</v>
          </cell>
          <cell r="AD445">
            <v>87.44376746306574</v>
          </cell>
          <cell r="AI445">
            <v>0</v>
          </cell>
        </row>
        <row r="446">
          <cell r="Z446">
            <v>414</v>
          </cell>
          <cell r="AC446">
            <v>125.86051120208658</v>
          </cell>
          <cell r="AD446">
            <v>87.266586813386837</v>
          </cell>
          <cell r="AI446">
            <v>0</v>
          </cell>
        </row>
        <row r="447">
          <cell r="Z447">
            <v>415</v>
          </cell>
          <cell r="AC447">
            <v>125.33047822177991</v>
          </cell>
          <cell r="AD447">
            <v>87.056221783611932</v>
          </cell>
          <cell r="AI447">
            <v>1.0539800750158781</v>
          </cell>
        </row>
        <row r="448">
          <cell r="Z448">
            <v>416</v>
          </cell>
          <cell r="AC448">
            <v>124.85837701992901</v>
          </cell>
          <cell r="AD448">
            <v>86.771294074518721</v>
          </cell>
          <cell r="AI448">
            <v>7.7838331137911778</v>
          </cell>
        </row>
        <row r="449">
          <cell r="Z449">
            <v>417</v>
          </cell>
          <cell r="AC449">
            <v>124.46117484762252</v>
          </cell>
          <cell r="AD449">
            <v>86.549027370724019</v>
          </cell>
          <cell r="AI449">
            <v>7.7184134479214643</v>
          </cell>
        </row>
        <row r="450">
          <cell r="Z450">
            <v>418</v>
          </cell>
          <cell r="AC450">
            <v>124.08879795817052</v>
          </cell>
          <cell r="AD450">
            <v>86.330809885612325</v>
          </cell>
          <cell r="AI450">
            <v>6.004802413711003</v>
          </cell>
        </row>
        <row r="451">
          <cell r="Z451">
            <v>419</v>
          </cell>
          <cell r="AC451">
            <v>123.53866608084533</v>
          </cell>
          <cell r="AD451">
            <v>86.08332230532838</v>
          </cell>
          <cell r="AI451">
            <v>3.4970371588041664</v>
          </cell>
        </row>
        <row r="452">
          <cell r="Z452">
            <v>420</v>
          </cell>
          <cell r="AC452">
            <v>123.03262212674292</v>
          </cell>
          <cell r="AD452">
            <v>85.908418659244973</v>
          </cell>
          <cell r="AI452">
            <v>5.7145581922698723</v>
          </cell>
        </row>
        <row r="453">
          <cell r="Z453">
            <v>421</v>
          </cell>
          <cell r="AC453">
            <v>122.52172577137532</v>
          </cell>
          <cell r="AD453">
            <v>85.732620921361843</v>
          </cell>
          <cell r="AI453">
            <v>0.9501491010086115</v>
          </cell>
        </row>
        <row r="454">
          <cell r="Z454">
            <v>422</v>
          </cell>
          <cell r="AC454">
            <v>121.93376222914561</v>
          </cell>
          <cell r="AD454">
            <v>85.455768432623998</v>
          </cell>
          <cell r="AI454">
            <v>2.8255635708585602</v>
          </cell>
        </row>
        <row r="455">
          <cell r="Z455">
            <v>423</v>
          </cell>
          <cell r="AC455">
            <v>121.46642718800551</v>
          </cell>
          <cell r="AD455">
            <v>85.124669519278015</v>
          </cell>
          <cell r="AI455">
            <v>0.48671498011753794</v>
          </cell>
        </row>
        <row r="456">
          <cell r="Z456">
            <v>424</v>
          </cell>
          <cell r="AC456">
            <v>120.96633645122938</v>
          </cell>
          <cell r="AD456">
            <v>84.897992085862228</v>
          </cell>
          <cell r="AI456">
            <v>1.2193701783696536</v>
          </cell>
        </row>
        <row r="457">
          <cell r="Z457">
            <v>425</v>
          </cell>
          <cell r="AC457">
            <v>120.43132136325721</v>
          </cell>
          <cell r="AD457">
            <v>84.69235922373386</v>
          </cell>
          <cell r="AI457">
            <v>1.9520253766217692</v>
          </cell>
        </row>
        <row r="458">
          <cell r="Z458">
            <v>426</v>
          </cell>
          <cell r="AC458">
            <v>119.92627987160367</v>
          </cell>
          <cell r="AD458">
            <v>84.496448148792695</v>
          </cell>
          <cell r="AI458">
            <v>1.9877635535853961</v>
          </cell>
        </row>
        <row r="459">
          <cell r="Z459">
            <v>427</v>
          </cell>
          <cell r="AC459">
            <v>119.50977846506177</v>
          </cell>
          <cell r="AD459">
            <v>84.342793512108358</v>
          </cell>
          <cell r="AI459">
            <v>0.62892781064852188</v>
          </cell>
        </row>
        <row r="460">
          <cell r="Z460">
            <v>428</v>
          </cell>
          <cell r="AC460">
            <v>119.14997800363268</v>
          </cell>
          <cell r="AD460">
            <v>84.103726823746214</v>
          </cell>
          <cell r="AI460">
            <v>3.2587566103215342</v>
          </cell>
        </row>
        <row r="461">
          <cell r="Z461">
            <v>429</v>
          </cell>
          <cell r="AC461">
            <v>118.64540869015153</v>
          </cell>
          <cell r="AD461">
            <v>83.85122263121545</v>
          </cell>
          <cell r="AI461">
            <v>4.9248160177548632</v>
          </cell>
        </row>
        <row r="462">
          <cell r="Z462">
            <v>430</v>
          </cell>
          <cell r="AC462">
            <v>118.18541013972404</v>
          </cell>
          <cell r="AD462">
            <v>83.606382642948574</v>
          </cell>
          <cell r="AI462">
            <v>1.0621468264805736</v>
          </cell>
        </row>
        <row r="463">
          <cell r="Z463">
            <v>431</v>
          </cell>
          <cell r="AC463">
            <v>117.71399368981716</v>
          </cell>
          <cell r="AD463">
            <v>83.345709324480083</v>
          </cell>
          <cell r="AI463">
            <v>1.5348408721026827</v>
          </cell>
        </row>
        <row r="464">
          <cell r="Z464">
            <v>432</v>
          </cell>
          <cell r="AC464">
            <v>117.25145411702911</v>
          </cell>
          <cell r="AD464">
            <v>83.055487720898299</v>
          </cell>
          <cell r="AI464">
            <v>1.2161708347081239</v>
          </cell>
        </row>
        <row r="465">
          <cell r="Z465">
            <v>433</v>
          </cell>
          <cell r="AC465">
            <v>116.76598234507675</v>
          </cell>
          <cell r="AD465">
            <v>82.83130391323887</v>
          </cell>
          <cell r="AI465">
            <v>2.3545174884978737</v>
          </cell>
        </row>
        <row r="466">
          <cell r="Z466">
            <v>434</v>
          </cell>
          <cell r="AC466">
            <v>116.43414940058234</v>
          </cell>
          <cell r="AD466">
            <v>82.575910330949526</v>
          </cell>
          <cell r="AI466">
            <v>0.23521708813820563</v>
          </cell>
        </row>
        <row r="467">
          <cell r="Z467">
            <v>435</v>
          </cell>
          <cell r="AC467">
            <v>116.00439868209213</v>
          </cell>
          <cell r="AD467">
            <v>82.261081476103215</v>
          </cell>
          <cell r="AI467">
            <v>0.72595636561135046</v>
          </cell>
        </row>
        <row r="468">
          <cell r="Z468">
            <v>436</v>
          </cell>
          <cell r="AC468">
            <v>115.57113523063363</v>
          </cell>
          <cell r="AD468">
            <v>81.944033906493772</v>
          </cell>
          <cell r="AI468">
            <v>1.2210391577448232</v>
          </cell>
        </row>
        <row r="469">
          <cell r="Z469">
            <v>437</v>
          </cell>
          <cell r="AC469">
            <v>115.05228881540162</v>
          </cell>
          <cell r="AD469">
            <v>81.68457839528449</v>
          </cell>
          <cell r="AI469">
            <v>1.7161219498782958</v>
          </cell>
        </row>
        <row r="470">
          <cell r="Z470">
            <v>438</v>
          </cell>
          <cell r="AC470">
            <v>114.50511883848814</v>
          </cell>
          <cell r="AD470">
            <v>81.428832101202786</v>
          </cell>
          <cell r="AI470">
            <v>2.2112047420117684</v>
          </cell>
        </row>
        <row r="471">
          <cell r="Z471">
            <v>439</v>
          </cell>
          <cell r="AC471">
            <v>114.15698492973208</v>
          </cell>
          <cell r="AD471">
            <v>81.176299186831884</v>
          </cell>
          <cell r="AI471">
            <v>2.6503826022030679</v>
          </cell>
        </row>
        <row r="472">
          <cell r="Z472">
            <v>440</v>
          </cell>
          <cell r="AC472">
            <v>113.78116472928235</v>
          </cell>
          <cell r="AD472">
            <v>80.856883337362518</v>
          </cell>
          <cell r="AI472">
            <v>2.5729687835784318</v>
          </cell>
        </row>
        <row r="473">
          <cell r="Z473">
            <v>441</v>
          </cell>
          <cell r="AC473">
            <v>113.2930521636309</v>
          </cell>
          <cell r="AD473">
            <v>80.480872688581769</v>
          </cell>
          <cell r="AI473">
            <v>2.369995498977421</v>
          </cell>
        </row>
        <row r="474">
          <cell r="Z474">
            <v>442</v>
          </cell>
          <cell r="AC474">
            <v>112.91000456565227</v>
          </cell>
          <cell r="AD474">
            <v>80.147147263607096</v>
          </cell>
          <cell r="AI474">
            <v>2.1670222143764102</v>
          </cell>
        </row>
        <row r="475">
          <cell r="Z475">
            <v>443</v>
          </cell>
          <cell r="AC475">
            <v>112.51558606495577</v>
          </cell>
          <cell r="AD475">
            <v>79.851631649843924</v>
          </cell>
          <cell r="AI475">
            <v>1.9640489297753989</v>
          </cell>
        </row>
        <row r="476">
          <cell r="Z476">
            <v>444</v>
          </cell>
          <cell r="AC476">
            <v>112.12074357979336</v>
          </cell>
          <cell r="AD476">
            <v>79.540068569110019</v>
          </cell>
          <cell r="AI476">
            <v>1.7610756451743881</v>
          </cell>
        </row>
        <row r="477">
          <cell r="Z477">
            <v>445</v>
          </cell>
          <cell r="AC477">
            <v>111.66794451320392</v>
          </cell>
          <cell r="AD477">
            <v>79.215021249304201</v>
          </cell>
          <cell r="AI477">
            <v>1.7509218294642459</v>
          </cell>
        </row>
        <row r="478">
          <cell r="Z478">
            <v>446</v>
          </cell>
          <cell r="AC478">
            <v>111.15091822046845</v>
          </cell>
          <cell r="AD478">
            <v>78.921128432878575</v>
          </cell>
          <cell r="AI478">
            <v>2.0220176580102658</v>
          </cell>
        </row>
        <row r="479">
          <cell r="Z479">
            <v>447</v>
          </cell>
          <cell r="AC479">
            <v>110.783447773264</v>
          </cell>
          <cell r="AD479">
            <v>78.62356268949533</v>
          </cell>
          <cell r="AI479">
            <v>2.2955125420156621</v>
          </cell>
        </row>
        <row r="480">
          <cell r="Z480">
            <v>448</v>
          </cell>
          <cell r="AC480">
            <v>110.37808694083091</v>
          </cell>
          <cell r="AD480">
            <v>78.347176388676786</v>
          </cell>
          <cell r="AI480">
            <v>2.569007426021058</v>
          </cell>
        </row>
        <row r="481">
          <cell r="Z481">
            <v>449</v>
          </cell>
          <cell r="AC481">
            <v>109.96276367548494</v>
          </cell>
          <cell r="AD481">
            <v>78.063826182928054</v>
          </cell>
          <cell r="AI481">
            <v>2.8425023100264539</v>
          </cell>
        </row>
        <row r="482">
          <cell r="Z482">
            <v>450</v>
          </cell>
          <cell r="AC482">
            <v>109.60501925864054</v>
          </cell>
          <cell r="AD482">
            <v>77.750460498794325</v>
          </cell>
          <cell r="AI482">
            <v>3.1159971940318503</v>
          </cell>
        </row>
        <row r="483">
          <cell r="Z483">
            <v>451</v>
          </cell>
          <cell r="AC483">
            <v>109.21021741732726</v>
          </cell>
          <cell r="AD483">
            <v>77.377326023413318</v>
          </cell>
          <cell r="AI483">
            <v>3.3894920780372462</v>
          </cell>
        </row>
        <row r="484">
          <cell r="Z484">
            <v>452</v>
          </cell>
          <cell r="AC484">
            <v>108.77247336754667</v>
          </cell>
          <cell r="AD484">
            <v>77.019847530181266</v>
          </cell>
          <cell r="AI484">
            <v>3.662986962042643</v>
          </cell>
        </row>
        <row r="485">
          <cell r="Z485">
            <v>453</v>
          </cell>
          <cell r="AC485">
            <v>108.41472248990183</v>
          </cell>
          <cell r="AD485">
            <v>76.976787681113365</v>
          </cell>
          <cell r="AI485">
            <v>3.9364818460480384</v>
          </cell>
        </row>
        <row r="486">
          <cell r="Z486">
            <v>454</v>
          </cell>
          <cell r="AC486">
            <v>108.00513612648223</v>
          </cell>
          <cell r="AD486">
            <v>77.262299026830618</v>
          </cell>
          <cell r="AI486">
            <v>1.1720675914097214</v>
          </cell>
        </row>
        <row r="487">
          <cell r="Z487">
            <v>455</v>
          </cell>
          <cell r="AC487">
            <v>107.70485651650492</v>
          </cell>
          <cell r="AD487">
            <v>77.516019815235069</v>
          </cell>
          <cell r="AI487">
            <v>0</v>
          </cell>
        </row>
        <row r="488">
          <cell r="Z488">
            <v>456</v>
          </cell>
          <cell r="AC488">
            <v>107.36290205187174</v>
          </cell>
          <cell r="AD488">
            <v>77.786165013532582</v>
          </cell>
          <cell r="AI488">
            <v>0</v>
          </cell>
        </row>
        <row r="489">
          <cell r="Z489">
            <v>457</v>
          </cell>
          <cell r="AC489">
            <v>106.94146017316149</v>
          </cell>
          <cell r="AD489">
            <v>78.221549994768054</v>
          </cell>
          <cell r="AI489">
            <v>0</v>
          </cell>
        </row>
        <row r="490">
          <cell r="Z490">
            <v>458</v>
          </cell>
          <cell r="AC490">
            <v>106.57613199293081</v>
          </cell>
          <cell r="AD490">
            <v>78.820912596808597</v>
          </cell>
          <cell r="AI490">
            <v>0</v>
          </cell>
        </row>
        <row r="491">
          <cell r="Z491">
            <v>459</v>
          </cell>
          <cell r="AC491">
            <v>106.20318176163282</v>
          </cell>
          <cell r="AD491">
            <v>79.646199494759159</v>
          </cell>
          <cell r="AI491">
            <v>0</v>
          </cell>
        </row>
        <row r="492">
          <cell r="Z492">
            <v>460</v>
          </cell>
          <cell r="AC492">
            <v>105.88005165546713</v>
          </cell>
          <cell r="AD492">
            <v>80.45757941255286</v>
          </cell>
          <cell r="AI492">
            <v>0</v>
          </cell>
        </row>
        <row r="493">
          <cell r="Z493">
            <v>461</v>
          </cell>
          <cell r="AC493">
            <v>105.54678983344172</v>
          </cell>
          <cell r="AD493">
            <v>81.465988524266351</v>
          </cell>
          <cell r="AI493">
            <v>0</v>
          </cell>
        </row>
        <row r="494">
          <cell r="Z494">
            <v>462</v>
          </cell>
          <cell r="AC494">
            <v>105.1962252012306</v>
          </cell>
          <cell r="AD494">
            <v>82.478267373759806</v>
          </cell>
          <cell r="AI494">
            <v>0</v>
          </cell>
        </row>
        <row r="495">
          <cell r="Z495">
            <v>463</v>
          </cell>
          <cell r="AC495">
            <v>104.93435977126013</v>
          </cell>
          <cell r="AD495">
            <v>83.490699013790348</v>
          </cell>
          <cell r="AI495">
            <v>0</v>
          </cell>
        </row>
        <row r="496">
          <cell r="Z496">
            <v>464</v>
          </cell>
          <cell r="AC496">
            <v>104.71457836436913</v>
          </cell>
          <cell r="AD496">
            <v>84.549169253027586</v>
          </cell>
          <cell r="AI496">
            <v>0</v>
          </cell>
        </row>
        <row r="497">
          <cell r="Z497">
            <v>465</v>
          </cell>
          <cell r="AC497">
            <v>104.49989233098046</v>
          </cell>
          <cell r="AD497">
            <v>85.517999100766843</v>
          </cell>
          <cell r="AI497">
            <v>0</v>
          </cell>
        </row>
        <row r="498">
          <cell r="Z498">
            <v>466</v>
          </cell>
          <cell r="AC498">
            <v>104.30064982665932</v>
          </cell>
          <cell r="AD498">
            <v>86.396878669969752</v>
          </cell>
          <cell r="AI498">
            <v>0</v>
          </cell>
        </row>
        <row r="499">
          <cell r="Z499">
            <v>467</v>
          </cell>
          <cell r="AC499">
            <v>104.12664364363772</v>
          </cell>
          <cell r="AD499">
            <v>87.252610522610667</v>
          </cell>
          <cell r="AI499">
            <v>0</v>
          </cell>
        </row>
        <row r="500">
          <cell r="Z500">
            <v>468</v>
          </cell>
          <cell r="AC500">
            <v>103.95976347650502</v>
          </cell>
          <cell r="AD500">
            <v>88.121413556298123</v>
          </cell>
          <cell r="AI500">
            <v>0</v>
          </cell>
        </row>
        <row r="501">
          <cell r="Z501">
            <v>469</v>
          </cell>
          <cell r="AC501">
            <v>103.69616844622948</v>
          </cell>
          <cell r="AD501">
            <v>88.925544666455437</v>
          </cell>
          <cell r="AI501">
            <v>0</v>
          </cell>
        </row>
        <row r="502">
          <cell r="Z502">
            <v>470</v>
          </cell>
          <cell r="AC502">
            <v>103.46239141499927</v>
          </cell>
          <cell r="AD502">
            <v>89.696797213566441</v>
          </cell>
          <cell r="AI502">
            <v>0</v>
          </cell>
        </row>
        <row r="503">
          <cell r="Z503">
            <v>471</v>
          </cell>
          <cell r="AC503">
            <v>103.28426787309438</v>
          </cell>
          <cell r="AD503">
            <v>90.319220903727725</v>
          </cell>
          <cell r="AI503">
            <v>0</v>
          </cell>
        </row>
        <row r="504">
          <cell r="Z504">
            <v>472</v>
          </cell>
          <cell r="AC504">
            <v>103.16633320195797</v>
          </cell>
          <cell r="AD504">
            <v>90.970350067590715</v>
          </cell>
          <cell r="AI504">
            <v>0</v>
          </cell>
        </row>
        <row r="505">
          <cell r="Z505">
            <v>473</v>
          </cell>
          <cell r="AC505">
            <v>103.07220461675509</v>
          </cell>
          <cell r="AD505">
            <v>91.55405506311719</v>
          </cell>
          <cell r="AI505">
            <v>0</v>
          </cell>
        </row>
        <row r="506">
          <cell r="Z506">
            <v>474</v>
          </cell>
          <cell r="AC506">
            <v>102.97162385017172</v>
          </cell>
          <cell r="AD506">
            <v>92.096854067835565</v>
          </cell>
          <cell r="AI506">
            <v>0</v>
          </cell>
        </row>
        <row r="507">
          <cell r="Z507">
            <v>475</v>
          </cell>
          <cell r="AC507">
            <v>102.91122379163841</v>
          </cell>
          <cell r="AD507">
            <v>92.524149096340778</v>
          </cell>
          <cell r="AI507">
            <v>0</v>
          </cell>
        </row>
        <row r="508">
          <cell r="Z508">
            <v>476</v>
          </cell>
          <cell r="AC508">
            <v>102.84568223641007</v>
          </cell>
          <cell r="AD508">
            <v>93.066322271333874</v>
          </cell>
          <cell r="AI508">
            <v>0</v>
          </cell>
        </row>
        <row r="509">
          <cell r="Z509">
            <v>477</v>
          </cell>
          <cell r="AC509">
            <v>102.82066455861946</v>
          </cell>
          <cell r="AD509">
            <v>93.458409873493991</v>
          </cell>
          <cell r="AI509">
            <v>0</v>
          </cell>
        </row>
        <row r="510">
          <cell r="Z510">
            <v>478</v>
          </cell>
          <cell r="AC510">
            <v>102.79929135573698</v>
          </cell>
          <cell r="AD510">
            <v>93.846171090023176</v>
          </cell>
          <cell r="AI510">
            <v>0</v>
          </cell>
        </row>
        <row r="511">
          <cell r="Z511">
            <v>479</v>
          </cell>
          <cell r="AC511">
            <v>102.77771879247766</v>
          </cell>
          <cell r="AD511">
            <v>94.189359602987025</v>
          </cell>
          <cell r="AI511">
            <v>0</v>
          </cell>
        </row>
        <row r="512">
          <cell r="Z512">
            <v>480</v>
          </cell>
          <cell r="AC512">
            <v>102.76932765346859</v>
          </cell>
          <cell r="AD512">
            <v>94.52967813574142</v>
          </cell>
          <cell r="AI512">
            <v>0</v>
          </cell>
        </row>
        <row r="513">
          <cell r="Z513">
            <v>481</v>
          </cell>
          <cell r="AC513">
            <v>102.77010181218479</v>
          </cell>
          <cell r="AD513">
            <v>94.917373225663979</v>
          </cell>
          <cell r="AI513">
            <v>0</v>
          </cell>
        </row>
        <row r="514">
          <cell r="Z514">
            <v>482</v>
          </cell>
          <cell r="AC514">
            <v>102.77330143779095</v>
          </cell>
          <cell r="AD514">
            <v>95.174419686365624</v>
          </cell>
          <cell r="AI514">
            <v>0</v>
          </cell>
        </row>
        <row r="515">
          <cell r="Z515">
            <v>483</v>
          </cell>
          <cell r="AC515">
            <v>102.76427778627017</v>
          </cell>
          <cell r="AD515">
            <v>95.392270131382432</v>
          </cell>
          <cell r="AI515">
            <v>0</v>
          </cell>
        </row>
        <row r="516">
          <cell r="Z516">
            <v>484</v>
          </cell>
          <cell r="AC516">
            <v>102.75654715581733</v>
          </cell>
          <cell r="AD516">
            <v>95.645720388350824</v>
          </cell>
          <cell r="AI516">
            <v>0</v>
          </cell>
        </row>
        <row r="517">
          <cell r="Z517">
            <v>485</v>
          </cell>
          <cell r="AC517">
            <v>102.73840348226807</v>
          </cell>
          <cell r="AD517">
            <v>95.788194805468919</v>
          </cell>
          <cell r="AI517">
            <v>0</v>
          </cell>
        </row>
        <row r="518">
          <cell r="Z518">
            <v>486</v>
          </cell>
          <cell r="AC518">
            <v>102.72906095546179</v>
          </cell>
          <cell r="AD518">
            <v>95.922403004059674</v>
          </cell>
          <cell r="AI518">
            <v>0</v>
          </cell>
        </row>
        <row r="519">
          <cell r="Z519">
            <v>487</v>
          </cell>
          <cell r="AC519">
            <v>102.67105356925249</v>
          </cell>
          <cell r="AD519">
            <v>96.029392063154901</v>
          </cell>
          <cell r="AI519">
            <v>0</v>
          </cell>
        </row>
        <row r="520">
          <cell r="Z520">
            <v>488</v>
          </cell>
          <cell r="AC520">
            <v>102.56797223308162</v>
          </cell>
          <cell r="AD520">
            <v>96.056822251324419</v>
          </cell>
          <cell r="AI520">
            <v>0</v>
          </cell>
        </row>
        <row r="521">
          <cell r="Z521">
            <v>489</v>
          </cell>
          <cell r="AC521">
            <v>102.47073108295564</v>
          </cell>
          <cell r="AD521">
            <v>96.065551016689</v>
          </cell>
          <cell r="AI521">
            <v>0</v>
          </cell>
        </row>
        <row r="522">
          <cell r="Z522">
            <v>490</v>
          </cell>
          <cell r="AC522">
            <v>102.37667543923247</v>
          </cell>
          <cell r="AD522">
            <v>96.047734830262684</v>
          </cell>
          <cell r="AI522">
            <v>0</v>
          </cell>
        </row>
        <row r="523">
          <cell r="Z523">
            <v>491</v>
          </cell>
          <cell r="AC523">
            <v>102.29704820717301</v>
          </cell>
          <cell r="AD523">
            <v>95.99770845217931</v>
          </cell>
          <cell r="AI523">
            <v>0</v>
          </cell>
        </row>
        <row r="524">
          <cell r="Z524">
            <v>492</v>
          </cell>
          <cell r="AC524">
            <v>102.22600320839463</v>
          </cell>
          <cell r="AD524">
            <v>95.93890849426252</v>
          </cell>
          <cell r="AI524">
            <v>0</v>
          </cell>
        </row>
        <row r="525">
          <cell r="Z525">
            <v>493</v>
          </cell>
          <cell r="AC525">
            <v>102.16252703463677</v>
          </cell>
          <cell r="AD525">
            <v>95.878063513324278</v>
          </cell>
          <cell r="AI525">
            <v>0</v>
          </cell>
        </row>
        <row r="526">
          <cell r="Z526">
            <v>494</v>
          </cell>
          <cell r="AC526">
            <v>102.11300737386146</v>
          </cell>
          <cell r="AD526">
            <v>95.812091898652724</v>
          </cell>
          <cell r="AI526">
            <v>0</v>
          </cell>
        </row>
        <row r="527">
          <cell r="Z527">
            <v>495</v>
          </cell>
          <cell r="AC527">
            <v>102.08380594280733</v>
          </cell>
          <cell r="AD527">
            <v>95.72703352351057</v>
          </cell>
          <cell r="AI527">
            <v>0</v>
          </cell>
        </row>
        <row r="528">
          <cell r="Z528">
            <v>496</v>
          </cell>
          <cell r="AC528">
            <v>102.07385294361963</v>
          </cell>
          <cell r="AD528">
            <v>95.581818493994788</v>
          </cell>
          <cell r="AI528">
            <v>0</v>
          </cell>
        </row>
        <row r="529">
          <cell r="Z529">
            <v>497</v>
          </cell>
          <cell r="AC529">
            <v>102.06606258798433</v>
          </cell>
          <cell r="AD529">
            <v>95.40975779948613</v>
          </cell>
          <cell r="AI529">
            <v>0</v>
          </cell>
        </row>
        <row r="530">
          <cell r="Z530">
            <v>498</v>
          </cell>
          <cell r="AC530">
            <v>102.0244640504505</v>
          </cell>
          <cell r="AD530">
            <v>95.246151653721128</v>
          </cell>
          <cell r="AI530">
            <v>0</v>
          </cell>
        </row>
        <row r="531">
          <cell r="Z531">
            <v>499</v>
          </cell>
          <cell r="AC531">
            <v>101.98296729426629</v>
          </cell>
          <cell r="AD531">
            <v>95.075161538661789</v>
          </cell>
          <cell r="AI531">
            <v>0</v>
          </cell>
        </row>
        <row r="532">
          <cell r="Z532">
            <v>500</v>
          </cell>
          <cell r="AC532">
            <v>101.9426932992326</v>
          </cell>
          <cell r="AD532">
            <v>94.883668517419196</v>
          </cell>
          <cell r="AI532">
            <v>0</v>
          </cell>
        </row>
        <row r="533">
          <cell r="Z533">
            <v>501</v>
          </cell>
          <cell r="AC533">
            <v>101.82785681773989</v>
          </cell>
          <cell r="AD533">
            <v>94.711369802624361</v>
          </cell>
          <cell r="AI533">
            <v>0</v>
          </cell>
        </row>
        <row r="534">
          <cell r="Z534">
            <v>502</v>
          </cell>
          <cell r="AC534">
            <v>101.66912528600874</v>
          </cell>
          <cell r="AD534">
            <v>94.512204754871888</v>
          </cell>
          <cell r="AI534">
            <v>0</v>
          </cell>
        </row>
        <row r="535">
          <cell r="Z535">
            <v>503</v>
          </cell>
          <cell r="AC535">
            <v>101.50803035556831</v>
          </cell>
          <cell r="AD535">
            <v>94.176244683997083</v>
          </cell>
          <cell r="AI535">
            <v>0</v>
          </cell>
        </row>
        <row r="536">
          <cell r="Z536">
            <v>504</v>
          </cell>
          <cell r="AC536">
            <v>101.31333159502138</v>
          </cell>
          <cell r="AD536">
            <v>93.801110477455168</v>
          </cell>
          <cell r="AI536">
            <v>0</v>
          </cell>
        </row>
        <row r="537">
          <cell r="Z537">
            <v>505</v>
          </cell>
          <cell r="AC537">
            <v>101.10021031782087</v>
          </cell>
          <cell r="AD537">
            <v>93.446519419441941</v>
          </cell>
          <cell r="AI537">
            <v>0</v>
          </cell>
        </row>
        <row r="538">
          <cell r="Z538">
            <v>506</v>
          </cell>
          <cell r="AC538">
            <v>100.75213859765353</v>
          </cell>
          <cell r="AD538">
            <v>93.076981470435896</v>
          </cell>
          <cell r="AI538">
            <v>0</v>
          </cell>
        </row>
        <row r="539">
          <cell r="Z539">
            <v>507</v>
          </cell>
          <cell r="AC539">
            <v>100.56655503463337</v>
          </cell>
          <cell r="AD539">
            <v>92.646933177491789</v>
          </cell>
          <cell r="AI539">
            <v>0</v>
          </cell>
        </row>
        <row r="540">
          <cell r="Z540">
            <v>508</v>
          </cell>
          <cell r="AC540">
            <v>100.37197394150067</v>
          </cell>
          <cell r="AD540">
            <v>92.156193626638895</v>
          </cell>
          <cell r="AI540">
            <v>0</v>
          </cell>
        </row>
        <row r="541">
          <cell r="Z541">
            <v>509</v>
          </cell>
          <cell r="AC541">
            <v>100.16323730257061</v>
          </cell>
          <cell r="AD541">
            <v>91.647875580565923</v>
          </cell>
          <cell r="AI541">
            <v>0</v>
          </cell>
        </row>
        <row r="542">
          <cell r="Z542">
            <v>510</v>
          </cell>
          <cell r="AC542">
            <v>99.959879193533581</v>
          </cell>
          <cell r="AD542">
            <v>91.045281855939706</v>
          </cell>
          <cell r="AI542">
            <v>0</v>
          </cell>
        </row>
        <row r="543">
          <cell r="Z543">
            <v>511</v>
          </cell>
          <cell r="AC543">
            <v>99.806418088512558</v>
          </cell>
          <cell r="AD543">
            <v>90.531190186875321</v>
          </cell>
          <cell r="AI543">
            <v>0</v>
          </cell>
        </row>
        <row r="544">
          <cell r="Z544">
            <v>512</v>
          </cell>
          <cell r="AC544">
            <v>99.677859143330679</v>
          </cell>
          <cell r="AD544">
            <v>90.077811943983747</v>
          </cell>
          <cell r="AI544">
            <v>0</v>
          </cell>
        </row>
        <row r="545">
          <cell r="Z545">
            <v>513</v>
          </cell>
          <cell r="AC545">
            <v>99.520103872485393</v>
          </cell>
          <cell r="AD545">
            <v>89.461127232820772</v>
          </cell>
          <cell r="AI545">
            <v>0</v>
          </cell>
        </row>
        <row r="546">
          <cell r="Z546">
            <v>514</v>
          </cell>
          <cell r="AC546">
            <v>99.366688536312068</v>
          </cell>
          <cell r="AD546">
            <v>88.840176565493437</v>
          </cell>
          <cell r="AI546">
            <v>0</v>
          </cell>
        </row>
        <row r="547">
          <cell r="Z547">
            <v>515</v>
          </cell>
          <cell r="AC547">
            <v>99.259728186829875</v>
          </cell>
          <cell r="AD547">
            <v>88.349844168557382</v>
          </cell>
          <cell r="AI547">
            <v>0</v>
          </cell>
        </row>
        <row r="548">
          <cell r="Z548">
            <v>516</v>
          </cell>
          <cell r="AC548">
            <v>99.142280342536424</v>
          </cell>
          <cell r="AD548">
            <v>87.907389646556112</v>
          </cell>
          <cell r="AI548">
            <v>0</v>
          </cell>
        </row>
        <row r="549">
          <cell r="Z549">
            <v>517</v>
          </cell>
          <cell r="AC549">
            <v>99.016532035047078</v>
          </cell>
          <cell r="AD549">
            <v>87.316424136618082</v>
          </cell>
          <cell r="AI549">
            <v>0</v>
          </cell>
        </row>
        <row r="550">
          <cell r="Z550">
            <v>518</v>
          </cell>
          <cell r="AC550">
            <v>98.875890166083011</v>
          </cell>
          <cell r="AD550">
            <v>86.681409513648035</v>
          </cell>
          <cell r="AI550">
            <v>0</v>
          </cell>
        </row>
        <row r="551">
          <cell r="Z551">
            <v>519</v>
          </cell>
          <cell r="AC551">
            <v>98.745113613734844</v>
          </cell>
          <cell r="AD551">
            <v>86.314400121575545</v>
          </cell>
          <cell r="AI551">
            <v>0</v>
          </cell>
        </row>
        <row r="552">
          <cell r="Z552">
            <v>520</v>
          </cell>
          <cell r="AC552">
            <v>98.649734323647181</v>
          </cell>
          <cell r="AD552">
            <v>86.050945136061415</v>
          </cell>
          <cell r="AI552">
            <v>0</v>
          </cell>
        </row>
        <row r="553">
          <cell r="Z553">
            <v>521</v>
          </cell>
          <cell r="AC553">
            <v>98.614548729360536</v>
          </cell>
          <cell r="AD553">
            <v>85.674078409758721</v>
          </cell>
          <cell r="AI553">
            <v>0</v>
          </cell>
        </row>
        <row r="554">
          <cell r="Z554">
            <v>522</v>
          </cell>
          <cell r="AC554">
            <v>98.576900873875616</v>
          </cell>
          <cell r="AD554">
            <v>85.329064891821758</v>
          </cell>
          <cell r="AI554">
            <v>0</v>
          </cell>
        </row>
        <row r="555">
          <cell r="Z555">
            <v>523</v>
          </cell>
          <cell r="AC555">
            <v>98.545270659529905</v>
          </cell>
          <cell r="AD555">
            <v>85.074414892745551</v>
          </cell>
          <cell r="AI555">
            <v>0</v>
          </cell>
        </row>
        <row r="556">
          <cell r="Z556">
            <v>524</v>
          </cell>
          <cell r="AC556">
            <v>98.532837884526145</v>
          </cell>
          <cell r="AD556">
            <v>84.723491260137592</v>
          </cell>
          <cell r="AI556">
            <v>0</v>
          </cell>
        </row>
        <row r="557">
          <cell r="Z557">
            <v>525</v>
          </cell>
          <cell r="AC557">
            <v>98.5425534287874</v>
          </cell>
          <cell r="AD557">
            <v>84.280626203079819</v>
          </cell>
          <cell r="AI557">
            <v>0</v>
          </cell>
        </row>
        <row r="558">
          <cell r="Z558">
            <v>526</v>
          </cell>
          <cell r="AC558">
            <v>98.498415651354634</v>
          </cell>
          <cell r="AD558">
            <v>83.942590507450404</v>
          </cell>
          <cell r="AI558">
            <v>0</v>
          </cell>
        </row>
        <row r="559">
          <cell r="Z559">
            <v>527</v>
          </cell>
          <cell r="AC559">
            <v>98.409454747148487</v>
          </cell>
          <cell r="AD559">
            <v>83.704136502845472</v>
          </cell>
          <cell r="AI559">
            <v>0</v>
          </cell>
        </row>
        <row r="560">
          <cell r="Z560">
            <v>528</v>
          </cell>
          <cell r="AC560">
            <v>98.331419866585549</v>
          </cell>
          <cell r="AD560">
            <v>83.392329495370632</v>
          </cell>
          <cell r="AI560">
            <v>0</v>
          </cell>
        </row>
        <row r="561">
          <cell r="Z561">
            <v>529</v>
          </cell>
          <cell r="AC561">
            <v>98.233031998748871</v>
          </cell>
          <cell r="AD561">
            <v>82.93589693406237</v>
          </cell>
          <cell r="AI561">
            <v>0</v>
          </cell>
        </row>
        <row r="562">
          <cell r="Z562">
            <v>530</v>
          </cell>
          <cell r="AC562">
            <v>98.122380327447502</v>
          </cell>
          <cell r="AD562">
            <v>82.479527925957399</v>
          </cell>
          <cell r="AI562">
            <v>0</v>
          </cell>
        </row>
        <row r="563">
          <cell r="Z563">
            <v>531</v>
          </cell>
          <cell r="AC563">
            <v>98.042335695734067</v>
          </cell>
          <cell r="AD563">
            <v>82.163037109068483</v>
          </cell>
          <cell r="AI563">
            <v>0</v>
          </cell>
        </row>
        <row r="564">
          <cell r="Z564">
            <v>532</v>
          </cell>
          <cell r="AC564">
            <v>97.983447164901889</v>
          </cell>
          <cell r="AD564">
            <v>81.897102782594686</v>
          </cell>
          <cell r="AI564">
            <v>0</v>
          </cell>
        </row>
        <row r="565">
          <cell r="Z565">
            <v>533</v>
          </cell>
          <cell r="AC565">
            <v>97.937961930951715</v>
          </cell>
          <cell r="AD565">
            <v>81.588354278884808</v>
          </cell>
          <cell r="AI565">
            <v>0</v>
          </cell>
        </row>
        <row r="566">
          <cell r="Z566">
            <v>534</v>
          </cell>
          <cell r="AC566">
            <v>97.889149692990969</v>
          </cell>
          <cell r="AD566">
            <v>81.261602133758828</v>
          </cell>
          <cell r="AI566">
            <v>0</v>
          </cell>
        </row>
        <row r="567">
          <cell r="Z567">
            <v>535</v>
          </cell>
          <cell r="AC567">
            <v>97.799386738598258</v>
          </cell>
          <cell r="AD567">
            <v>80.922182925850308</v>
          </cell>
          <cell r="AI567">
            <v>9.0405777887957825E-2</v>
          </cell>
        </row>
        <row r="568">
          <cell r="Z568">
            <v>536</v>
          </cell>
          <cell r="AC568">
            <v>97.575037311444362</v>
          </cell>
          <cell r="AD568">
            <v>80.601667708581061</v>
          </cell>
          <cell r="AI568">
            <v>1.0311430605831737</v>
          </cell>
        </row>
        <row r="569">
          <cell r="Z569">
            <v>537</v>
          </cell>
          <cell r="AC569">
            <v>97.485441969268663</v>
          </cell>
          <cell r="AD569">
            <v>80.323903532877097</v>
          </cell>
          <cell r="AI569">
            <v>2.181352201874375</v>
          </cell>
        </row>
        <row r="570">
          <cell r="Z570">
            <v>538</v>
          </cell>
          <cell r="AC570">
            <v>97.434848967875993</v>
          </cell>
          <cell r="AD570">
            <v>80.010715148597527</v>
          </cell>
          <cell r="AI570">
            <v>3.3315613431655757</v>
          </cell>
        </row>
        <row r="571">
          <cell r="Z571">
            <v>539</v>
          </cell>
          <cell r="AC571">
            <v>97.380674192402211</v>
          </cell>
          <cell r="AD571">
            <v>79.653384512017283</v>
          </cell>
          <cell r="AI571">
            <v>4.4817704844567769</v>
          </cell>
        </row>
        <row r="572">
          <cell r="Z572">
            <v>540</v>
          </cell>
          <cell r="AC572">
            <v>97.313218704733771</v>
          </cell>
          <cell r="AD572">
            <v>79.29283998263071</v>
          </cell>
          <cell r="AI572">
            <v>5.6319796257479782</v>
          </cell>
        </row>
        <row r="573">
          <cell r="Z573">
            <v>541</v>
          </cell>
          <cell r="AC573">
            <v>97.220870806130435</v>
          </cell>
          <cell r="AD573">
            <v>78.967240089447941</v>
          </cell>
          <cell r="AI573">
            <v>6.8017659798103542</v>
          </cell>
        </row>
        <row r="574">
          <cell r="Z574">
            <v>542</v>
          </cell>
          <cell r="AC574">
            <v>97.114010906992178</v>
          </cell>
          <cell r="AD574">
            <v>78.698364191657362</v>
          </cell>
          <cell r="AI574">
            <v>8.7933600063314845</v>
          </cell>
        </row>
        <row r="575">
          <cell r="Z575">
            <v>543</v>
          </cell>
          <cell r="AC575">
            <v>97.010453122542359</v>
          </cell>
          <cell r="AD575">
            <v>78.367063170183727</v>
          </cell>
          <cell r="AI575">
            <v>7.6284265664086375</v>
          </cell>
        </row>
        <row r="576">
          <cell r="Z576">
            <v>544</v>
          </cell>
          <cell r="AC576">
            <v>96.912600199399833</v>
          </cell>
          <cell r="AD576">
            <v>77.942565977889728</v>
          </cell>
          <cell r="AI576">
            <v>1.8048393999400167</v>
          </cell>
        </row>
        <row r="577">
          <cell r="Z577">
            <v>545</v>
          </cell>
          <cell r="AC577">
            <v>96.82123618049819</v>
          </cell>
          <cell r="AD577">
            <v>77.458839358043619</v>
          </cell>
          <cell r="AI577">
            <v>0</v>
          </cell>
        </row>
        <row r="578">
          <cell r="Z578">
            <v>546</v>
          </cell>
          <cell r="AC578">
            <v>96.699668620761969</v>
          </cell>
          <cell r="AD578">
            <v>77.086003534622932</v>
          </cell>
          <cell r="AI578">
            <v>0</v>
          </cell>
        </row>
        <row r="579">
          <cell r="Z579">
            <v>547</v>
          </cell>
          <cell r="AC579">
            <v>96.541517495658212</v>
          </cell>
          <cell r="AD579">
            <v>76.834813812282533</v>
          </cell>
          <cell r="AI579">
            <v>0</v>
          </cell>
        </row>
        <row r="580">
          <cell r="Z580">
            <v>548</v>
          </cell>
          <cell r="AC580">
            <v>96.384148673298355</v>
          </cell>
          <cell r="AD580">
            <v>76.591439413935873</v>
          </cell>
          <cell r="AI580">
            <v>0</v>
          </cell>
        </row>
        <row r="581">
          <cell r="Z581">
            <v>549</v>
          </cell>
          <cell r="AC581">
            <v>96.187518248807223</v>
          </cell>
          <cell r="AD581">
            <v>76.329401094770546</v>
          </cell>
          <cell r="AI581">
            <v>0</v>
          </cell>
        </row>
        <row r="582">
          <cell r="Z582">
            <v>550</v>
          </cell>
          <cell r="AC582">
            <v>95.973014517297813</v>
          </cell>
          <cell r="AD582">
            <v>75.966493463233135</v>
          </cell>
          <cell r="AI582">
            <v>0</v>
          </cell>
        </row>
        <row r="583">
          <cell r="Z583">
            <v>551</v>
          </cell>
          <cell r="AC583">
            <v>95.741050727911173</v>
          </cell>
          <cell r="AD583">
            <v>75.571052496013195</v>
          </cell>
          <cell r="AI583">
            <v>0</v>
          </cell>
        </row>
        <row r="584">
          <cell r="Z584">
            <v>552</v>
          </cell>
          <cell r="AC584">
            <v>95.576087338611643</v>
          </cell>
          <cell r="AD584">
            <v>75.255526735810207</v>
          </cell>
          <cell r="AI584">
            <v>0</v>
          </cell>
        </row>
        <row r="585">
          <cell r="Z585">
            <v>553</v>
          </cell>
          <cell r="AC585">
            <v>95.379019471978452</v>
          </cell>
          <cell r="AD585">
            <v>75.018987763821983</v>
          </cell>
          <cell r="AI585">
            <v>0</v>
          </cell>
        </row>
        <row r="586">
          <cell r="Z586">
            <v>554</v>
          </cell>
          <cell r="AC586">
            <v>95.187133456250237</v>
          </cell>
          <cell r="AD586">
            <v>74.836947784472144</v>
          </cell>
          <cell r="AI586">
            <v>0</v>
          </cell>
        </row>
        <row r="587">
          <cell r="Z587">
            <v>555</v>
          </cell>
          <cell r="AC587">
            <v>94.768894886844009</v>
          </cell>
          <cell r="AD587">
            <v>74.652166869377851</v>
          </cell>
          <cell r="AI587">
            <v>0</v>
          </cell>
        </row>
        <row r="588">
          <cell r="Z588">
            <v>556</v>
          </cell>
          <cell r="AC588">
            <v>94.265523162970979</v>
          </cell>
          <cell r="AD588">
            <v>74.420212770279946</v>
          </cell>
          <cell r="AI588">
            <v>0</v>
          </cell>
        </row>
        <row r="589">
          <cell r="Z589">
            <v>557</v>
          </cell>
          <cell r="AC589">
            <v>93.780207786071571</v>
          </cell>
          <cell r="AD589">
            <v>74.282732684930153</v>
          </cell>
          <cell r="AI589">
            <v>0</v>
          </cell>
        </row>
        <row r="590">
          <cell r="Z590">
            <v>558</v>
          </cell>
          <cell r="AC590">
            <v>93.483508432349595</v>
          </cell>
          <cell r="AD590">
            <v>74.395599322326916</v>
          </cell>
          <cell r="AI590">
            <v>0</v>
          </cell>
        </row>
        <row r="591">
          <cell r="Z591">
            <v>559</v>
          </cell>
          <cell r="AC591">
            <v>93.294699849788316</v>
          </cell>
          <cell r="AD591">
            <v>74.63553619142192</v>
          </cell>
          <cell r="AI591">
            <v>0</v>
          </cell>
        </row>
        <row r="592">
          <cell r="Z592">
            <v>560</v>
          </cell>
          <cell r="AC592">
            <v>93.11138649985638</v>
          </cell>
          <cell r="AD592">
            <v>74.946949272414585</v>
          </cell>
          <cell r="AI592">
            <v>0</v>
          </cell>
        </row>
        <row r="593">
          <cell r="Z593">
            <v>561</v>
          </cell>
          <cell r="AC593">
            <v>92.921243076984112</v>
          </cell>
          <cell r="AD593">
            <v>75.297457434874545</v>
          </cell>
          <cell r="AI593">
            <v>0</v>
          </cell>
        </row>
        <row r="594">
          <cell r="Z594">
            <v>562</v>
          </cell>
          <cell r="AC594">
            <v>92.710882382929938</v>
          </cell>
          <cell r="AD594">
            <v>75.645805304068958</v>
          </cell>
          <cell r="AI594">
            <v>0</v>
          </cell>
        </row>
        <row r="595">
          <cell r="Z595">
            <v>563</v>
          </cell>
          <cell r="AC595">
            <v>92.519739169965888</v>
          </cell>
          <cell r="AD595">
            <v>76.114826921114556</v>
          </cell>
          <cell r="AI595">
            <v>0</v>
          </cell>
        </row>
        <row r="596">
          <cell r="Z596">
            <v>564</v>
          </cell>
          <cell r="AC596">
            <v>92.427067334700524</v>
          </cell>
          <cell r="AD596">
            <v>76.665202147880564</v>
          </cell>
          <cell r="AI596">
            <v>0</v>
          </cell>
        </row>
        <row r="597">
          <cell r="Z597">
            <v>565</v>
          </cell>
          <cell r="AC597">
            <v>92.355376396779249</v>
          </cell>
          <cell r="AD597">
            <v>77.119164597573118</v>
          </cell>
          <cell r="AI597">
            <v>0</v>
          </cell>
        </row>
        <row r="598">
          <cell r="Z598">
            <v>566</v>
          </cell>
          <cell r="AC598">
            <v>92.320733948917933</v>
          </cell>
          <cell r="AD598">
            <v>77.498553155560899</v>
          </cell>
          <cell r="AI598">
            <v>0</v>
          </cell>
        </row>
        <row r="599">
          <cell r="Z599">
            <v>567</v>
          </cell>
          <cell r="AC599">
            <v>92.300427168089413</v>
          </cell>
          <cell r="AD599">
            <v>78.019801156350411</v>
          </cell>
          <cell r="AI599">
            <v>0</v>
          </cell>
        </row>
        <row r="600">
          <cell r="Z600">
            <v>568</v>
          </cell>
          <cell r="AC600">
            <v>92.291868208740226</v>
          </cell>
          <cell r="AD600">
            <v>78.484838200711977</v>
          </cell>
          <cell r="AI600">
            <v>0</v>
          </cell>
        </row>
        <row r="601">
          <cell r="Z601">
            <v>569</v>
          </cell>
          <cell r="AC601">
            <v>92.285237557430037</v>
          </cell>
          <cell r="AD601">
            <v>78.948584140904245</v>
          </cell>
          <cell r="AI601">
            <v>0</v>
          </cell>
        </row>
        <row r="602">
          <cell r="Z602">
            <v>570</v>
          </cell>
          <cell r="AC602">
            <v>92.285094022703575</v>
          </cell>
          <cell r="AD602">
            <v>79.422517911281219</v>
          </cell>
          <cell r="AI602">
            <v>0</v>
          </cell>
        </row>
        <row r="603">
          <cell r="Z603">
            <v>571</v>
          </cell>
          <cell r="AC603">
            <v>92.310537111802589</v>
          </cell>
          <cell r="AD603">
            <v>79.747718842569114</v>
          </cell>
          <cell r="AI603">
            <v>0</v>
          </cell>
        </row>
        <row r="604">
          <cell r="Z604">
            <v>572</v>
          </cell>
          <cell r="AC604">
            <v>92.354180805990055</v>
          </cell>
          <cell r="AD604">
            <v>80.125321062360015</v>
          </cell>
          <cell r="AI604">
            <v>0</v>
          </cell>
        </row>
        <row r="605">
          <cell r="Z605">
            <v>573</v>
          </cell>
          <cell r="AC605">
            <v>92.40127693828498</v>
          </cell>
          <cell r="AD605">
            <v>80.531604424789435</v>
          </cell>
          <cell r="AI605">
            <v>0</v>
          </cell>
        </row>
        <row r="606">
          <cell r="Z606">
            <v>574</v>
          </cell>
          <cell r="AC606">
            <v>92.460946738169753</v>
          </cell>
          <cell r="AD606">
            <v>80.917595122410773</v>
          </cell>
          <cell r="AI606">
            <v>0</v>
          </cell>
        </row>
        <row r="607">
          <cell r="Z607">
            <v>575</v>
          </cell>
          <cell r="AC607">
            <v>92.543651158370693</v>
          </cell>
          <cell r="AD607">
            <v>81.325230543988766</v>
          </cell>
          <cell r="AI607">
            <v>0</v>
          </cell>
        </row>
        <row r="608">
          <cell r="Z608">
            <v>576</v>
          </cell>
          <cell r="AC608">
            <v>92.656504912092842</v>
          </cell>
          <cell r="AD608">
            <v>81.703146403478073</v>
          </cell>
          <cell r="AI608">
            <v>0</v>
          </cell>
        </row>
        <row r="609">
          <cell r="Z609">
            <v>577</v>
          </cell>
          <cell r="AC609">
            <v>92.757638055401017</v>
          </cell>
          <cell r="AD609">
            <v>82.055661587095742</v>
          </cell>
          <cell r="AI609">
            <v>0</v>
          </cell>
        </row>
        <row r="610">
          <cell r="Z610">
            <v>578</v>
          </cell>
          <cell r="AC610">
            <v>92.861128869403913</v>
          </cell>
          <cell r="AD610">
            <v>82.415237025866546</v>
          </cell>
          <cell r="AI610">
            <v>0</v>
          </cell>
        </row>
        <row r="611">
          <cell r="Z611">
            <v>579</v>
          </cell>
          <cell r="AC611">
            <v>93.006691438049202</v>
          </cell>
          <cell r="AD611">
            <v>82.751038944999962</v>
          </cell>
          <cell r="AI611">
            <v>0</v>
          </cell>
        </row>
        <row r="612">
          <cell r="Z612">
            <v>580</v>
          </cell>
          <cell r="AC612">
            <v>93.16551503519311</v>
          </cell>
          <cell r="AD612">
            <v>83.067155113564027</v>
          </cell>
          <cell r="AI612">
            <v>0</v>
          </cell>
        </row>
        <row r="613">
          <cell r="Z613">
            <v>581</v>
          </cell>
          <cell r="AC613">
            <v>93.26726883317292</v>
          </cell>
          <cell r="AD613">
            <v>83.316536131484696</v>
          </cell>
          <cell r="AI613">
            <v>0</v>
          </cell>
        </row>
        <row r="614">
          <cell r="Z614">
            <v>582</v>
          </cell>
          <cell r="AC614">
            <v>93.380518489991942</v>
          </cell>
          <cell r="AD614">
            <v>83.585522324407947</v>
          </cell>
          <cell r="AI614">
            <v>0</v>
          </cell>
        </row>
        <row r="615">
          <cell r="Z615">
            <v>583</v>
          </cell>
          <cell r="AC615">
            <v>93.537638811810666</v>
          </cell>
          <cell r="AD615">
            <v>83.932309165046377</v>
          </cell>
          <cell r="AI615">
            <v>0</v>
          </cell>
        </row>
        <row r="616">
          <cell r="Z616">
            <v>584</v>
          </cell>
          <cell r="AC616">
            <v>93.654767106379083</v>
          </cell>
          <cell r="AD616">
            <v>84.203359526028564</v>
          </cell>
          <cell r="AI616">
            <v>0</v>
          </cell>
        </row>
        <row r="617">
          <cell r="Z617">
            <v>585</v>
          </cell>
          <cell r="AC617">
            <v>93.751140773549423</v>
          </cell>
          <cell r="AD617">
            <v>84.261331752830785</v>
          </cell>
          <cell r="AI617">
            <v>0</v>
          </cell>
        </row>
        <row r="618">
          <cell r="Z618">
            <v>586</v>
          </cell>
          <cell r="AC618">
            <v>93.926785132210298</v>
          </cell>
          <cell r="AD618">
            <v>84.489313637946978</v>
          </cell>
          <cell r="AI618">
            <v>0</v>
          </cell>
        </row>
        <row r="619">
          <cell r="Z619">
            <v>587</v>
          </cell>
          <cell r="AC619">
            <v>94.013572101493438</v>
          </cell>
          <cell r="AD619">
            <v>84.682252700240142</v>
          </cell>
          <cell r="AI619">
            <v>0</v>
          </cell>
        </row>
        <row r="620">
          <cell r="Z620">
            <v>588</v>
          </cell>
          <cell r="AC620">
            <v>94.103813252840254</v>
          </cell>
          <cell r="AD620">
            <v>84.89043958523358</v>
          </cell>
          <cell r="AI620">
            <v>0</v>
          </cell>
        </row>
        <row r="621">
          <cell r="Z621">
            <v>589</v>
          </cell>
          <cell r="AC621">
            <v>94.121034280298716</v>
          </cell>
          <cell r="AD621">
            <v>85.074686504960994</v>
          </cell>
          <cell r="AI621">
            <v>0</v>
          </cell>
        </row>
        <row r="622">
          <cell r="Z622">
            <v>590</v>
          </cell>
          <cell r="AC622">
            <v>94.214194866386052</v>
          </cell>
          <cell r="AD622">
            <v>85.271058660833418</v>
          </cell>
          <cell r="AI622">
            <v>0</v>
          </cell>
        </row>
        <row r="623">
          <cell r="Z623">
            <v>591</v>
          </cell>
          <cell r="AC623">
            <v>94.310712283008101</v>
          </cell>
          <cell r="AD623">
            <v>85.457347448906077</v>
          </cell>
          <cell r="AI623">
            <v>0</v>
          </cell>
        </row>
        <row r="624">
          <cell r="Z624">
            <v>592</v>
          </cell>
          <cell r="AC624">
            <v>94.378133619496637</v>
          </cell>
          <cell r="AD624">
            <v>85.623879561934828</v>
          </cell>
          <cell r="AI624">
            <v>0</v>
          </cell>
        </row>
        <row r="625">
          <cell r="Z625">
            <v>593</v>
          </cell>
          <cell r="AC625">
            <v>94.451527299785596</v>
          </cell>
          <cell r="AD625">
            <v>85.774791153930721</v>
          </cell>
          <cell r="AI625">
            <v>0</v>
          </cell>
        </row>
        <row r="626">
          <cell r="Z626">
            <v>594</v>
          </cell>
          <cell r="AC626">
            <v>94.533981882848821</v>
          </cell>
          <cell r="AD626">
            <v>85.938023182389543</v>
          </cell>
          <cell r="AI626">
            <v>0</v>
          </cell>
        </row>
        <row r="627">
          <cell r="Z627">
            <v>595</v>
          </cell>
          <cell r="AC627">
            <v>94.636229181984191</v>
          </cell>
          <cell r="AD627">
            <v>86.111184454943213</v>
          </cell>
          <cell r="AI627">
            <v>0</v>
          </cell>
        </row>
        <row r="628">
          <cell r="Z628">
            <v>596</v>
          </cell>
          <cell r="AC628">
            <v>94.827154108077124</v>
          </cell>
          <cell r="AD628">
            <v>86.299702735495359</v>
          </cell>
          <cell r="AI628">
            <v>0</v>
          </cell>
        </row>
        <row r="629">
          <cell r="Z629">
            <v>597</v>
          </cell>
          <cell r="AC629">
            <v>94.939959271016875</v>
          </cell>
          <cell r="AD629">
            <v>86.340288607275369</v>
          </cell>
          <cell r="AI629">
            <v>0</v>
          </cell>
        </row>
        <row r="630">
          <cell r="Z630">
            <v>598</v>
          </cell>
          <cell r="AC630">
            <v>95.011788905843702</v>
          </cell>
          <cell r="AD630">
            <v>86.553324935252306</v>
          </cell>
          <cell r="AI630">
            <v>0</v>
          </cell>
        </row>
        <row r="631">
          <cell r="Z631">
            <v>599</v>
          </cell>
          <cell r="AC631">
            <v>95.081479331763077</v>
          </cell>
          <cell r="AD631">
            <v>86.686713026327723</v>
          </cell>
          <cell r="AI631">
            <v>0</v>
          </cell>
        </row>
        <row r="632">
          <cell r="AC632">
            <v>109.1070664047258</v>
          </cell>
          <cell r="AD632">
            <v>82.208214422234931</v>
          </cell>
          <cell r="AI632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1831"/>
  <sheetViews>
    <sheetView zoomScale="90" zoomScaleNormal="90" workbookViewId="0">
      <selection activeCell="T20" sqref="T20"/>
    </sheetView>
  </sheetViews>
  <sheetFormatPr defaultRowHeight="15" x14ac:dyDescent="0.25"/>
  <cols>
    <col min="16" max="16" width="6.5703125" customWidth="1"/>
    <col min="17" max="17" width="9.5703125" bestFit="1" customWidth="1"/>
    <col min="18" max="18" width="18.28515625" bestFit="1" customWidth="1"/>
    <col min="19" max="19" width="10" customWidth="1"/>
    <col min="20" max="20" width="12.42578125" bestFit="1" customWidth="1"/>
    <col min="21" max="21" width="7" bestFit="1" customWidth="1"/>
    <col min="22" max="22" width="54" bestFit="1" customWidth="1"/>
    <col min="23" max="23" width="10.7109375" customWidth="1"/>
    <col min="24" max="24" width="9" customWidth="1"/>
    <col min="25" max="25" width="7" bestFit="1" customWidth="1"/>
    <col min="26" max="26" width="8.7109375" bestFit="1" customWidth="1"/>
    <col min="27" max="27" width="16.140625" bestFit="1" customWidth="1"/>
    <col min="28" max="28" width="9.5703125" bestFit="1" customWidth="1"/>
    <col min="31" max="31" width="9.5703125" bestFit="1" customWidth="1"/>
    <col min="35" max="35" width="19.5703125" bestFit="1" customWidth="1"/>
    <col min="36" max="36" width="19.5703125" customWidth="1"/>
    <col min="39" max="39" width="11.5703125" bestFit="1" customWidth="1"/>
    <col min="40" max="40" width="10" bestFit="1" customWidth="1"/>
  </cols>
  <sheetData>
    <row r="1" spans="16:30" ht="15.75" thickBot="1" x14ac:dyDescent="0.3"/>
    <row r="2" spans="16:30" ht="15.75" thickBot="1" x14ac:dyDescent="0.3">
      <c r="V2" s="1" t="s">
        <v>0</v>
      </c>
      <c r="W2" s="2"/>
      <c r="X2" s="2"/>
      <c r="Y2" s="3"/>
    </row>
    <row r="3" spans="16:30" x14ac:dyDescent="0.25">
      <c r="Q3" t="s">
        <v>1</v>
      </c>
      <c r="V3" s="4" t="s">
        <v>2</v>
      </c>
      <c r="W3" s="5" t="s">
        <v>3</v>
      </c>
      <c r="X3" s="5" t="s">
        <v>4</v>
      </c>
      <c r="Y3" s="6"/>
      <c r="AB3">
        <v>0</v>
      </c>
      <c r="AC3" s="7">
        <f>Q5</f>
        <v>3</v>
      </c>
      <c r="AD3">
        <f>AC3/10</f>
        <v>0.3</v>
      </c>
    </row>
    <row r="4" spans="16:30" x14ac:dyDescent="0.25">
      <c r="Q4" t="s">
        <v>5</v>
      </c>
      <c r="R4" t="s">
        <v>6</v>
      </c>
      <c r="S4" t="s">
        <v>7</v>
      </c>
      <c r="T4" t="s">
        <v>8</v>
      </c>
      <c r="V4" s="8" t="s">
        <v>9</v>
      </c>
      <c r="W4" s="9" t="s">
        <v>10</v>
      </c>
      <c r="X4" s="9"/>
      <c r="Y4" s="10" t="s">
        <v>11</v>
      </c>
      <c r="AB4">
        <f>R5</f>
        <v>50</v>
      </c>
      <c r="AC4" s="7">
        <f>AC3</f>
        <v>3</v>
      </c>
      <c r="AD4">
        <f t="shared" ref="AD4:AD16" si="0">AC4/10</f>
        <v>0.3</v>
      </c>
    </row>
    <row r="5" spans="16:30" x14ac:dyDescent="0.25">
      <c r="P5" s="11">
        <f>COUNTA(Q5:Q11)</f>
        <v>7</v>
      </c>
      <c r="Q5">
        <v>3</v>
      </c>
      <c r="R5">
        <f>T5</f>
        <v>50</v>
      </c>
      <c r="S5">
        <v>200</v>
      </c>
      <c r="T5">
        <v>50</v>
      </c>
      <c r="V5" s="8" t="s">
        <v>12</v>
      </c>
      <c r="W5" s="9" t="s">
        <v>13</v>
      </c>
      <c r="X5" s="12">
        <v>3.8</v>
      </c>
      <c r="Y5" s="13">
        <f>25+$P$5+18</f>
        <v>50</v>
      </c>
      <c r="AB5">
        <f>AB4</f>
        <v>50</v>
      </c>
      <c r="AC5" s="7">
        <f>Q6</f>
        <v>8</v>
      </c>
      <c r="AD5">
        <f t="shared" si="0"/>
        <v>0.8</v>
      </c>
    </row>
    <row r="6" spans="16:30" x14ac:dyDescent="0.25">
      <c r="Q6">
        <v>8</v>
      </c>
      <c r="R6">
        <f>R5+T6</f>
        <v>140</v>
      </c>
      <c r="S6">
        <v>200</v>
      </c>
      <c r="T6">
        <v>90</v>
      </c>
      <c r="V6" s="8" t="s">
        <v>14</v>
      </c>
      <c r="W6" s="9" t="s">
        <v>13</v>
      </c>
      <c r="X6" s="12">
        <v>5</v>
      </c>
      <c r="Y6" s="13">
        <f>25+$P$5+20</f>
        <v>52</v>
      </c>
      <c r="AB6">
        <f>R6</f>
        <v>140</v>
      </c>
      <c r="AC6" s="7">
        <f>AC5</f>
        <v>8</v>
      </c>
      <c r="AD6">
        <f t="shared" si="0"/>
        <v>0.8</v>
      </c>
    </row>
    <row r="7" spans="16:30" x14ac:dyDescent="0.25">
      <c r="Q7" s="14">
        <f>365/24</f>
        <v>15.208333333333334</v>
      </c>
      <c r="R7">
        <f>R6+T7</f>
        <v>200</v>
      </c>
      <c r="S7">
        <v>50</v>
      </c>
      <c r="T7">
        <v>60</v>
      </c>
      <c r="V7" s="8" t="s">
        <v>15</v>
      </c>
      <c r="W7" s="9" t="s">
        <v>13</v>
      </c>
      <c r="X7" s="12">
        <v>0.5</v>
      </c>
      <c r="Y7" s="13">
        <f>25+$P$5+22</f>
        <v>54</v>
      </c>
      <c r="AB7">
        <f>AB6</f>
        <v>140</v>
      </c>
      <c r="AC7" s="7">
        <f>Q7</f>
        <v>15.208333333333334</v>
      </c>
      <c r="AD7">
        <f t="shared" si="0"/>
        <v>1.5208333333333335</v>
      </c>
    </row>
    <row r="8" spans="16:30" x14ac:dyDescent="0.25">
      <c r="Q8" s="14">
        <f>476/24</f>
        <v>19.833333333333332</v>
      </c>
      <c r="R8" s="7">
        <f>R7+T8</f>
        <v>304.39999999999998</v>
      </c>
      <c r="S8">
        <v>50</v>
      </c>
      <c r="T8">
        <f>1.74*60</f>
        <v>104.4</v>
      </c>
      <c r="V8" s="15" t="s">
        <v>16</v>
      </c>
      <c r="W8" s="16"/>
      <c r="X8" s="12">
        <v>0.37</v>
      </c>
      <c r="Y8" s="13">
        <f>25+$P$5+12</f>
        <v>44</v>
      </c>
      <c r="AB8">
        <f>R7</f>
        <v>200</v>
      </c>
      <c r="AC8" s="7">
        <f>AC7</f>
        <v>15.208333333333334</v>
      </c>
      <c r="AD8">
        <f t="shared" si="0"/>
        <v>1.5208333333333335</v>
      </c>
    </row>
    <row r="9" spans="16:30" x14ac:dyDescent="0.25">
      <c r="Q9">
        <f>840/24</f>
        <v>35</v>
      </c>
      <c r="R9" s="7">
        <f>R8+T9</f>
        <v>425.59999999999997</v>
      </c>
      <c r="S9">
        <v>50</v>
      </c>
      <c r="T9">
        <f>2.02*60</f>
        <v>121.2</v>
      </c>
      <c r="V9" s="8" t="s">
        <v>17</v>
      </c>
      <c r="W9" s="9" t="s">
        <v>13</v>
      </c>
      <c r="X9" s="12">
        <v>1</v>
      </c>
      <c r="Y9" s="13">
        <f>25+$P$5+26</f>
        <v>58</v>
      </c>
      <c r="AB9">
        <f>AB8</f>
        <v>200</v>
      </c>
      <c r="AC9" s="7">
        <f>Q8</f>
        <v>19.833333333333332</v>
      </c>
      <c r="AD9">
        <f t="shared" si="0"/>
        <v>1.9833333333333332</v>
      </c>
    </row>
    <row r="10" spans="16:30" x14ac:dyDescent="0.25">
      <c r="Q10">
        <f>1794/24</f>
        <v>74.75</v>
      </c>
      <c r="R10" s="7">
        <f t="shared" ref="R10:R11" si="1">R9+T10</f>
        <v>448.59999999999997</v>
      </c>
      <c r="S10">
        <v>50</v>
      </c>
      <c r="T10">
        <v>23</v>
      </c>
      <c r="V10" s="8" t="s">
        <v>18</v>
      </c>
      <c r="W10" s="9" t="s">
        <v>13</v>
      </c>
      <c r="X10" s="17">
        <v>1</v>
      </c>
      <c r="Y10" s="13">
        <f>25+$P$5+28</f>
        <v>60</v>
      </c>
      <c r="AB10">
        <f>R8</f>
        <v>304.39999999999998</v>
      </c>
      <c r="AC10" s="7">
        <f>AC9</f>
        <v>19.833333333333332</v>
      </c>
      <c r="AD10">
        <f t="shared" si="0"/>
        <v>1.9833333333333332</v>
      </c>
    </row>
    <row r="11" spans="16:30" x14ac:dyDescent="0.25">
      <c r="Q11">
        <v>215</v>
      </c>
      <c r="R11" s="7">
        <f t="shared" si="1"/>
        <v>494.59999999999997</v>
      </c>
      <c r="S11">
        <v>50</v>
      </c>
      <c r="T11" s="7">
        <v>46</v>
      </c>
      <c r="V11" s="8" t="s">
        <v>19</v>
      </c>
      <c r="W11" s="9" t="s">
        <v>13</v>
      </c>
      <c r="X11" s="12">
        <v>3.6</v>
      </c>
      <c r="Y11" s="13">
        <f>25+$P$5+30</f>
        <v>62</v>
      </c>
      <c r="AB11">
        <f>AB10</f>
        <v>304.39999999999998</v>
      </c>
      <c r="AC11" s="7">
        <f>Q9</f>
        <v>35</v>
      </c>
      <c r="AD11">
        <f t="shared" si="0"/>
        <v>3.5</v>
      </c>
    </row>
    <row r="12" spans="16:30" x14ac:dyDescent="0.25">
      <c r="P12" s="11" t="s">
        <v>20</v>
      </c>
      <c r="Q12" s="11">
        <f>Q5*T5/60+Q6*T6/60+Q7*T7/60+Q8*T8/60+Q9*T9/60+Q10*T10/60+Q11*T11/60</f>
        <v>328.40583333333336</v>
      </c>
      <c r="R12" s="18">
        <f>LARGE(R5:R11,1)</f>
        <v>494.59999999999997</v>
      </c>
      <c r="S12" s="11"/>
      <c r="T12" s="11">
        <f>SUM(T5:T11)</f>
        <v>494.59999999999997</v>
      </c>
      <c r="V12" s="15"/>
      <c r="W12" s="16"/>
      <c r="X12" s="16"/>
      <c r="Y12" s="13"/>
      <c r="AB12">
        <f>R9</f>
        <v>425.59999999999997</v>
      </c>
      <c r="AC12" s="7">
        <f>AC11</f>
        <v>35</v>
      </c>
      <c r="AD12">
        <f t="shared" si="0"/>
        <v>3.5</v>
      </c>
    </row>
    <row r="13" spans="16:30" x14ac:dyDescent="0.25">
      <c r="R13" s="7"/>
      <c r="V13" s="8"/>
      <c r="W13" s="9"/>
      <c r="X13" s="9"/>
      <c r="Y13" s="10"/>
      <c r="AB13">
        <f>AB12</f>
        <v>425.59999999999997</v>
      </c>
      <c r="AC13" s="7">
        <f>Q10</f>
        <v>74.75</v>
      </c>
      <c r="AD13">
        <f t="shared" si="0"/>
        <v>7.4749999999999996</v>
      </c>
    </row>
    <row r="14" spans="16:30" x14ac:dyDescent="0.25">
      <c r="Q14" s="19" t="s">
        <v>21</v>
      </c>
      <c r="R14" s="19"/>
      <c r="S14" s="19"/>
      <c r="T14" s="20">
        <f>SUM(AI33:AI632)/60</f>
        <v>85.324627980652494</v>
      </c>
      <c r="V14" s="15"/>
      <c r="W14" s="16"/>
      <c r="X14" s="16"/>
      <c r="Y14" s="13"/>
      <c r="AB14">
        <f>R10</f>
        <v>448.59999999999997</v>
      </c>
      <c r="AC14" s="7">
        <f>AC13</f>
        <v>74.75</v>
      </c>
      <c r="AD14">
        <f t="shared" si="0"/>
        <v>7.4749999999999996</v>
      </c>
    </row>
    <row r="15" spans="16:30" x14ac:dyDescent="0.25">
      <c r="V15" s="21" t="s">
        <v>22</v>
      </c>
      <c r="W15" s="16" t="s">
        <v>23</v>
      </c>
      <c r="X15" s="16"/>
      <c r="Y15" s="13"/>
      <c r="AB15">
        <f>AB14</f>
        <v>448.59999999999997</v>
      </c>
      <c r="AC15" s="7">
        <f>Q11</f>
        <v>215</v>
      </c>
      <c r="AD15">
        <f t="shared" si="0"/>
        <v>21.5</v>
      </c>
    </row>
    <row r="16" spans="16:30" x14ac:dyDescent="0.25">
      <c r="Q16" s="11" t="s">
        <v>24</v>
      </c>
      <c r="R16" s="11"/>
      <c r="S16" s="11"/>
      <c r="T16" s="22">
        <f>((X19/2)^2+(X19/2)*(X21/2)+(X21/2)^2)*X22*3.1415/3+X19^2*3.1415/4*(X20-X22)</f>
        <v>604.71283262500015</v>
      </c>
      <c r="V16" s="23" t="s">
        <v>25</v>
      </c>
      <c r="W16" s="16">
        <v>1</v>
      </c>
      <c r="X16" s="16" t="s">
        <v>26</v>
      </c>
      <c r="Y16" s="13">
        <f>25+$P$5+36</f>
        <v>68</v>
      </c>
      <c r="AB16">
        <f>R11</f>
        <v>494.59999999999997</v>
      </c>
      <c r="AC16" s="7">
        <f>AC15</f>
        <v>215</v>
      </c>
      <c r="AD16">
        <f t="shared" si="0"/>
        <v>21.5</v>
      </c>
    </row>
    <row r="17" spans="1:43" ht="15.75" thickBot="1" x14ac:dyDescent="0.3">
      <c r="V17" s="24" t="s">
        <v>27</v>
      </c>
      <c r="W17" s="25">
        <v>0.2</v>
      </c>
      <c r="X17" s="25" t="s">
        <v>28</v>
      </c>
      <c r="Y17" s="26">
        <f>25+$P$5+34</f>
        <v>66</v>
      </c>
      <c r="AC17" s="7"/>
    </row>
    <row r="18" spans="1:43" x14ac:dyDescent="0.25">
      <c r="Q18" t="s">
        <v>29</v>
      </c>
      <c r="T18" s="27">
        <v>1</v>
      </c>
      <c r="V18" s="28"/>
      <c r="W18" s="29"/>
      <c r="X18" s="29"/>
      <c r="Y18" s="30"/>
      <c r="AC18" s="7"/>
    </row>
    <row r="19" spans="1:43" x14ac:dyDescent="0.25">
      <c r="V19" s="15" t="s">
        <v>30</v>
      </c>
      <c r="W19" s="16"/>
      <c r="X19" s="31">
        <v>6.4</v>
      </c>
      <c r="Y19" s="13">
        <v>10</v>
      </c>
      <c r="AC19" s="7"/>
    </row>
    <row r="20" spans="1:43" x14ac:dyDescent="0.25">
      <c r="Q20" s="11" t="s">
        <v>31</v>
      </c>
      <c r="R20" s="11"/>
      <c r="S20" s="11"/>
      <c r="T20" s="11">
        <f>(Q12-T18*X19^2*3.1415/4-X29)/T16</f>
        <v>0.35191642033664366</v>
      </c>
      <c r="V20" s="15" t="s">
        <v>32</v>
      </c>
      <c r="W20" s="16"/>
      <c r="X20" s="31">
        <v>21.2</v>
      </c>
      <c r="Y20" s="13">
        <v>12</v>
      </c>
      <c r="AC20" s="7"/>
    </row>
    <row r="21" spans="1:43" x14ac:dyDescent="0.25">
      <c r="V21" s="15" t="s">
        <v>33</v>
      </c>
      <c r="W21" s="16"/>
      <c r="X21" s="31">
        <v>2.2000000000000002</v>
      </c>
      <c r="Y21" s="13">
        <v>14</v>
      </c>
      <c r="AC21" s="7"/>
    </row>
    <row r="22" spans="1:43" x14ac:dyDescent="0.25">
      <c r="S22" s="32" t="s">
        <v>34</v>
      </c>
      <c r="T22" s="14">
        <f>F137/1000</f>
        <v>302.495</v>
      </c>
      <c r="V22" s="15" t="s">
        <v>35</v>
      </c>
      <c r="W22" s="16"/>
      <c r="X22" s="31">
        <v>4.6849999999999996</v>
      </c>
      <c r="Y22" s="13">
        <v>16</v>
      </c>
      <c r="AC22" s="7"/>
    </row>
    <row r="23" spans="1:43" x14ac:dyDescent="0.25">
      <c r="S23" s="32" t="s">
        <v>36</v>
      </c>
      <c r="T23" s="14">
        <f>F138/1000</f>
        <v>34.706099999999999</v>
      </c>
      <c r="V23" s="15" t="s">
        <v>37</v>
      </c>
      <c r="W23" s="16"/>
      <c r="X23" s="33">
        <v>3</v>
      </c>
      <c r="Y23" s="13">
        <v>20</v>
      </c>
    </row>
    <row r="24" spans="1:43" x14ac:dyDescent="0.25">
      <c r="V24" s="15" t="s">
        <v>38</v>
      </c>
      <c r="W24" s="16"/>
      <c r="X24" s="34">
        <f>AA33</f>
        <v>420.24524377538449</v>
      </c>
      <c r="Y24" s="13">
        <v>22</v>
      </c>
    </row>
    <row r="25" spans="1:43" x14ac:dyDescent="0.25">
      <c r="R25" t="s">
        <v>39</v>
      </c>
      <c r="V25" s="15" t="s">
        <v>40</v>
      </c>
      <c r="W25" s="16"/>
      <c r="X25" s="31">
        <v>1.26</v>
      </c>
      <c r="Y25" s="13">
        <f>25+$P$5+6</f>
        <v>38</v>
      </c>
    </row>
    <row r="26" spans="1:43" x14ac:dyDescent="0.25">
      <c r="V26" s="15" t="s">
        <v>41</v>
      </c>
      <c r="W26" s="16"/>
      <c r="X26" s="31">
        <v>0.26</v>
      </c>
      <c r="Y26" s="13">
        <f>25+$P$5+8</f>
        <v>40</v>
      </c>
    </row>
    <row r="27" spans="1:43" ht="15" customHeight="1" x14ac:dyDescent="0.25">
      <c r="Q27" s="35"/>
      <c r="R27" s="35"/>
      <c r="S27" s="35"/>
      <c r="T27" s="35"/>
      <c r="V27" s="8" t="s">
        <v>42</v>
      </c>
      <c r="W27" s="9" t="s">
        <v>13</v>
      </c>
      <c r="X27" s="12">
        <v>1</v>
      </c>
      <c r="Y27" s="13">
        <f>25+$P$5+24</f>
        <v>56</v>
      </c>
    </row>
    <row r="28" spans="1:43" ht="15" customHeight="1" thickBot="1" x14ac:dyDescent="0.3">
      <c r="Q28" s="35"/>
      <c r="R28" s="35"/>
      <c r="S28" s="35"/>
      <c r="T28" s="35"/>
      <c r="U28" s="35"/>
      <c r="V28" s="36" t="s">
        <v>43</v>
      </c>
      <c r="W28" s="37"/>
      <c r="X28" s="38">
        <v>0.95</v>
      </c>
      <c r="Y28" s="26">
        <f>25+$P$5+14</f>
        <v>46</v>
      </c>
      <c r="AA28" s="39" t="s">
        <v>44</v>
      </c>
      <c r="AB28" s="35"/>
    </row>
    <row r="29" spans="1:43" ht="15.75" thickBot="1" x14ac:dyDescent="0.3">
      <c r="V29" s="40" t="s">
        <v>21</v>
      </c>
      <c r="W29" s="41"/>
      <c r="X29" s="42">
        <f>SUM(AK33:AK632)/60</f>
        <v>83.428497944311346</v>
      </c>
      <c r="Y29" s="43">
        <f>25+$P$5+53</f>
        <v>85</v>
      </c>
      <c r="AA29" s="44">
        <v>43014.04583333333</v>
      </c>
      <c r="AB29" s="44"/>
      <c r="AC29" s="44"/>
      <c r="AD29" s="44"/>
      <c r="AE29" s="44"/>
      <c r="AF29" s="44"/>
      <c r="AH29" s="35"/>
      <c r="AJ29" s="35"/>
      <c r="AL29" s="35"/>
      <c r="AM29" s="35"/>
      <c r="AN29" s="35"/>
      <c r="AO29" s="35"/>
      <c r="AP29" s="35" t="s">
        <v>45</v>
      </c>
      <c r="AQ29" t="s">
        <v>46</v>
      </c>
    </row>
    <row r="30" spans="1:43" ht="15.75" thickBot="1" x14ac:dyDescent="0.3">
      <c r="AA30" s="45" t="s">
        <v>47</v>
      </c>
      <c r="AB30" s="45"/>
      <c r="AH30" s="46"/>
      <c r="AI30" s="47" t="s">
        <v>48</v>
      </c>
      <c r="AJ30" s="47" t="s">
        <v>48</v>
      </c>
      <c r="AM30" t="s">
        <v>49</v>
      </c>
      <c r="AP30">
        <v>0</v>
      </c>
      <c r="AQ30">
        <v>1287.95</v>
      </c>
    </row>
    <row r="31" spans="1:43" x14ac:dyDescent="0.25">
      <c r="D31" t="s">
        <v>50</v>
      </c>
      <c r="F31" t="s">
        <v>50</v>
      </c>
      <c r="G31" t="s">
        <v>50</v>
      </c>
      <c r="N31" t="s">
        <v>51</v>
      </c>
      <c r="W31" s="11">
        <f>COUNTA(W32:W132)</f>
        <v>101</v>
      </c>
      <c r="Z31" t="s">
        <v>49</v>
      </c>
      <c r="AA31" s="48" t="s">
        <v>52</v>
      </c>
      <c r="AB31" s="49"/>
      <c r="AC31" s="49"/>
      <c r="AD31" s="50"/>
      <c r="AE31" s="48" t="s">
        <v>53</v>
      </c>
      <c r="AF31" s="49"/>
      <c r="AG31" s="49"/>
      <c r="AH31" s="50"/>
      <c r="AI31" s="47" t="s">
        <v>54</v>
      </c>
      <c r="AJ31" s="47" t="s">
        <v>55</v>
      </c>
      <c r="AM31">
        <v>0</v>
      </c>
      <c r="AP31">
        <v>1</v>
      </c>
      <c r="AQ31">
        <v>545.79600000000005</v>
      </c>
    </row>
    <row r="32" spans="1:43" x14ac:dyDescent="0.25">
      <c r="A32" s="51" t="s">
        <v>56</v>
      </c>
      <c r="B32" t="s">
        <v>57</v>
      </c>
      <c r="C32" t="s">
        <v>58</v>
      </c>
      <c r="D32" t="s">
        <v>59</v>
      </c>
      <c r="E32" t="s">
        <v>60</v>
      </c>
      <c r="F32" t="s">
        <v>61</v>
      </c>
      <c r="G32" t="s">
        <v>62</v>
      </c>
      <c r="H32" t="s">
        <v>63</v>
      </c>
      <c r="I32" t="s">
        <v>64</v>
      </c>
      <c r="N32" t="s">
        <v>65</v>
      </c>
      <c r="O32" t="s">
        <v>66</v>
      </c>
      <c r="R32" t="s">
        <v>65</v>
      </c>
      <c r="S32" t="s">
        <v>66</v>
      </c>
      <c r="W32">
        <v>0</v>
      </c>
      <c r="X32" s="14">
        <f>TRUNC(AA33,1)</f>
        <v>420.2</v>
      </c>
      <c r="Z32">
        <v>0</v>
      </c>
      <c r="AA32" s="52" t="s">
        <v>67</v>
      </c>
      <c r="AB32" s="53" t="s">
        <v>68</v>
      </c>
      <c r="AC32" s="53" t="s">
        <v>69</v>
      </c>
      <c r="AD32" s="54" t="s">
        <v>70</v>
      </c>
      <c r="AE32" s="52" t="s">
        <v>67</v>
      </c>
      <c r="AF32" s="53" t="s">
        <v>68</v>
      </c>
      <c r="AG32" s="53" t="s">
        <v>69</v>
      </c>
      <c r="AH32" s="54" t="s">
        <v>70</v>
      </c>
      <c r="AI32" s="55" t="s">
        <v>71</v>
      </c>
      <c r="AJ32" s="55" t="s">
        <v>72</v>
      </c>
      <c r="AM32" s="56">
        <v>1</v>
      </c>
      <c r="AN32" s="56">
        <f>AA33-AA34</f>
        <v>9.637681716969837E-2</v>
      </c>
      <c r="AP32">
        <v>2</v>
      </c>
      <c r="AQ32">
        <v>545.79600000000005</v>
      </c>
    </row>
    <row r="33" spans="1:43" x14ac:dyDescent="0.25">
      <c r="A33" s="14">
        <v>0</v>
      </c>
      <c r="B33" s="14">
        <v>370.98</v>
      </c>
      <c r="C33" s="14">
        <v>420.2</v>
      </c>
      <c r="D33" s="14">
        <v>420.2</v>
      </c>
      <c r="E33" s="14">
        <v>420.2</v>
      </c>
      <c r="F33" s="14">
        <v>3</v>
      </c>
      <c r="G33" s="14">
        <v>0</v>
      </c>
      <c r="H33" s="14">
        <v>420.2</v>
      </c>
      <c r="I33" s="14">
        <v>420.2</v>
      </c>
      <c r="J33" s="7"/>
      <c r="M33" s="14"/>
      <c r="N33" s="14">
        <v>0.33333299999999999</v>
      </c>
      <c r="O33" s="14">
        <v>0</v>
      </c>
      <c r="P33">
        <v>0</v>
      </c>
      <c r="Q33" s="57"/>
      <c r="R33" s="56">
        <f>N35</f>
        <v>1</v>
      </c>
      <c r="S33" s="56">
        <f>P35</f>
        <v>9.2769599999999994E-2</v>
      </c>
      <c r="W33">
        <f>W32+5</f>
        <v>5</v>
      </c>
      <c r="X33" s="14">
        <f>TRUNC(VLOOKUP(W33,$Z$32:$AA$631,2,FALSE),1)</f>
        <v>419.8</v>
      </c>
      <c r="Z33">
        <v>1</v>
      </c>
      <c r="AA33" s="58">
        <v>420.24524377538449</v>
      </c>
      <c r="AB33" s="59">
        <v>27.321945643894242</v>
      </c>
      <c r="AC33" s="59">
        <v>447.56718941927875</v>
      </c>
      <c r="AD33" s="60">
        <v>392.92329813149024</v>
      </c>
      <c r="AE33" s="61">
        <v>1</v>
      </c>
      <c r="AF33" s="62">
        <v>0</v>
      </c>
      <c r="AG33" s="62">
        <v>1</v>
      </c>
      <c r="AH33" s="63">
        <v>1</v>
      </c>
      <c r="AI33">
        <f>AJ33/24</f>
        <v>4.9140899924889636</v>
      </c>
      <c r="AJ33" s="64">
        <v>117.93815981973513</v>
      </c>
      <c r="AK33">
        <f t="shared" ref="AK33:AK96" si="2">IF(Z33&lt;=$R$12,AI33," ")</f>
        <v>4.9140899924889636</v>
      </c>
      <c r="AM33" s="56">
        <v>2</v>
      </c>
      <c r="AN33" s="56">
        <f t="shared" ref="AN33:AN96" si="3">AA34-AA35</f>
        <v>0.10089354086215963</v>
      </c>
      <c r="AP33">
        <v>3</v>
      </c>
      <c r="AQ33">
        <v>545.79600000000005</v>
      </c>
    </row>
    <row r="34" spans="1:43" x14ac:dyDescent="0.25">
      <c r="A34" s="14">
        <v>5</v>
      </c>
      <c r="B34" s="14">
        <v>368.31</v>
      </c>
      <c r="C34" s="14">
        <v>419.04399999999998</v>
      </c>
      <c r="D34" s="14">
        <v>419.97</v>
      </c>
      <c r="E34" s="14">
        <v>420.154</v>
      </c>
      <c r="F34" s="14">
        <v>3</v>
      </c>
      <c r="G34" s="14">
        <v>0</v>
      </c>
      <c r="H34" s="14">
        <v>408.78800000000001</v>
      </c>
      <c r="I34" s="14">
        <v>413.32400000000001</v>
      </c>
      <c r="J34" s="7"/>
      <c r="M34" s="14"/>
      <c r="N34" s="14">
        <v>0.66666700000000001</v>
      </c>
      <c r="O34" s="14">
        <v>1.14054E-2</v>
      </c>
      <c r="P34">
        <v>0</v>
      </c>
      <c r="Q34" s="57"/>
      <c r="R34" s="56">
        <f>N38</f>
        <v>2</v>
      </c>
      <c r="S34" s="56">
        <f>P38</f>
        <v>9.9977900000000008E-2</v>
      </c>
      <c r="W34">
        <f t="shared" ref="W34:W97" si="4">W33+5</f>
        <v>10</v>
      </c>
      <c r="X34" s="14">
        <f t="shared" ref="X34:X97" si="5">TRUNC(VLOOKUP(W34,$Z$32:$AA$631,2,FALSE),1)</f>
        <v>419.2</v>
      </c>
      <c r="Z34">
        <v>2</v>
      </c>
      <c r="AA34" s="58">
        <v>420.1488669582148</v>
      </c>
      <c r="AB34" s="59">
        <v>27.249677790023963</v>
      </c>
      <c r="AC34" s="59">
        <v>447.39854474823875</v>
      </c>
      <c r="AD34" s="60">
        <v>392.89918916819084</v>
      </c>
      <c r="AE34" s="61">
        <v>0.99977943457821905</v>
      </c>
      <c r="AF34" s="62">
        <v>3.7588141489206764E-4</v>
      </c>
      <c r="AG34" s="62">
        <v>1.0001553159931111</v>
      </c>
      <c r="AH34" s="63">
        <v>0.99940355316332696</v>
      </c>
      <c r="AI34">
        <f t="shared" ref="AI34:AI97" si="6">AJ34/24</f>
        <v>1.9738475535994358</v>
      </c>
      <c r="AJ34" s="64">
        <v>47.372341286386458</v>
      </c>
      <c r="AK34">
        <f t="shared" si="2"/>
        <v>1.9738475535994358</v>
      </c>
      <c r="AM34" s="56">
        <v>3</v>
      </c>
      <c r="AN34" s="56">
        <f t="shared" si="3"/>
        <v>0.10943720321961337</v>
      </c>
      <c r="AP34">
        <v>4</v>
      </c>
      <c r="AQ34">
        <v>520.41200000000003</v>
      </c>
    </row>
    <row r="35" spans="1:43" x14ac:dyDescent="0.25">
      <c r="A35" s="14">
        <v>10</v>
      </c>
      <c r="B35" s="14">
        <v>368.18599999999998</v>
      </c>
      <c r="C35" s="14">
        <v>417.839</v>
      </c>
      <c r="D35" s="14">
        <v>419.73</v>
      </c>
      <c r="E35" s="14">
        <v>420.10300000000001</v>
      </c>
      <c r="F35" s="14">
        <v>3</v>
      </c>
      <c r="G35" s="14">
        <v>0</v>
      </c>
      <c r="H35" s="14">
        <v>407.64800000000002</v>
      </c>
      <c r="I35" s="14">
        <v>413.08100000000002</v>
      </c>
      <c r="J35" s="7"/>
      <c r="M35" s="14"/>
      <c r="N35" s="14">
        <v>1</v>
      </c>
      <c r="O35" s="14">
        <v>8.1364199999999998E-2</v>
      </c>
      <c r="P35" s="14">
        <f>O35+O34+O33</f>
        <v>9.2769599999999994E-2</v>
      </c>
      <c r="Q35" s="57"/>
      <c r="R35" s="56">
        <f>N41</f>
        <v>3</v>
      </c>
      <c r="S35" s="56">
        <f>P41</f>
        <v>0.16867989999999999</v>
      </c>
      <c r="W35">
        <f t="shared" si="4"/>
        <v>15</v>
      </c>
      <c r="X35" s="14">
        <f t="shared" si="5"/>
        <v>418.5</v>
      </c>
      <c r="Z35">
        <v>3</v>
      </c>
      <c r="AA35" s="58">
        <v>420.04797341735264</v>
      </c>
      <c r="AB35" s="59">
        <v>27.177907785129044</v>
      </c>
      <c r="AC35" s="59">
        <v>447.22588120248167</v>
      </c>
      <c r="AD35" s="60">
        <v>392.8700656322236</v>
      </c>
      <c r="AE35" s="61">
        <v>0.99954816596244866</v>
      </c>
      <c r="AF35" s="62">
        <v>7.4516561822278731E-4</v>
      </c>
      <c r="AG35" s="62">
        <v>1.0002933315806715</v>
      </c>
      <c r="AH35" s="63">
        <v>0.99880300034422587</v>
      </c>
      <c r="AI35">
        <f t="shared" si="6"/>
        <v>0.43290730562661589</v>
      </c>
      <c r="AJ35" s="64">
        <v>10.389775335038781</v>
      </c>
      <c r="AK35">
        <f t="shared" si="2"/>
        <v>0.43290730562661589</v>
      </c>
      <c r="AM35" s="56">
        <v>4</v>
      </c>
      <c r="AN35" s="56">
        <f t="shared" si="3"/>
        <v>0.10963960494615321</v>
      </c>
      <c r="AP35">
        <v>5</v>
      </c>
      <c r="AQ35">
        <v>520.41200000000003</v>
      </c>
    </row>
    <row r="36" spans="1:43" x14ac:dyDescent="0.25">
      <c r="A36" s="14">
        <v>15</v>
      </c>
      <c r="B36" s="14">
        <v>368.072</v>
      </c>
      <c r="C36" s="14">
        <v>416.64100000000002</v>
      </c>
      <c r="D36" s="14">
        <v>419.48599999999999</v>
      </c>
      <c r="E36" s="14">
        <v>420.05200000000002</v>
      </c>
      <c r="F36" s="14">
        <v>3</v>
      </c>
      <c r="G36" s="14">
        <v>0</v>
      </c>
      <c r="H36" s="14">
        <v>406.51499999999999</v>
      </c>
      <c r="I36" s="14">
        <v>412.846</v>
      </c>
      <c r="J36" s="7"/>
      <c r="M36" s="14"/>
      <c r="N36" s="14">
        <v>1.3333299999999999</v>
      </c>
      <c r="O36" s="14">
        <v>1.06488E-2</v>
      </c>
      <c r="P36">
        <v>0</v>
      </c>
      <c r="Q36" s="57"/>
      <c r="R36" s="56">
        <f>N44</f>
        <v>4</v>
      </c>
      <c r="S36" s="56">
        <f>P44</f>
        <v>9.7342100000000001E-2</v>
      </c>
      <c r="W36">
        <f t="shared" si="4"/>
        <v>20</v>
      </c>
      <c r="X36" s="14">
        <f t="shared" si="5"/>
        <v>417.6</v>
      </c>
      <c r="Z36">
        <v>4</v>
      </c>
      <c r="AA36" s="58">
        <v>419.93853621413302</v>
      </c>
      <c r="AB36" s="59">
        <v>27.106274449735082</v>
      </c>
      <c r="AC36" s="59">
        <v>447.04481066386813</v>
      </c>
      <c r="AD36" s="60">
        <v>392.83226176439791</v>
      </c>
      <c r="AE36" s="61">
        <v>0.99929665159293812</v>
      </c>
      <c r="AF36" s="62">
        <v>1.1056509513083595E-3</v>
      </c>
      <c r="AG36" s="62">
        <v>1.0004023025442466</v>
      </c>
      <c r="AH36" s="63">
        <v>0.9981910006416298</v>
      </c>
      <c r="AI36">
        <f t="shared" si="6"/>
        <v>1.5082468828056126</v>
      </c>
      <c r="AJ36" s="64">
        <v>36.197925187334704</v>
      </c>
      <c r="AK36">
        <f t="shared" si="2"/>
        <v>1.5082468828056126</v>
      </c>
      <c r="AM36" s="56">
        <v>5</v>
      </c>
      <c r="AN36" s="56">
        <f t="shared" si="3"/>
        <v>0.1096396049462669</v>
      </c>
      <c r="AP36">
        <v>6</v>
      </c>
      <c r="AQ36">
        <v>515.54600000000005</v>
      </c>
    </row>
    <row r="37" spans="1:43" x14ac:dyDescent="0.25">
      <c r="A37" s="14">
        <v>20</v>
      </c>
      <c r="B37" s="14">
        <v>367.96</v>
      </c>
      <c r="C37" s="14">
        <v>415.44900000000001</v>
      </c>
      <c r="D37" s="14">
        <v>419.24799999999999</v>
      </c>
      <c r="E37" s="14">
        <v>420</v>
      </c>
      <c r="F37" s="14">
        <v>3</v>
      </c>
      <c r="G37" s="14">
        <v>0</v>
      </c>
      <c r="H37" s="14">
        <v>405.38799999999998</v>
      </c>
      <c r="I37" s="14">
        <v>412.608</v>
      </c>
      <c r="J37" s="7"/>
      <c r="M37" s="14"/>
      <c r="N37" s="14">
        <v>1.6666700000000001</v>
      </c>
      <c r="O37" s="14">
        <v>7.8250700000000006E-2</v>
      </c>
      <c r="P37">
        <v>0</v>
      </c>
      <c r="Q37" s="57"/>
      <c r="R37" s="56">
        <f>N47</f>
        <v>5</v>
      </c>
      <c r="S37" s="56">
        <f>P47</f>
        <v>0.15919889999999998</v>
      </c>
      <c r="W37">
        <f t="shared" si="4"/>
        <v>25</v>
      </c>
      <c r="X37" s="14">
        <f t="shared" si="5"/>
        <v>416.7</v>
      </c>
      <c r="Z37">
        <v>5</v>
      </c>
      <c r="AA37" s="58">
        <v>419.82889660918687</v>
      </c>
      <c r="AB37" s="59">
        <v>27.035440970363076</v>
      </c>
      <c r="AC37" s="59">
        <v>446.86433757954995</v>
      </c>
      <c r="AD37" s="60">
        <v>392.79345563882379</v>
      </c>
      <c r="AE37" s="61">
        <v>0.99904465759591643</v>
      </c>
      <c r="AF37" s="62">
        <v>1.4683123988014214E-3</v>
      </c>
      <c r="AG37" s="62">
        <v>1.0005129699947179</v>
      </c>
      <c r="AH37" s="63">
        <v>0.99757634519711502</v>
      </c>
      <c r="AI37">
        <f t="shared" si="6"/>
        <v>1.4729300727673111</v>
      </c>
      <c r="AJ37" s="64">
        <v>35.350321746415467</v>
      </c>
      <c r="AK37">
        <f t="shared" si="2"/>
        <v>1.4729300727673111</v>
      </c>
      <c r="AM37" s="56">
        <v>6</v>
      </c>
      <c r="AN37" s="56">
        <f t="shared" si="3"/>
        <v>0.1096396049462669</v>
      </c>
      <c r="AP37">
        <v>7</v>
      </c>
      <c r="AQ37">
        <v>515.54600000000005</v>
      </c>
    </row>
    <row r="38" spans="1:43" x14ac:dyDescent="0.25">
      <c r="A38" s="14">
        <v>25</v>
      </c>
      <c r="B38" s="14">
        <v>367.85300000000001</v>
      </c>
      <c r="C38" s="14">
        <v>414.26400000000001</v>
      </c>
      <c r="D38" s="14">
        <v>419.00700000000001</v>
      </c>
      <c r="E38" s="14">
        <v>419.94900000000001</v>
      </c>
      <c r="F38" s="14">
        <v>3</v>
      </c>
      <c r="G38" s="14">
        <v>0</v>
      </c>
      <c r="H38" s="14">
        <v>404.26799999999997</v>
      </c>
      <c r="I38" s="14">
        <v>412.37400000000002</v>
      </c>
      <c r="J38" s="7"/>
      <c r="M38" s="14"/>
      <c r="N38" s="14">
        <v>2</v>
      </c>
      <c r="O38" s="14">
        <v>1.10784E-2</v>
      </c>
      <c r="P38" s="14">
        <f>O38+O37+O36</f>
        <v>9.9977900000000008E-2</v>
      </c>
      <c r="Q38" s="57"/>
      <c r="R38" s="56">
        <f>N50</f>
        <v>6</v>
      </c>
      <c r="S38" s="56">
        <f>P50</f>
        <v>9.5750999999999989E-2</v>
      </c>
      <c r="W38">
        <f t="shared" si="4"/>
        <v>30</v>
      </c>
      <c r="X38" s="14">
        <f t="shared" si="5"/>
        <v>415.7</v>
      </c>
      <c r="Z38">
        <v>6</v>
      </c>
      <c r="AA38" s="58">
        <v>419.7192570042406</v>
      </c>
      <c r="AB38" s="59">
        <v>26.965430071985242</v>
      </c>
      <c r="AC38" s="59">
        <v>446.68468707622583</v>
      </c>
      <c r="AD38" s="60">
        <v>392.75382693225538</v>
      </c>
      <c r="AE38" s="61">
        <v>0.99879266359889429</v>
      </c>
      <c r="AF38" s="62">
        <v>1.8319680491727961E-3</v>
      </c>
      <c r="AG38" s="62">
        <v>1.0006246316480671</v>
      </c>
      <c r="AH38" s="63">
        <v>0.99696069554972144</v>
      </c>
      <c r="AI38">
        <f t="shared" si="6"/>
        <v>0.59828955895378788</v>
      </c>
      <c r="AJ38" s="64">
        <v>14.358949414890908</v>
      </c>
      <c r="AK38">
        <f t="shared" si="2"/>
        <v>0.59828955895378788</v>
      </c>
      <c r="AM38" s="56">
        <v>7</v>
      </c>
      <c r="AN38" s="56">
        <f t="shared" si="3"/>
        <v>0.10963960494621006</v>
      </c>
      <c r="AP38">
        <v>8</v>
      </c>
      <c r="AQ38">
        <v>515.54600000000005</v>
      </c>
    </row>
    <row r="39" spans="1:43" x14ac:dyDescent="0.25">
      <c r="A39" s="14">
        <v>30</v>
      </c>
      <c r="B39" s="14">
        <v>367.74900000000002</v>
      </c>
      <c r="C39" s="14">
        <v>413.08600000000001</v>
      </c>
      <c r="D39" s="14">
        <v>418.76900000000001</v>
      </c>
      <c r="E39" s="14">
        <v>419.89800000000002</v>
      </c>
      <c r="F39" s="14">
        <v>3</v>
      </c>
      <c r="G39" s="14">
        <v>0</v>
      </c>
      <c r="H39" s="14">
        <v>403.154</v>
      </c>
      <c r="I39" s="14">
        <v>412.13900000000001</v>
      </c>
      <c r="J39" s="7"/>
      <c r="M39" s="14"/>
      <c r="N39" s="14">
        <v>2.3333300000000001</v>
      </c>
      <c r="O39" s="14">
        <v>8.0243599999999998E-2</v>
      </c>
      <c r="P39">
        <v>0</v>
      </c>
      <c r="Q39" s="57"/>
      <c r="R39" s="56">
        <f>N53</f>
        <v>7</v>
      </c>
      <c r="S39" s="56">
        <f>P53</f>
        <v>0.15148200000000001</v>
      </c>
      <c r="W39">
        <f t="shared" si="4"/>
        <v>35</v>
      </c>
      <c r="X39" s="14">
        <f t="shared" si="5"/>
        <v>414.8</v>
      </c>
      <c r="Z39">
        <v>7</v>
      </c>
      <c r="AA39" s="58">
        <v>419.60961739929434</v>
      </c>
      <c r="AB39" s="59">
        <v>26.896248178134183</v>
      </c>
      <c r="AC39" s="59">
        <v>446.50586557742849</v>
      </c>
      <c r="AD39" s="60">
        <v>392.71336922116018</v>
      </c>
      <c r="AE39" s="61">
        <v>0.99854066960187227</v>
      </c>
      <c r="AF39" s="62">
        <v>2.1961240685073281E-3</v>
      </c>
      <c r="AG39" s="62">
        <v>1.0007367936703795</v>
      </c>
      <c r="AH39" s="63">
        <v>0.99634454553336493</v>
      </c>
      <c r="AI39">
        <f t="shared" si="6"/>
        <v>2.1802780161156883</v>
      </c>
      <c r="AJ39" s="64">
        <v>52.326672386776522</v>
      </c>
      <c r="AK39">
        <f t="shared" si="2"/>
        <v>2.1802780161156883</v>
      </c>
      <c r="AM39" s="56">
        <v>8</v>
      </c>
      <c r="AN39" s="56">
        <f t="shared" si="3"/>
        <v>0.1096396049462669</v>
      </c>
      <c r="AP39">
        <v>9</v>
      </c>
      <c r="AQ39">
        <v>515.54600000000005</v>
      </c>
    </row>
    <row r="40" spans="1:43" x14ac:dyDescent="0.25">
      <c r="A40" s="14">
        <v>35</v>
      </c>
      <c r="B40" s="14">
        <v>367.64600000000002</v>
      </c>
      <c r="C40" s="14">
        <v>411.91500000000002</v>
      </c>
      <c r="D40" s="14">
        <v>418.529</v>
      </c>
      <c r="E40" s="14">
        <v>419.846</v>
      </c>
      <c r="F40" s="14">
        <v>3</v>
      </c>
      <c r="G40" s="14">
        <v>0</v>
      </c>
      <c r="H40" s="14">
        <v>402.04599999999999</v>
      </c>
      <c r="I40" s="14">
        <v>411.90600000000001</v>
      </c>
      <c r="J40" s="7"/>
      <c r="M40" s="14"/>
      <c r="N40" s="14">
        <v>2.6666699999999999</v>
      </c>
      <c r="O40" s="14">
        <v>1.0567699999999999E-2</v>
      </c>
      <c r="P40">
        <v>0</v>
      </c>
      <c r="Q40" s="57"/>
      <c r="R40" s="56">
        <f>N56</f>
        <v>8</v>
      </c>
      <c r="S40" s="56">
        <f>P56</f>
        <v>9.4584100000000004E-2</v>
      </c>
      <c r="W40">
        <f t="shared" si="4"/>
        <v>40</v>
      </c>
      <c r="X40" s="14">
        <f t="shared" si="5"/>
        <v>413.8</v>
      </c>
      <c r="Z40">
        <v>8</v>
      </c>
      <c r="AA40" s="58">
        <v>419.49997779434813</v>
      </c>
      <c r="AB40" s="59">
        <v>26.827901702145134</v>
      </c>
      <c r="AC40" s="59">
        <v>446.32787949649327</v>
      </c>
      <c r="AD40" s="60">
        <v>392.67207609220299</v>
      </c>
      <c r="AE40" s="61">
        <v>0.99828867560485046</v>
      </c>
      <c r="AF40" s="62">
        <v>2.5605669828643817E-3</v>
      </c>
      <c r="AG40" s="62">
        <v>1.0008492425877149</v>
      </c>
      <c r="AH40" s="63">
        <v>0.99572810862198613</v>
      </c>
      <c r="AI40">
        <f t="shared" si="6"/>
        <v>2.0953186191701572</v>
      </c>
      <c r="AJ40" s="64">
        <v>50.287646860083775</v>
      </c>
      <c r="AK40">
        <f t="shared" si="2"/>
        <v>2.0953186191701572</v>
      </c>
      <c r="AM40" s="56">
        <v>9</v>
      </c>
      <c r="AN40" s="56">
        <f t="shared" si="3"/>
        <v>0.10963960494621006</v>
      </c>
      <c r="AP40">
        <v>10</v>
      </c>
      <c r="AQ40">
        <v>500.89800000000002</v>
      </c>
    </row>
    <row r="41" spans="1:43" x14ac:dyDescent="0.25">
      <c r="A41" s="14">
        <v>40</v>
      </c>
      <c r="B41" s="14">
        <v>367.54300000000001</v>
      </c>
      <c r="C41" s="14">
        <v>410.75</v>
      </c>
      <c r="D41" s="14">
        <v>418.29</v>
      </c>
      <c r="E41" s="14">
        <v>419.79399999999998</v>
      </c>
      <c r="F41" s="14">
        <v>3</v>
      </c>
      <c r="G41" s="14">
        <v>0</v>
      </c>
      <c r="H41" s="14">
        <v>400.94499999999999</v>
      </c>
      <c r="I41" s="14">
        <v>411.67099999999999</v>
      </c>
      <c r="J41" s="7"/>
      <c r="M41" s="14"/>
      <c r="N41" s="14">
        <v>3</v>
      </c>
      <c r="O41" s="14">
        <v>7.7868599999999996E-2</v>
      </c>
      <c r="P41" s="14">
        <f>O41+O40+O39</f>
        <v>0.16867989999999999</v>
      </c>
      <c r="Q41" s="57"/>
      <c r="R41" s="56">
        <f>N59</f>
        <v>9</v>
      </c>
      <c r="S41" s="56">
        <f>P59</f>
        <v>0.1447726</v>
      </c>
      <c r="W41">
        <f t="shared" si="4"/>
        <v>45</v>
      </c>
      <c r="X41" s="14">
        <f t="shared" si="5"/>
        <v>412.7</v>
      </c>
      <c r="Z41">
        <v>9</v>
      </c>
      <c r="AA41" s="58">
        <v>419.39033818940186</v>
      </c>
      <c r="AB41" s="59">
        <v>26.760397045030111</v>
      </c>
      <c r="AC41" s="59">
        <v>446.15073523443198</v>
      </c>
      <c r="AD41" s="60">
        <v>392.62994114437174</v>
      </c>
      <c r="AE41" s="61">
        <v>0.99803668160782844</v>
      </c>
      <c r="AF41" s="62">
        <v>2.9251895633555626E-3</v>
      </c>
      <c r="AG41" s="62">
        <v>1.0009618711711841</v>
      </c>
      <c r="AH41" s="63">
        <v>0.99511149204447291</v>
      </c>
      <c r="AI41">
        <f t="shared" si="6"/>
        <v>1.7270532351284373</v>
      </c>
      <c r="AJ41" s="64">
        <v>41.449277643082496</v>
      </c>
      <c r="AK41">
        <f t="shared" si="2"/>
        <v>1.7270532351284373</v>
      </c>
      <c r="AM41" s="56">
        <v>10</v>
      </c>
      <c r="AN41" s="56">
        <f t="shared" si="3"/>
        <v>0.10963960494621006</v>
      </c>
      <c r="AP41">
        <v>11</v>
      </c>
      <c r="AQ41">
        <v>500.89800000000002</v>
      </c>
    </row>
    <row r="42" spans="1:43" x14ac:dyDescent="0.25">
      <c r="A42" s="14">
        <v>45</v>
      </c>
      <c r="B42" s="14">
        <v>367.44200000000001</v>
      </c>
      <c r="C42" s="14">
        <v>409.59199999999998</v>
      </c>
      <c r="D42" s="14">
        <v>418.05099999999999</v>
      </c>
      <c r="E42" s="14">
        <v>419.74299999999999</v>
      </c>
      <c r="F42" s="14">
        <v>3</v>
      </c>
      <c r="G42" s="14">
        <v>0</v>
      </c>
      <c r="H42" s="14">
        <v>399.84899999999999</v>
      </c>
      <c r="I42" s="14">
        <v>411.43900000000002</v>
      </c>
      <c r="J42" s="7"/>
      <c r="M42" s="14"/>
      <c r="N42" s="14">
        <v>3.3333300000000001</v>
      </c>
      <c r="O42" s="14">
        <v>1.1542800000000001E-2</v>
      </c>
      <c r="P42">
        <v>0</v>
      </c>
      <c r="Q42" s="57"/>
      <c r="R42" s="56">
        <f>N62</f>
        <v>10</v>
      </c>
      <c r="S42" s="56">
        <f>P62</f>
        <v>9.4183300000000011E-2</v>
      </c>
      <c r="W42">
        <f t="shared" si="4"/>
        <v>50</v>
      </c>
      <c r="X42" s="14">
        <f t="shared" si="5"/>
        <v>411.7</v>
      </c>
      <c r="Z42">
        <v>10</v>
      </c>
      <c r="AA42" s="58">
        <v>419.28069858445565</v>
      </c>
      <c r="AB42" s="59">
        <v>26.69374059330891</v>
      </c>
      <c r="AC42" s="59">
        <v>445.97443917776457</v>
      </c>
      <c r="AD42" s="60">
        <v>392.58695799114673</v>
      </c>
      <c r="AE42" s="61">
        <v>0.99778468761080652</v>
      </c>
      <c r="AF42" s="62">
        <v>3.2899320734272228E-3</v>
      </c>
      <c r="AG42" s="62">
        <v>1.0010746196842337</v>
      </c>
      <c r="AH42" s="63">
        <v>0.99449475553737932</v>
      </c>
      <c r="AI42">
        <f t="shared" si="6"/>
        <v>3.9422648664478213</v>
      </c>
      <c r="AJ42" s="64">
        <v>94.614356794747707</v>
      </c>
      <c r="AK42">
        <f t="shared" si="2"/>
        <v>3.9422648664478213</v>
      </c>
      <c r="AM42" s="56">
        <v>11</v>
      </c>
      <c r="AN42" s="56">
        <f t="shared" si="3"/>
        <v>0.12854614129105357</v>
      </c>
      <c r="AP42">
        <v>12</v>
      </c>
      <c r="AQ42">
        <v>494.09199999999998</v>
      </c>
    </row>
    <row r="43" spans="1:43" x14ac:dyDescent="0.25">
      <c r="A43" s="14">
        <v>50</v>
      </c>
      <c r="B43" s="14">
        <v>303.64600000000002</v>
      </c>
      <c r="C43" s="14">
        <v>408.44099999999997</v>
      </c>
      <c r="D43" s="14">
        <v>417.81200000000001</v>
      </c>
      <c r="E43" s="14">
        <v>419.69099999999997</v>
      </c>
      <c r="F43" s="14">
        <v>8</v>
      </c>
      <c r="G43" s="14">
        <v>0</v>
      </c>
      <c r="H43" s="14">
        <v>398.76</v>
      </c>
      <c r="I43" s="14">
        <v>411.20499999999998</v>
      </c>
      <c r="J43" s="7"/>
      <c r="M43" s="14"/>
      <c r="N43" s="14">
        <v>3.6666699999999999</v>
      </c>
      <c r="O43" s="14">
        <v>7.3249099999999998E-2</v>
      </c>
      <c r="P43">
        <v>0</v>
      </c>
      <c r="Q43" s="57"/>
      <c r="R43" s="56">
        <f>N65</f>
        <v>11</v>
      </c>
      <c r="S43" s="56">
        <f>P65</f>
        <v>0.14002799999999999</v>
      </c>
      <c r="W43">
        <f t="shared" si="4"/>
        <v>55</v>
      </c>
      <c r="X43" s="14">
        <f t="shared" si="5"/>
        <v>410.6</v>
      </c>
      <c r="Z43">
        <v>11</v>
      </c>
      <c r="AA43" s="58">
        <v>419.17105897950944</v>
      </c>
      <c r="AB43" s="59">
        <v>26.62793871679888</v>
      </c>
      <c r="AC43" s="59">
        <v>445.79899769630833</v>
      </c>
      <c r="AD43" s="60">
        <v>392.54312026271054</v>
      </c>
      <c r="AE43" s="61">
        <v>0.99753269361378449</v>
      </c>
      <c r="AF43" s="62">
        <v>3.6547586065753296E-3</v>
      </c>
      <c r="AG43" s="62">
        <v>1.0011874522203599</v>
      </c>
      <c r="AH43" s="63">
        <v>0.99387793500720911</v>
      </c>
      <c r="AI43">
        <f t="shared" si="6"/>
        <v>3.0507642085221125</v>
      </c>
      <c r="AJ43" s="64">
        <v>73.2183410045307</v>
      </c>
      <c r="AK43">
        <f t="shared" si="2"/>
        <v>3.0507642085221125</v>
      </c>
      <c r="AM43" s="56">
        <v>12</v>
      </c>
      <c r="AN43" s="56">
        <f t="shared" si="3"/>
        <v>0.16436699954027745</v>
      </c>
      <c r="AP43">
        <v>13</v>
      </c>
      <c r="AQ43">
        <v>494.09199999999998</v>
      </c>
    </row>
    <row r="44" spans="1:43" x14ac:dyDescent="0.25">
      <c r="A44" s="14">
        <v>55</v>
      </c>
      <c r="B44" s="14">
        <v>302.11700000000002</v>
      </c>
      <c r="C44" s="14">
        <v>406.79199999999997</v>
      </c>
      <c r="D44" s="14">
        <v>416.916</v>
      </c>
      <c r="E44" s="14">
        <v>419.51600000000002</v>
      </c>
      <c r="F44" s="14">
        <v>8</v>
      </c>
      <c r="G44" s="14">
        <v>0</v>
      </c>
      <c r="H44" s="14">
        <v>391.76799999999997</v>
      </c>
      <c r="I44" s="14">
        <v>409.24099999999999</v>
      </c>
      <c r="J44" s="7"/>
      <c r="M44" s="14"/>
      <c r="N44" s="14">
        <v>4</v>
      </c>
      <c r="O44" s="14">
        <v>1.2550199999999999E-2</v>
      </c>
      <c r="P44" s="14">
        <f>O44+O43+O42</f>
        <v>9.7342100000000001E-2</v>
      </c>
      <c r="Q44" s="57"/>
      <c r="R44" s="56">
        <f>N68</f>
        <v>12</v>
      </c>
      <c r="S44" s="56">
        <f>P68</f>
        <v>9.3783900000000003E-2</v>
      </c>
      <c r="W44">
        <f t="shared" si="4"/>
        <v>60</v>
      </c>
      <c r="X44" s="14">
        <f t="shared" si="5"/>
        <v>409.5</v>
      </c>
      <c r="Z44">
        <v>12</v>
      </c>
      <c r="AA44" s="58">
        <v>419.04251283821839</v>
      </c>
      <c r="AB44" s="59">
        <v>26.548328252334507</v>
      </c>
      <c r="AC44" s="59">
        <v>445.59084109055289</v>
      </c>
      <c r="AD44" s="60">
        <v>392.49418458588389</v>
      </c>
      <c r="AE44" s="61">
        <v>0.99723741136039212</v>
      </c>
      <c r="AF44" s="62">
        <v>3.9903455473916964E-3</v>
      </c>
      <c r="AG44" s="62">
        <v>1.0012277569077839</v>
      </c>
      <c r="AH44" s="63">
        <v>0.99324706581300037</v>
      </c>
      <c r="AI44">
        <f t="shared" si="6"/>
        <v>3.0746258797002688</v>
      </c>
      <c r="AJ44" s="64">
        <v>73.791021112806447</v>
      </c>
      <c r="AK44">
        <f t="shared" si="2"/>
        <v>3.0746258797002688</v>
      </c>
      <c r="AM44" s="56">
        <v>13</v>
      </c>
      <c r="AN44" s="56">
        <f t="shared" si="3"/>
        <v>0.16860237969154923</v>
      </c>
      <c r="AP44">
        <v>14</v>
      </c>
      <c r="AQ44">
        <v>494.09199999999998</v>
      </c>
    </row>
    <row r="45" spans="1:43" x14ac:dyDescent="0.25">
      <c r="A45" s="14">
        <v>60</v>
      </c>
      <c r="B45" s="14">
        <v>301.928</v>
      </c>
      <c r="C45" s="14">
        <v>405.065</v>
      </c>
      <c r="D45" s="14">
        <v>416.42899999999997</v>
      </c>
      <c r="E45" s="14">
        <v>419.36900000000003</v>
      </c>
      <c r="F45" s="14">
        <v>8</v>
      </c>
      <c r="G45" s="14">
        <v>0</v>
      </c>
      <c r="H45" s="14">
        <v>390.18099999999998</v>
      </c>
      <c r="I45" s="14">
        <v>408.68599999999998</v>
      </c>
      <c r="J45" s="7"/>
      <c r="M45" s="14"/>
      <c r="N45" s="14">
        <v>4.3333300000000001</v>
      </c>
      <c r="O45" s="14">
        <v>7.4494400000000002E-2</v>
      </c>
      <c r="P45">
        <v>0</v>
      </c>
      <c r="Q45" s="57"/>
      <c r="R45" s="56">
        <f>N71</f>
        <v>13</v>
      </c>
      <c r="S45" s="56">
        <f>P71</f>
        <v>0.13655820000000002</v>
      </c>
      <c r="W45">
        <f t="shared" si="4"/>
        <v>65</v>
      </c>
      <c r="X45" s="14">
        <f t="shared" si="5"/>
        <v>408.4</v>
      </c>
      <c r="Z45">
        <v>13</v>
      </c>
      <c r="AA45" s="58">
        <v>418.87814583867811</v>
      </c>
      <c r="AB45" s="59">
        <v>26.446584240953957</v>
      </c>
      <c r="AC45" s="59">
        <v>445.32473007963205</v>
      </c>
      <c r="AD45" s="60">
        <v>392.43156159772417</v>
      </c>
      <c r="AE45" s="61">
        <v>0.99685943114240305</v>
      </c>
      <c r="AF45" s="62">
        <v>4.279462692201536E-3</v>
      </c>
      <c r="AG45" s="62">
        <v>1.0011388938346046</v>
      </c>
      <c r="AH45" s="63">
        <v>0.99257996845020147</v>
      </c>
      <c r="AI45">
        <f t="shared" si="6"/>
        <v>1.2408182167296651</v>
      </c>
      <c r="AJ45" s="64">
        <v>29.779637201511964</v>
      </c>
      <c r="AK45">
        <f t="shared" si="2"/>
        <v>1.2408182167296651</v>
      </c>
      <c r="AM45" s="56">
        <v>14</v>
      </c>
      <c r="AN45" s="56">
        <f t="shared" si="3"/>
        <v>0.16867067279054027</v>
      </c>
      <c r="AP45">
        <v>15</v>
      </c>
      <c r="AQ45">
        <v>494.09199999999998</v>
      </c>
    </row>
    <row r="46" spans="1:43" x14ac:dyDescent="0.25">
      <c r="A46" s="14">
        <v>65</v>
      </c>
      <c r="B46" s="14">
        <v>301.74900000000002</v>
      </c>
      <c r="C46" s="14">
        <v>403.35199999999998</v>
      </c>
      <c r="D46" s="14">
        <v>415.94099999999997</v>
      </c>
      <c r="E46" s="14">
        <v>419.221</v>
      </c>
      <c r="F46" s="14">
        <v>8</v>
      </c>
      <c r="G46" s="14">
        <v>0</v>
      </c>
      <c r="H46" s="14">
        <v>388.60599999999999</v>
      </c>
      <c r="I46" s="14">
        <v>408.21800000000002</v>
      </c>
      <c r="J46" s="7"/>
      <c r="M46" s="14"/>
      <c r="N46" s="14">
        <v>4.6666699999999999</v>
      </c>
      <c r="O46" s="14">
        <v>1.21099E-2</v>
      </c>
      <c r="P46">
        <v>0</v>
      </c>
      <c r="Q46" s="57"/>
      <c r="R46" s="56">
        <f>N74</f>
        <v>14</v>
      </c>
      <c r="S46" s="56">
        <f>P74</f>
        <v>9.3733300000000006E-2</v>
      </c>
      <c r="W46">
        <f t="shared" si="4"/>
        <v>70</v>
      </c>
      <c r="X46" s="14">
        <f t="shared" si="5"/>
        <v>407.3</v>
      </c>
      <c r="Z46">
        <v>14</v>
      </c>
      <c r="AA46" s="58">
        <v>418.70954345898656</v>
      </c>
      <c r="AB46" s="59">
        <v>26.3509727568768</v>
      </c>
      <c r="AC46" s="59">
        <v>445.06051621586334</v>
      </c>
      <c r="AD46" s="60">
        <v>392.35857070210977</v>
      </c>
      <c r="AE46" s="61">
        <v>0.99647054474068875</v>
      </c>
      <c r="AF46" s="62">
        <v>4.5732113772538113E-3</v>
      </c>
      <c r="AG46" s="62">
        <v>1.0010437561179426</v>
      </c>
      <c r="AH46" s="63">
        <v>0.99189733336343489</v>
      </c>
      <c r="AI46">
        <f t="shared" si="6"/>
        <v>0.64544330644568393</v>
      </c>
      <c r="AJ46" s="64">
        <v>15.490639354696414</v>
      </c>
      <c r="AK46">
        <f t="shared" si="2"/>
        <v>0.64544330644568393</v>
      </c>
      <c r="AM46" s="56">
        <v>15</v>
      </c>
      <c r="AN46" s="56">
        <f t="shared" si="3"/>
        <v>0.16867067279048342</v>
      </c>
      <c r="AP46">
        <v>16</v>
      </c>
      <c r="AQ46">
        <v>494.09199999999998</v>
      </c>
    </row>
    <row r="47" spans="1:43" x14ac:dyDescent="0.25">
      <c r="A47" s="14">
        <v>70</v>
      </c>
      <c r="B47" s="14">
        <v>301.57799999999997</v>
      </c>
      <c r="C47" s="14">
        <v>401.65100000000001</v>
      </c>
      <c r="D47" s="14">
        <v>415.45400000000001</v>
      </c>
      <c r="E47" s="14">
        <v>419.07299999999998</v>
      </c>
      <c r="F47" s="14">
        <v>8</v>
      </c>
      <c r="G47" s="14">
        <v>0</v>
      </c>
      <c r="H47" s="14">
        <v>387.04399999999998</v>
      </c>
      <c r="I47" s="14">
        <v>407.74900000000002</v>
      </c>
      <c r="J47" s="7"/>
      <c r="M47" s="14"/>
      <c r="N47" s="14">
        <v>5</v>
      </c>
      <c r="O47" s="14">
        <v>7.2594599999999995E-2</v>
      </c>
      <c r="P47" s="14">
        <f>O47+O46+O45</f>
        <v>0.15919889999999998</v>
      </c>
      <c r="Q47" s="57"/>
      <c r="R47" s="56">
        <f>N77</f>
        <v>15</v>
      </c>
      <c r="S47" s="56">
        <f>P77</f>
        <v>0.13392219999999999</v>
      </c>
      <c r="W47">
        <f t="shared" si="4"/>
        <v>75</v>
      </c>
      <c r="X47" s="14">
        <f t="shared" si="5"/>
        <v>406.3</v>
      </c>
      <c r="Z47">
        <v>15</v>
      </c>
      <c r="AA47" s="58">
        <v>418.54087278619602</v>
      </c>
      <c r="AB47" s="59">
        <v>26.256158307334676</v>
      </c>
      <c r="AC47" s="59">
        <v>444.79703109353068</v>
      </c>
      <c r="AD47" s="60">
        <v>392.28471447886136</v>
      </c>
      <c r="AE47" s="61">
        <v>0.99608147882344666</v>
      </c>
      <c r="AF47" s="62">
        <v>4.8757216010166639E-3</v>
      </c>
      <c r="AG47" s="62">
        <v>1.0009572004244633</v>
      </c>
      <c r="AH47" s="63">
        <v>0.99120575722242998</v>
      </c>
      <c r="AI47">
        <f t="shared" si="6"/>
        <v>2.3701764837806203</v>
      </c>
      <c r="AJ47" s="64">
        <v>56.884235610734891</v>
      </c>
      <c r="AK47">
        <f t="shared" si="2"/>
        <v>2.3701764837806203</v>
      </c>
      <c r="AM47" s="56">
        <v>16</v>
      </c>
      <c r="AN47" s="56">
        <f t="shared" si="3"/>
        <v>0.16867067279054027</v>
      </c>
      <c r="AP47">
        <v>17</v>
      </c>
      <c r="AQ47">
        <v>494.09199999999998</v>
      </c>
    </row>
    <row r="48" spans="1:43" x14ac:dyDescent="0.25">
      <c r="A48" s="14">
        <v>75</v>
      </c>
      <c r="B48" s="14">
        <v>301.41000000000003</v>
      </c>
      <c r="C48" s="14">
        <v>399.96499999999997</v>
      </c>
      <c r="D48" s="14">
        <v>414.96499999999997</v>
      </c>
      <c r="E48" s="14">
        <v>418.92500000000001</v>
      </c>
      <c r="F48" s="14">
        <v>8</v>
      </c>
      <c r="G48" s="14">
        <v>0</v>
      </c>
      <c r="H48" s="14">
        <v>385.49299999999999</v>
      </c>
      <c r="I48" s="14">
        <v>407.28</v>
      </c>
      <c r="J48" s="7"/>
      <c r="M48" s="14"/>
      <c r="N48" s="14">
        <v>5.3333300000000001</v>
      </c>
      <c r="O48" s="14">
        <v>1.3067499999999999E-2</v>
      </c>
      <c r="P48">
        <v>0</v>
      </c>
      <c r="Q48" s="57"/>
      <c r="R48" s="56">
        <f>N80</f>
        <v>16</v>
      </c>
      <c r="S48" s="56">
        <f>P80</f>
        <v>9.37254E-2</v>
      </c>
      <c r="W48">
        <f t="shared" si="4"/>
        <v>80</v>
      </c>
      <c r="X48" s="14">
        <f t="shared" si="5"/>
        <v>405.2</v>
      </c>
      <c r="Z48">
        <v>16</v>
      </c>
      <c r="AA48" s="58">
        <v>418.37220211340554</v>
      </c>
      <c r="AB48" s="59">
        <v>26.162033744495684</v>
      </c>
      <c r="AC48" s="59">
        <v>444.53423585790119</v>
      </c>
      <c r="AD48" s="60">
        <v>392.21016836890988</v>
      </c>
      <c r="AE48" s="61">
        <v>0.9956924129062048</v>
      </c>
      <c r="AF48" s="62">
        <v>5.1855457053126787E-3</v>
      </c>
      <c r="AG48" s="62">
        <v>1.0008779586115175</v>
      </c>
      <c r="AH48" s="63">
        <v>0.99050686720089209</v>
      </c>
      <c r="AI48">
        <f t="shared" si="6"/>
        <v>4.1436191910503961</v>
      </c>
      <c r="AJ48" s="64">
        <v>99.446860585209507</v>
      </c>
      <c r="AK48">
        <f t="shared" si="2"/>
        <v>4.1436191910503961</v>
      </c>
      <c r="AM48" s="56">
        <v>17</v>
      </c>
      <c r="AN48" s="56">
        <f t="shared" si="3"/>
        <v>0.16867067279042658</v>
      </c>
      <c r="AP48">
        <v>18</v>
      </c>
      <c r="AQ48">
        <v>494.09199999999998</v>
      </c>
    </row>
    <row r="49" spans="1:43" x14ac:dyDescent="0.25">
      <c r="A49" s="14">
        <v>80</v>
      </c>
      <c r="B49" s="14">
        <v>301.24299999999999</v>
      </c>
      <c r="C49" s="14">
        <v>398.291</v>
      </c>
      <c r="D49" s="14">
        <v>414.46899999999999</v>
      </c>
      <c r="E49" s="14">
        <v>418.77699999999999</v>
      </c>
      <c r="F49" s="14">
        <v>8</v>
      </c>
      <c r="G49" s="14">
        <v>0</v>
      </c>
      <c r="H49" s="14">
        <v>383.95499999999998</v>
      </c>
      <c r="I49" s="14">
        <v>406.80399999999997</v>
      </c>
      <c r="J49" s="7"/>
      <c r="M49" s="14"/>
      <c r="N49" s="14">
        <v>5.6666699999999999</v>
      </c>
      <c r="O49" s="14">
        <v>6.8684599999999998E-2</v>
      </c>
      <c r="P49">
        <v>0</v>
      </c>
      <c r="Q49" s="57"/>
      <c r="R49" s="56">
        <f>N83</f>
        <v>17</v>
      </c>
      <c r="S49" s="56">
        <f>P83</f>
        <v>0.1319572</v>
      </c>
      <c r="W49">
        <f t="shared" si="4"/>
        <v>85</v>
      </c>
      <c r="X49" s="14">
        <f t="shared" si="5"/>
        <v>404.1</v>
      </c>
      <c r="Z49">
        <v>17</v>
      </c>
      <c r="AA49" s="58">
        <v>418.203531440615</v>
      </c>
      <c r="AB49" s="59">
        <v>26.068606541175161</v>
      </c>
      <c r="AC49" s="59">
        <v>444.27213798179014</v>
      </c>
      <c r="AD49" s="60">
        <v>392.13492489943985</v>
      </c>
      <c r="AE49" s="61">
        <v>0.99530334698896272</v>
      </c>
      <c r="AF49" s="62">
        <v>5.5014481452469385E-3</v>
      </c>
      <c r="AG49" s="62">
        <v>1.0008047951342096</v>
      </c>
      <c r="AH49" s="63">
        <v>0.98980189884371583</v>
      </c>
      <c r="AI49">
        <f t="shared" si="6"/>
        <v>5.9170618983201715</v>
      </c>
      <c r="AJ49" s="64">
        <v>142.00948555968412</v>
      </c>
      <c r="AK49">
        <f t="shared" si="2"/>
        <v>5.9170618983201715</v>
      </c>
      <c r="AM49" s="56">
        <v>18</v>
      </c>
      <c r="AN49" s="56">
        <f t="shared" si="3"/>
        <v>0.16867067279054027</v>
      </c>
      <c r="AP49">
        <v>19</v>
      </c>
      <c r="AQ49">
        <v>494.09199999999998</v>
      </c>
    </row>
    <row r="50" spans="1:43" x14ac:dyDescent="0.25">
      <c r="A50" s="14">
        <v>85</v>
      </c>
      <c r="B50" s="14">
        <v>301.07900000000001</v>
      </c>
      <c r="C50" s="14">
        <v>396.63</v>
      </c>
      <c r="D50" s="14">
        <v>413.96600000000001</v>
      </c>
      <c r="E50" s="14">
        <v>418.62900000000002</v>
      </c>
      <c r="F50" s="14">
        <v>8</v>
      </c>
      <c r="G50" s="14">
        <v>0</v>
      </c>
      <c r="H50" s="14">
        <v>382.428</v>
      </c>
      <c r="I50" s="14">
        <v>406.32</v>
      </c>
      <c r="J50" s="7"/>
      <c r="M50" s="14"/>
      <c r="N50" s="14">
        <v>6</v>
      </c>
      <c r="O50" s="14">
        <v>1.39989E-2</v>
      </c>
      <c r="P50" s="14">
        <f>O50+O49+O48</f>
        <v>9.5750999999999989E-2</v>
      </c>
      <c r="Q50" s="57"/>
      <c r="R50" s="56">
        <f>N86</f>
        <v>18</v>
      </c>
      <c r="S50" s="56">
        <f>P86</f>
        <v>9.3767799999999998E-2</v>
      </c>
      <c r="W50">
        <f t="shared" si="4"/>
        <v>90</v>
      </c>
      <c r="X50" s="14">
        <f t="shared" si="5"/>
        <v>402.9</v>
      </c>
      <c r="Z50">
        <v>18</v>
      </c>
      <c r="AA50" s="58">
        <v>418.03486076782457</v>
      </c>
      <c r="AB50" s="59">
        <v>25.975884221932127</v>
      </c>
      <c r="AC50" s="59">
        <v>444.01074498975669</v>
      </c>
      <c r="AD50" s="60">
        <v>392.05897654589245</v>
      </c>
      <c r="AE50" s="61">
        <v>0.99491428107172075</v>
      </c>
      <c r="AF50" s="62">
        <v>5.8224396458429681E-3</v>
      </c>
      <c r="AG50" s="62">
        <v>1.0007367207175637</v>
      </c>
      <c r="AH50" s="63">
        <v>0.9890918414258778</v>
      </c>
      <c r="AI50">
        <f t="shared" si="6"/>
        <v>7.1728259817980264</v>
      </c>
      <c r="AJ50" s="64">
        <v>172.14782356315263</v>
      </c>
      <c r="AK50">
        <f t="shared" si="2"/>
        <v>7.1728259817980264</v>
      </c>
      <c r="AM50" s="56">
        <v>19</v>
      </c>
      <c r="AN50" s="56">
        <f t="shared" si="3"/>
        <v>0.17581088997059169</v>
      </c>
      <c r="AP50">
        <v>20</v>
      </c>
      <c r="AQ50">
        <v>494.09199999999998</v>
      </c>
    </row>
    <row r="51" spans="1:43" x14ac:dyDescent="0.25">
      <c r="A51" s="14">
        <v>90</v>
      </c>
      <c r="B51" s="14">
        <v>300.91899999999998</v>
      </c>
      <c r="C51" s="14">
        <v>394.94400000000002</v>
      </c>
      <c r="D51" s="14">
        <v>413.45400000000001</v>
      </c>
      <c r="E51" s="14">
        <v>418.48</v>
      </c>
      <c r="F51" s="14">
        <v>8</v>
      </c>
      <c r="G51" s="14">
        <v>0</v>
      </c>
      <c r="H51" s="14">
        <v>380.87099999999998</v>
      </c>
      <c r="I51" s="14">
        <v>405.82900000000001</v>
      </c>
      <c r="J51" s="7"/>
      <c r="M51" s="14"/>
      <c r="N51" s="14">
        <v>6.3333300000000001</v>
      </c>
      <c r="O51" s="14">
        <v>6.9784899999999997E-2</v>
      </c>
      <c r="P51">
        <v>0</v>
      </c>
      <c r="Q51" s="57"/>
      <c r="R51" s="56">
        <f>N89</f>
        <v>19</v>
      </c>
      <c r="S51" s="56">
        <f>P89</f>
        <v>0.12953600000000001</v>
      </c>
      <c r="W51">
        <f t="shared" si="4"/>
        <v>95</v>
      </c>
      <c r="X51" s="14">
        <f t="shared" si="5"/>
        <v>401.8</v>
      </c>
      <c r="Z51">
        <v>19</v>
      </c>
      <c r="AA51" s="58">
        <v>417.86619009503403</v>
      </c>
      <c r="AB51" s="59">
        <v>25.883874361965248</v>
      </c>
      <c r="AC51" s="59">
        <v>443.75006445699927</v>
      </c>
      <c r="AD51" s="60">
        <v>391.98231573306879</v>
      </c>
      <c r="AE51" s="61">
        <v>0.99452521515447878</v>
      </c>
      <c r="AF51" s="62">
        <v>6.1477231123250806E-3</v>
      </c>
      <c r="AG51" s="62">
        <v>1.0006729382668038</v>
      </c>
      <c r="AH51" s="63">
        <v>0.98837749204215375</v>
      </c>
      <c r="AI51">
        <f t="shared" si="6"/>
        <v>7.4569637689988921</v>
      </c>
      <c r="AJ51" s="64">
        <v>178.9671304559734</v>
      </c>
      <c r="AK51">
        <f t="shared" si="2"/>
        <v>7.4569637689988921</v>
      </c>
      <c r="AM51" s="56">
        <v>20</v>
      </c>
      <c r="AN51" s="56">
        <f t="shared" si="3"/>
        <v>0.18928848236572549</v>
      </c>
      <c r="AP51">
        <v>21</v>
      </c>
      <c r="AQ51">
        <v>494.09199999999998</v>
      </c>
    </row>
    <row r="52" spans="1:43" x14ac:dyDescent="0.25">
      <c r="A52" s="14">
        <v>95</v>
      </c>
      <c r="B52" s="14">
        <v>300.75900000000001</v>
      </c>
      <c r="C52" s="14">
        <v>393.30900000000003</v>
      </c>
      <c r="D52" s="14">
        <v>412.92599999999999</v>
      </c>
      <c r="E52" s="14">
        <v>418.33199999999999</v>
      </c>
      <c r="F52" s="14">
        <v>8</v>
      </c>
      <c r="G52" s="14">
        <v>0</v>
      </c>
      <c r="H52" s="14">
        <v>379.37099999999998</v>
      </c>
      <c r="I52" s="14">
        <v>405.322</v>
      </c>
      <c r="J52" s="7"/>
      <c r="M52" s="14"/>
      <c r="N52" s="14">
        <v>6.6666699999999999</v>
      </c>
      <c r="O52" s="14">
        <v>1.35348E-2</v>
      </c>
      <c r="P52">
        <v>0</v>
      </c>
      <c r="Q52" s="57"/>
      <c r="R52" s="56">
        <f>N92</f>
        <v>20</v>
      </c>
      <c r="S52" s="56">
        <f>P92</f>
        <v>9.37698E-2</v>
      </c>
      <c r="W52">
        <f t="shared" si="4"/>
        <v>100</v>
      </c>
      <c r="X52" s="14">
        <f t="shared" si="5"/>
        <v>400.6</v>
      </c>
      <c r="Z52">
        <v>20</v>
      </c>
      <c r="AA52" s="58">
        <v>417.69037920506344</v>
      </c>
      <c r="AB52" s="59">
        <v>25.789752531505084</v>
      </c>
      <c r="AC52" s="59">
        <v>443.48013173656852</v>
      </c>
      <c r="AD52" s="60">
        <v>391.90062667355835</v>
      </c>
      <c r="AE52" s="61">
        <v>0.99411944185732903</v>
      </c>
      <c r="AF52" s="62">
        <v>6.4643235044978212E-3</v>
      </c>
      <c r="AG52" s="62">
        <v>1.0005837653618268</v>
      </c>
      <c r="AH52" s="63">
        <v>0.98765511835283126</v>
      </c>
      <c r="AI52">
        <f t="shared" si="6"/>
        <v>7.7186253060102459</v>
      </c>
      <c r="AJ52" s="64">
        <v>185.2470073442459</v>
      </c>
      <c r="AK52">
        <f t="shared" si="2"/>
        <v>7.7186253060102459</v>
      </c>
      <c r="AM52" s="56">
        <v>21</v>
      </c>
      <c r="AN52" s="56">
        <f t="shared" si="3"/>
        <v>0.18960571783640034</v>
      </c>
      <c r="AP52">
        <v>22</v>
      </c>
      <c r="AQ52">
        <v>494.09199999999998</v>
      </c>
    </row>
    <row r="53" spans="1:43" x14ac:dyDescent="0.25">
      <c r="A53" s="14">
        <v>100</v>
      </c>
      <c r="B53" s="14">
        <v>300.60199999999998</v>
      </c>
      <c r="C53" s="14">
        <v>391.68700000000001</v>
      </c>
      <c r="D53" s="14">
        <v>412.35899999999998</v>
      </c>
      <c r="E53" s="14">
        <v>418.18299999999999</v>
      </c>
      <c r="F53" s="14">
        <v>8</v>
      </c>
      <c r="G53" s="14">
        <v>0</v>
      </c>
      <c r="H53" s="14">
        <v>377.88</v>
      </c>
      <c r="I53" s="14">
        <v>404.77800000000002</v>
      </c>
      <c r="J53" s="7"/>
      <c r="M53" s="14"/>
      <c r="N53" s="14">
        <v>7</v>
      </c>
      <c r="O53" s="14">
        <v>6.8162299999999995E-2</v>
      </c>
      <c r="P53" s="14">
        <f>O53+O52+O51</f>
        <v>0.15148200000000001</v>
      </c>
      <c r="Q53" s="57"/>
      <c r="R53" s="56">
        <f>N95</f>
        <v>21</v>
      </c>
      <c r="S53" s="56">
        <f>P95</f>
        <v>0.11525920000000001</v>
      </c>
      <c r="W53">
        <f t="shared" si="4"/>
        <v>105</v>
      </c>
      <c r="X53" s="14">
        <f t="shared" si="5"/>
        <v>399.4</v>
      </c>
      <c r="Z53">
        <v>21</v>
      </c>
      <c r="AA53" s="58">
        <v>417.50109072269771</v>
      </c>
      <c r="AB53" s="59">
        <v>25.690898258378468</v>
      </c>
      <c r="AC53" s="59">
        <v>443.19198898107618</v>
      </c>
      <c r="AD53" s="60">
        <v>391.81019246431924</v>
      </c>
      <c r="AE53" s="61">
        <v>0.99368213236867287</v>
      </c>
      <c r="AF53" s="62">
        <v>6.7615207134442551E-3</v>
      </c>
      <c r="AG53" s="62">
        <v>1.000443653082117</v>
      </c>
      <c r="AH53" s="63">
        <v>0.9869206116552286</v>
      </c>
      <c r="AI53">
        <f t="shared" si="6"/>
        <v>7.9802868430215987</v>
      </c>
      <c r="AJ53" s="64">
        <v>191.52688423251837</v>
      </c>
      <c r="AK53">
        <f t="shared" si="2"/>
        <v>7.9802868430215987</v>
      </c>
      <c r="AM53" s="56">
        <v>22</v>
      </c>
      <c r="AN53" s="56">
        <f t="shared" si="3"/>
        <v>0.18960571783640034</v>
      </c>
      <c r="AP53">
        <v>23</v>
      </c>
      <c r="AQ53">
        <v>494.09199999999998</v>
      </c>
    </row>
    <row r="54" spans="1:43" x14ac:dyDescent="0.25">
      <c r="A54" s="14">
        <v>105</v>
      </c>
      <c r="B54" s="14">
        <v>300.447</v>
      </c>
      <c r="C54" s="14">
        <v>390.07799999999997</v>
      </c>
      <c r="D54" s="14">
        <v>411.79599999999999</v>
      </c>
      <c r="E54" s="14">
        <v>418.03500000000003</v>
      </c>
      <c r="F54" s="14">
        <v>8</v>
      </c>
      <c r="G54" s="14">
        <v>0</v>
      </c>
      <c r="H54" s="14">
        <v>376.399</v>
      </c>
      <c r="I54" s="14">
        <v>404.238</v>
      </c>
      <c r="J54" s="7"/>
      <c r="M54" s="14"/>
      <c r="N54" s="14">
        <v>7.3333300000000001</v>
      </c>
      <c r="O54" s="14">
        <v>1.4514900000000001E-2</v>
      </c>
      <c r="P54">
        <v>0</v>
      </c>
      <c r="Q54" s="57"/>
      <c r="R54" s="56">
        <f>N98</f>
        <v>22</v>
      </c>
      <c r="S54" s="56">
        <f>P98</f>
        <v>9.5734399999999997E-2</v>
      </c>
      <c r="W54">
        <f t="shared" si="4"/>
        <v>110</v>
      </c>
      <c r="X54" s="14">
        <f t="shared" si="5"/>
        <v>398</v>
      </c>
      <c r="Z54">
        <v>22</v>
      </c>
      <c r="AA54" s="58">
        <v>417.31148500486131</v>
      </c>
      <c r="AB54" s="59">
        <v>25.592482265087657</v>
      </c>
      <c r="AC54" s="59">
        <v>442.90396726994896</v>
      </c>
      <c r="AD54" s="60">
        <v>391.71900273977366</v>
      </c>
      <c r="AE54" s="61">
        <v>0.9932440805813727</v>
      </c>
      <c r="AF54" s="62">
        <v>7.0619493457947571E-3</v>
      </c>
      <c r="AG54" s="62">
        <v>1.0003060299271676</v>
      </c>
      <c r="AH54" s="63">
        <v>0.98618213123557796</v>
      </c>
      <c r="AI54">
        <f t="shared" si="6"/>
        <v>8.2419483800329516</v>
      </c>
      <c r="AJ54" s="64">
        <v>197.80676112079084</v>
      </c>
      <c r="AK54">
        <f t="shared" si="2"/>
        <v>8.2419483800329516</v>
      </c>
      <c r="AM54" s="56">
        <v>23</v>
      </c>
      <c r="AN54" s="56">
        <f t="shared" si="3"/>
        <v>0.18960571783651403</v>
      </c>
      <c r="AP54">
        <v>24</v>
      </c>
      <c r="AQ54">
        <v>494.09199999999998</v>
      </c>
    </row>
    <row r="55" spans="1:43" x14ac:dyDescent="0.25">
      <c r="A55" s="14">
        <v>110</v>
      </c>
      <c r="B55" s="14">
        <v>300.29199999999997</v>
      </c>
      <c r="C55" s="14">
        <v>388.48200000000003</v>
      </c>
      <c r="D55" s="14">
        <v>411.20600000000002</v>
      </c>
      <c r="E55" s="14">
        <v>417.88600000000002</v>
      </c>
      <c r="F55" s="14">
        <v>8</v>
      </c>
      <c r="G55" s="14">
        <v>0</v>
      </c>
      <c r="H55" s="14">
        <v>374.93</v>
      </c>
      <c r="I55" s="14">
        <v>403.67200000000003</v>
      </c>
      <c r="J55" s="7"/>
      <c r="M55" s="14"/>
      <c r="N55" s="14">
        <v>7.6666699999999999</v>
      </c>
      <c r="O55" s="14">
        <v>6.4659700000000001E-2</v>
      </c>
      <c r="P55">
        <v>0</v>
      </c>
      <c r="Q55" s="57"/>
      <c r="R55" s="56">
        <f>N101</f>
        <v>23</v>
      </c>
      <c r="S55" s="56">
        <f>P101</f>
        <v>0.1144251</v>
      </c>
      <c r="W55">
        <f t="shared" si="4"/>
        <v>115</v>
      </c>
      <c r="X55" s="14">
        <f t="shared" si="5"/>
        <v>396.6</v>
      </c>
      <c r="Z55">
        <v>23</v>
      </c>
      <c r="AA55" s="58">
        <v>417.12187928702491</v>
      </c>
      <c r="AB55" s="59">
        <v>25.494636577949155</v>
      </c>
      <c r="AC55" s="59">
        <v>442.61651586497408</v>
      </c>
      <c r="AD55" s="60">
        <v>391.62724270907574</v>
      </c>
      <c r="AE55" s="61">
        <v>0.99280602879407276</v>
      </c>
      <c r="AF55" s="62">
        <v>7.3656887325407377E-3</v>
      </c>
      <c r="AG55" s="62">
        <v>1.0001717175266136</v>
      </c>
      <c r="AH55" s="63">
        <v>0.98544034006153203</v>
      </c>
      <c r="AI55">
        <f t="shared" si="6"/>
        <v>8.5036099170443062</v>
      </c>
      <c r="AJ55" s="64">
        <v>204.08663800906334</v>
      </c>
      <c r="AK55">
        <f t="shared" si="2"/>
        <v>8.5036099170443062</v>
      </c>
      <c r="AM55" s="56">
        <v>24</v>
      </c>
      <c r="AN55" s="56">
        <f t="shared" si="3"/>
        <v>0.18960571783645719</v>
      </c>
      <c r="AP55">
        <v>25</v>
      </c>
      <c r="AQ55">
        <v>494.09199999999998</v>
      </c>
    </row>
    <row r="56" spans="1:43" x14ac:dyDescent="0.25">
      <c r="A56" s="14">
        <v>115</v>
      </c>
      <c r="B56" s="14">
        <v>300.13499999999999</v>
      </c>
      <c r="C56" s="14">
        <v>386.89800000000002</v>
      </c>
      <c r="D56" s="14">
        <v>410.584</v>
      </c>
      <c r="E56" s="14">
        <v>417.738</v>
      </c>
      <c r="F56" s="14">
        <v>8</v>
      </c>
      <c r="G56" s="14">
        <v>0</v>
      </c>
      <c r="H56" s="14">
        <v>373.47300000000001</v>
      </c>
      <c r="I56" s="14">
        <v>403.07600000000002</v>
      </c>
      <c r="J56" s="7"/>
      <c r="M56" s="14"/>
      <c r="N56" s="14">
        <v>8</v>
      </c>
      <c r="O56" s="14">
        <v>1.54095E-2</v>
      </c>
      <c r="P56" s="14">
        <f>O56+O55+O54</f>
        <v>9.4584100000000004E-2</v>
      </c>
      <c r="Q56" s="57"/>
      <c r="R56" s="56">
        <f>N104</f>
        <v>24</v>
      </c>
      <c r="S56" s="56">
        <f>P104</f>
        <v>9.59145E-2</v>
      </c>
      <c r="W56">
        <f t="shared" si="4"/>
        <v>120</v>
      </c>
      <c r="X56" s="14">
        <f t="shared" si="5"/>
        <v>395</v>
      </c>
      <c r="Z56">
        <v>24</v>
      </c>
      <c r="AA56" s="58">
        <v>416.9322735691884</v>
      </c>
      <c r="AB56" s="59">
        <v>25.397367788433918</v>
      </c>
      <c r="AC56" s="59">
        <v>442.32964135762234</v>
      </c>
      <c r="AD56" s="60">
        <v>391.53490578075446</v>
      </c>
      <c r="AE56" s="61">
        <v>0.99236797700677282</v>
      </c>
      <c r="AF56" s="62">
        <v>7.6723456768224979E-3</v>
      </c>
      <c r="AG56" s="62">
        <v>1.0000403226835952</v>
      </c>
      <c r="AH56" s="63">
        <v>0.9846956313299503</v>
      </c>
      <c r="AI56">
        <f t="shared" si="6"/>
        <v>8.7652714540556573</v>
      </c>
      <c r="AJ56" s="64">
        <v>210.36651489733578</v>
      </c>
      <c r="AK56">
        <f t="shared" si="2"/>
        <v>8.7652714540556573</v>
      </c>
      <c r="AM56" s="56">
        <v>25</v>
      </c>
      <c r="AN56" s="56">
        <f t="shared" si="3"/>
        <v>0.18960571783645719</v>
      </c>
      <c r="AP56">
        <v>26</v>
      </c>
      <c r="AQ56">
        <v>494.09199999999998</v>
      </c>
    </row>
    <row r="57" spans="1:43" x14ac:dyDescent="0.25">
      <c r="A57" s="14">
        <v>120</v>
      </c>
      <c r="B57" s="14">
        <v>299.98</v>
      </c>
      <c r="C57" s="14">
        <v>385.32600000000002</v>
      </c>
      <c r="D57" s="14">
        <v>409.96699999999998</v>
      </c>
      <c r="E57" s="14">
        <v>417.589</v>
      </c>
      <c r="F57" s="14">
        <v>8</v>
      </c>
      <c r="G57" s="14">
        <v>0</v>
      </c>
      <c r="H57" s="14">
        <v>372.02600000000001</v>
      </c>
      <c r="I57" s="14">
        <v>402.48599999999999</v>
      </c>
      <c r="J57" s="7"/>
      <c r="M57" s="14"/>
      <c r="N57" s="14">
        <v>8.3333300000000001</v>
      </c>
      <c r="O57" s="14">
        <v>6.5589099999999997E-2</v>
      </c>
      <c r="P57">
        <v>0</v>
      </c>
      <c r="Q57" s="57"/>
      <c r="R57" s="56">
        <f>N107</f>
        <v>25</v>
      </c>
      <c r="S57" s="56">
        <f>P107</f>
        <v>0.1134848</v>
      </c>
      <c r="W57">
        <f t="shared" si="4"/>
        <v>125</v>
      </c>
      <c r="X57" s="14">
        <f t="shared" si="5"/>
        <v>393.2</v>
      </c>
      <c r="Z57">
        <v>25</v>
      </c>
      <c r="AA57" s="58">
        <v>416.74266785135194</v>
      </c>
      <c r="AB57" s="59">
        <v>25.300682550213196</v>
      </c>
      <c r="AC57" s="59">
        <v>442.04335040156514</v>
      </c>
      <c r="AD57" s="60">
        <v>391.44198530113874</v>
      </c>
      <c r="AE57" s="61">
        <v>0.99192992521947265</v>
      </c>
      <c r="AF57" s="62">
        <v>7.9815839031177616E-3</v>
      </c>
      <c r="AG57" s="62">
        <v>0.99991150912259041</v>
      </c>
      <c r="AH57" s="63">
        <v>0.98394834131635489</v>
      </c>
      <c r="AI57">
        <f t="shared" si="6"/>
        <v>9.026932991067012</v>
      </c>
      <c r="AJ57" s="64">
        <v>216.64639178560827</v>
      </c>
      <c r="AK57">
        <f t="shared" si="2"/>
        <v>9.026932991067012</v>
      </c>
      <c r="AM57" s="56">
        <v>26</v>
      </c>
      <c r="AN57" s="56">
        <f t="shared" si="3"/>
        <v>0.18960571783645719</v>
      </c>
      <c r="AP57">
        <v>27</v>
      </c>
      <c r="AQ57">
        <v>494.09199999999998</v>
      </c>
    </row>
    <row r="58" spans="1:43" x14ac:dyDescent="0.25">
      <c r="A58" s="14">
        <v>125</v>
      </c>
      <c r="B58" s="14">
        <v>299.82499999999999</v>
      </c>
      <c r="C58" s="14">
        <v>383.767</v>
      </c>
      <c r="D58" s="14">
        <v>409.37599999999998</v>
      </c>
      <c r="E58" s="14">
        <v>417.44099999999997</v>
      </c>
      <c r="F58" s="14">
        <v>8</v>
      </c>
      <c r="G58" s="14">
        <v>0</v>
      </c>
      <c r="H58" s="14">
        <v>370.59100000000001</v>
      </c>
      <c r="I58" s="14">
        <v>401.92</v>
      </c>
      <c r="J58" s="7"/>
      <c r="M58" s="14"/>
      <c r="N58" s="14">
        <v>8.6666699999999999</v>
      </c>
      <c r="O58" s="14">
        <v>1.49973E-2</v>
      </c>
      <c r="P58">
        <v>0</v>
      </c>
      <c r="Q58" s="57"/>
      <c r="R58" s="56">
        <f>N110</f>
        <v>26</v>
      </c>
      <c r="S58" s="56">
        <f>P110</f>
        <v>9.6292699999999995E-2</v>
      </c>
      <c r="W58">
        <f t="shared" si="4"/>
        <v>130</v>
      </c>
      <c r="X58" s="14">
        <f t="shared" si="5"/>
        <v>391.3</v>
      </c>
      <c r="Z58">
        <v>26</v>
      </c>
      <c r="AA58" s="58">
        <v>416.55306213351548</v>
      </c>
      <c r="AB58" s="59">
        <v>25.204587578826729</v>
      </c>
      <c r="AC58" s="59">
        <v>441.75764971234219</v>
      </c>
      <c r="AD58" s="60">
        <v>391.34847455468878</v>
      </c>
      <c r="AE58" s="61">
        <v>0.99149187343217249</v>
      </c>
      <c r="AF58" s="62">
        <v>8.2931146596578863E-3</v>
      </c>
      <c r="AG58" s="62">
        <v>0.99978498809183036</v>
      </c>
      <c r="AH58" s="63">
        <v>0.98319875877251461</v>
      </c>
      <c r="AI58">
        <f t="shared" si="6"/>
        <v>9.2885945280783648</v>
      </c>
      <c r="AJ58" s="64">
        <v>222.92626867388077</v>
      </c>
      <c r="AK58">
        <f t="shared" si="2"/>
        <v>9.2885945280783648</v>
      </c>
      <c r="AM58" s="56">
        <v>27</v>
      </c>
      <c r="AN58" s="56">
        <f t="shared" si="3"/>
        <v>0.18960571783657088</v>
      </c>
      <c r="AP58">
        <v>28</v>
      </c>
      <c r="AQ58">
        <v>494.09199999999998</v>
      </c>
    </row>
    <row r="59" spans="1:43" x14ac:dyDescent="0.25">
      <c r="A59" s="14">
        <v>130</v>
      </c>
      <c r="B59" s="14">
        <v>299.66899999999998</v>
      </c>
      <c r="C59" s="14">
        <v>382.21899999999999</v>
      </c>
      <c r="D59" s="14">
        <v>408.79</v>
      </c>
      <c r="E59" s="14">
        <v>417.29199999999997</v>
      </c>
      <c r="F59" s="14">
        <v>8</v>
      </c>
      <c r="G59" s="14">
        <v>0</v>
      </c>
      <c r="H59" s="14">
        <v>369.166</v>
      </c>
      <c r="I59" s="14">
        <v>401.358</v>
      </c>
      <c r="J59" s="7"/>
      <c r="M59" s="14"/>
      <c r="N59" s="14">
        <v>9</v>
      </c>
      <c r="O59" s="14">
        <v>6.4186199999999999E-2</v>
      </c>
      <c r="P59" s="14">
        <f>O59+O58+O57</f>
        <v>0.1447726</v>
      </c>
      <c r="Q59" s="57"/>
      <c r="R59" s="56">
        <f>N113</f>
        <v>27</v>
      </c>
      <c r="S59" s="56">
        <f>P113</f>
        <v>0.1125601</v>
      </c>
      <c r="W59">
        <f t="shared" si="4"/>
        <v>135</v>
      </c>
      <c r="X59" s="14">
        <f t="shared" si="5"/>
        <v>389.4</v>
      </c>
      <c r="Z59">
        <v>27</v>
      </c>
      <c r="AA59" s="58">
        <v>416.36345641567902</v>
      </c>
      <c r="AB59" s="59">
        <v>25.109089651304245</v>
      </c>
      <c r="AC59" s="59">
        <v>441.47254606698328</v>
      </c>
      <c r="AD59" s="60">
        <v>391.25436676437477</v>
      </c>
      <c r="AE59" s="61">
        <v>0.99105382164487243</v>
      </c>
      <c r="AF59" s="62">
        <v>8.6066890063385137E-3</v>
      </c>
      <c r="AG59" s="62">
        <v>0.99966051065121098</v>
      </c>
      <c r="AH59" s="63">
        <v>0.98244713263853389</v>
      </c>
      <c r="AI59">
        <f t="shared" si="6"/>
        <v>9.5502560650897177</v>
      </c>
      <c r="AJ59" s="64">
        <v>229.20614556215321</v>
      </c>
      <c r="AK59">
        <f t="shared" si="2"/>
        <v>9.5502560650897177</v>
      </c>
      <c r="AM59" s="56">
        <v>28</v>
      </c>
      <c r="AN59" s="56">
        <f t="shared" si="3"/>
        <v>0.18960571783640034</v>
      </c>
      <c r="AP59">
        <v>29</v>
      </c>
      <c r="AQ59">
        <v>494.09199999999998</v>
      </c>
    </row>
    <row r="60" spans="1:43" x14ac:dyDescent="0.25">
      <c r="A60" s="14">
        <v>135</v>
      </c>
      <c r="B60" s="14">
        <v>299.51499999999999</v>
      </c>
      <c r="C60" s="14">
        <v>380.68400000000003</v>
      </c>
      <c r="D60" s="14">
        <v>408.20299999999997</v>
      </c>
      <c r="E60" s="14">
        <v>417.14400000000001</v>
      </c>
      <c r="F60" s="14">
        <v>8</v>
      </c>
      <c r="G60" s="14">
        <v>0</v>
      </c>
      <c r="H60" s="14">
        <v>367.75299999999999</v>
      </c>
      <c r="I60" s="14">
        <v>400.79500000000002</v>
      </c>
      <c r="J60" s="7"/>
      <c r="M60" s="14"/>
      <c r="N60" s="14">
        <v>9.3333300000000001</v>
      </c>
      <c r="O60" s="14">
        <v>1.5975E-2</v>
      </c>
      <c r="P60">
        <v>0</v>
      </c>
      <c r="Q60" s="57"/>
      <c r="R60" s="56">
        <f>N116</f>
        <v>28</v>
      </c>
      <c r="S60" s="56">
        <f>P116</f>
        <v>9.6646599999999999E-2</v>
      </c>
      <c r="W60">
        <f t="shared" si="4"/>
        <v>140</v>
      </c>
      <c r="X60" s="14">
        <f t="shared" si="5"/>
        <v>387.1</v>
      </c>
      <c r="Z60">
        <v>28</v>
      </c>
      <c r="AA60" s="58">
        <v>416.17385069784245</v>
      </c>
      <c r="AB60" s="59">
        <v>25.014195605738035</v>
      </c>
      <c r="AC60" s="59">
        <v>441.18804630358051</v>
      </c>
      <c r="AD60" s="60">
        <v>391.1596550921044</v>
      </c>
      <c r="AE60" s="61">
        <v>0.99061576985757249</v>
      </c>
      <c r="AF60" s="62">
        <v>8.9220914747214185E-3</v>
      </c>
      <c r="AG60" s="62">
        <v>0.99953786133229394</v>
      </c>
      <c r="AH60" s="63">
        <v>0.98169367838285104</v>
      </c>
      <c r="AI60">
        <f t="shared" si="6"/>
        <v>9.344827868103188</v>
      </c>
      <c r="AJ60" s="64">
        <v>224.27586883447651</v>
      </c>
      <c r="AK60">
        <f t="shared" si="2"/>
        <v>9.344827868103188</v>
      </c>
      <c r="AM60" s="56">
        <v>29</v>
      </c>
      <c r="AN60" s="56">
        <f t="shared" si="3"/>
        <v>0.18960571783645719</v>
      </c>
    </row>
    <row r="61" spans="1:43" x14ac:dyDescent="0.25">
      <c r="A61" s="14">
        <v>140</v>
      </c>
      <c r="B61" s="14">
        <v>407.58499999999998</v>
      </c>
      <c r="C61" s="14">
        <v>379.161</v>
      </c>
      <c r="D61" s="14">
        <v>407.61799999999999</v>
      </c>
      <c r="E61" s="14">
        <v>416.99599999999998</v>
      </c>
      <c r="F61" s="14">
        <v>0.64122400000000002</v>
      </c>
      <c r="G61" s="14">
        <v>0</v>
      </c>
      <c r="H61" s="14">
        <v>366.35</v>
      </c>
      <c r="I61" s="14">
        <v>400.23399999999998</v>
      </c>
      <c r="J61" s="7"/>
      <c r="M61" s="14"/>
      <c r="N61" s="14">
        <v>9.6666699999999999</v>
      </c>
      <c r="O61" s="14">
        <v>6.16844E-2</v>
      </c>
      <c r="P61">
        <v>0</v>
      </c>
      <c r="Q61" s="57"/>
      <c r="R61" s="56">
        <f>N119</f>
        <v>29</v>
      </c>
      <c r="S61" s="56">
        <f>P119</f>
        <v>0.1115469</v>
      </c>
      <c r="W61">
        <f t="shared" si="4"/>
        <v>145</v>
      </c>
      <c r="X61" s="14">
        <f t="shared" si="5"/>
        <v>384.8</v>
      </c>
      <c r="Z61">
        <v>29</v>
      </c>
      <c r="AA61" s="58">
        <v>415.98424498000605</v>
      </c>
      <c r="AB61" s="59">
        <v>24.919912340805208</v>
      </c>
      <c r="AC61" s="59">
        <v>440.90415732081124</v>
      </c>
      <c r="AD61" s="60">
        <v>391.06433263920087</v>
      </c>
      <c r="AE61" s="61">
        <v>0.99017771807027222</v>
      </c>
      <c r="AF61" s="62">
        <v>9.2391348432977246E-3</v>
      </c>
      <c r="AG61" s="62">
        <v>0.99941685291356996</v>
      </c>
      <c r="AH61" s="63">
        <v>0.98093858322697447</v>
      </c>
      <c r="AI61">
        <f t="shared" si="6"/>
        <v>8.2831059770623181</v>
      </c>
      <c r="AJ61" s="64">
        <v>198.79454344949562</v>
      </c>
      <c r="AK61">
        <f t="shared" si="2"/>
        <v>8.2831059770623181</v>
      </c>
      <c r="AM61" s="56">
        <v>30</v>
      </c>
      <c r="AN61" s="56">
        <f t="shared" si="3"/>
        <v>0.18960571783645719</v>
      </c>
    </row>
    <row r="62" spans="1:43" x14ac:dyDescent="0.25">
      <c r="A62" s="14">
        <v>145</v>
      </c>
      <c r="B62" s="14">
        <v>295.548</v>
      </c>
      <c r="C62" s="14">
        <v>376.30500000000001</v>
      </c>
      <c r="D62" s="14">
        <v>407.61799999999999</v>
      </c>
      <c r="E62" s="14">
        <v>416.99599999999998</v>
      </c>
      <c r="F62" s="14">
        <v>5.1782000000000004</v>
      </c>
      <c r="G62" s="14">
        <v>0.36108299999999999</v>
      </c>
      <c r="H62" s="14">
        <v>113.761</v>
      </c>
      <c r="I62" s="14">
        <v>154.79499999999999</v>
      </c>
      <c r="J62" s="7"/>
      <c r="M62" s="14"/>
      <c r="N62" s="14">
        <v>10</v>
      </c>
      <c r="O62" s="14">
        <v>1.6523900000000001E-2</v>
      </c>
      <c r="P62" s="14">
        <f>O62+O61+O60</f>
        <v>9.4183300000000011E-2</v>
      </c>
      <c r="Q62" s="57"/>
      <c r="R62" s="56">
        <f>N122</f>
        <v>30</v>
      </c>
      <c r="S62" s="56">
        <f>P122</f>
        <v>9.7011500000000001E-2</v>
      </c>
      <c r="W62">
        <f t="shared" si="4"/>
        <v>150</v>
      </c>
      <c r="X62" s="14">
        <f t="shared" si="5"/>
        <v>382.5</v>
      </c>
      <c r="Z62">
        <v>30</v>
      </c>
      <c r="AA62" s="58">
        <v>415.7946392621696</v>
      </c>
      <c r="AB62" s="59">
        <v>24.826246815237941</v>
      </c>
      <c r="AC62" s="59">
        <v>440.62088607740753</v>
      </c>
      <c r="AD62" s="60">
        <v>390.96839244693166</v>
      </c>
      <c r="AE62" s="61">
        <v>0.98973966628297216</v>
      </c>
      <c r="AF62" s="62">
        <v>9.5576558192817396E-3</v>
      </c>
      <c r="AG62" s="62">
        <v>0.99929732210225386</v>
      </c>
      <c r="AH62" s="63">
        <v>0.98018201046369047</v>
      </c>
      <c r="AI62">
        <f t="shared" si="6"/>
        <v>7.2029859899543327</v>
      </c>
      <c r="AJ62" s="64">
        <v>172.87166375890399</v>
      </c>
      <c r="AK62">
        <f t="shared" si="2"/>
        <v>7.2029859899543327</v>
      </c>
      <c r="AM62" s="56">
        <v>31</v>
      </c>
      <c r="AN62" s="56">
        <f t="shared" si="3"/>
        <v>0.18960571783640034</v>
      </c>
    </row>
    <row r="63" spans="1:43" x14ac:dyDescent="0.25">
      <c r="A63" s="14">
        <v>150</v>
      </c>
      <c r="B63" s="14">
        <v>279.36700000000002</v>
      </c>
      <c r="C63" s="14">
        <v>361.495</v>
      </c>
      <c r="D63" s="14">
        <v>407.60399999999998</v>
      </c>
      <c r="E63" s="14">
        <v>416.995</v>
      </c>
      <c r="F63" s="14">
        <v>5.9053899999999997</v>
      </c>
      <c r="G63" s="14">
        <v>0.62567899999999999</v>
      </c>
      <c r="H63" s="14">
        <v>111.336</v>
      </c>
      <c r="I63" s="14">
        <v>266.21800000000002</v>
      </c>
      <c r="J63" s="7"/>
      <c r="M63" s="14"/>
      <c r="N63" s="14">
        <v>10.333299999999999</v>
      </c>
      <c r="O63" s="14">
        <v>6.2804899999999997E-2</v>
      </c>
      <c r="P63">
        <v>0</v>
      </c>
      <c r="Q63" s="57"/>
      <c r="R63" s="56">
        <f>N125</f>
        <v>31</v>
      </c>
      <c r="S63" s="56">
        <f>P125</f>
        <v>0.1106389</v>
      </c>
      <c r="W63">
        <f t="shared" si="4"/>
        <v>155</v>
      </c>
      <c r="X63" s="14">
        <f t="shared" si="5"/>
        <v>379.8</v>
      </c>
      <c r="Z63">
        <v>31</v>
      </c>
      <c r="AA63" s="58">
        <v>415.60503354433314</v>
      </c>
      <c r="AB63" s="59">
        <v>24.733206047239634</v>
      </c>
      <c r="AC63" s="59">
        <v>440.3382395915728</v>
      </c>
      <c r="AD63" s="60">
        <v>390.87182749709348</v>
      </c>
      <c r="AE63" s="61">
        <v>0.98930161449567222</v>
      </c>
      <c r="AF63" s="62">
        <v>9.8775114581019646E-3</v>
      </c>
      <c r="AG63" s="62">
        <v>0.99917912595377423</v>
      </c>
      <c r="AH63" s="63">
        <v>0.97942410303757022</v>
      </c>
      <c r="AI63">
        <f t="shared" si="6"/>
        <v>6.5081210493766184</v>
      </c>
      <c r="AJ63" s="64">
        <v>156.19490518503883</v>
      </c>
      <c r="AK63">
        <f t="shared" si="2"/>
        <v>6.5081210493766184</v>
      </c>
      <c r="AM63" s="56">
        <v>32</v>
      </c>
      <c r="AN63" s="56">
        <f t="shared" si="3"/>
        <v>0.18960571783657088</v>
      </c>
    </row>
    <row r="64" spans="1:43" x14ac:dyDescent="0.25">
      <c r="A64" s="14">
        <v>155</v>
      </c>
      <c r="B64" s="14">
        <v>416.87799999999999</v>
      </c>
      <c r="C64" s="14">
        <v>344.88</v>
      </c>
      <c r="D64" s="14">
        <v>407.60399999999998</v>
      </c>
      <c r="E64" s="14">
        <v>416.995</v>
      </c>
      <c r="F64" s="14">
        <v>2.4799700000000001E-2</v>
      </c>
      <c r="G64" s="14">
        <v>0.85429600000000006</v>
      </c>
      <c r="H64" s="14">
        <v>108.822</v>
      </c>
      <c r="I64" s="14">
        <v>151.78</v>
      </c>
      <c r="J64" s="7"/>
      <c r="M64" s="14"/>
      <c r="N64" s="14">
        <v>10.666700000000001</v>
      </c>
      <c r="O64" s="14">
        <v>1.6126600000000001E-2</v>
      </c>
      <c r="P64">
        <v>0</v>
      </c>
      <c r="Q64" s="57"/>
      <c r="R64" s="56">
        <f>N128</f>
        <v>32</v>
      </c>
      <c r="S64" s="56">
        <f>P128</f>
        <v>9.7363100000000008E-2</v>
      </c>
      <c r="W64">
        <f t="shared" si="4"/>
        <v>160</v>
      </c>
      <c r="X64" s="14">
        <f t="shared" si="5"/>
        <v>376.1</v>
      </c>
      <c r="Z64">
        <v>32</v>
      </c>
      <c r="AA64" s="58">
        <v>415.41542782649674</v>
      </c>
      <c r="AB64" s="59">
        <v>24.640797113845807</v>
      </c>
      <c r="AC64" s="59">
        <v>440.05622494034253</v>
      </c>
      <c r="AD64" s="60">
        <v>390.77463071265095</v>
      </c>
      <c r="AE64" s="61">
        <v>0.98886356270837206</v>
      </c>
      <c r="AF64" s="62">
        <v>1.0198576184345219E-2</v>
      </c>
      <c r="AG64" s="62">
        <v>0.99906213889271722</v>
      </c>
      <c r="AH64" s="63">
        <v>0.97866498652402689</v>
      </c>
      <c r="AI64">
        <f t="shared" si="6"/>
        <v>6.5350138852672588</v>
      </c>
      <c r="AJ64" s="64">
        <v>156.84033324641422</v>
      </c>
      <c r="AK64">
        <f t="shared" si="2"/>
        <v>6.5350138852672588</v>
      </c>
      <c r="AM64" s="56">
        <v>33</v>
      </c>
      <c r="AN64" s="56">
        <f t="shared" si="3"/>
        <v>0.1896057178363435</v>
      </c>
    </row>
    <row r="65" spans="1:40" x14ac:dyDescent="0.25">
      <c r="A65" s="14">
        <v>160</v>
      </c>
      <c r="B65" s="14">
        <v>274.81099999999998</v>
      </c>
      <c r="C65" s="14">
        <v>330.3</v>
      </c>
      <c r="D65" s="14">
        <v>407.60399999999998</v>
      </c>
      <c r="E65" s="14">
        <v>416.995</v>
      </c>
      <c r="F65" s="14">
        <v>6.2370599999999996</v>
      </c>
      <c r="G65" s="14">
        <v>1.0851</v>
      </c>
      <c r="H65" s="14">
        <v>106.73</v>
      </c>
      <c r="I65" s="14">
        <v>159.28800000000001</v>
      </c>
      <c r="J65" s="7"/>
      <c r="M65" s="14"/>
      <c r="N65" s="14">
        <v>11</v>
      </c>
      <c r="O65" s="14">
        <v>6.1096499999999998E-2</v>
      </c>
      <c r="P65" s="14">
        <f>O65+O64+O63</f>
        <v>0.14002799999999999</v>
      </c>
      <c r="Q65" s="57"/>
      <c r="R65" s="56">
        <f>N131</f>
        <v>33</v>
      </c>
      <c r="S65" s="56">
        <f>P131</f>
        <v>0.1098259</v>
      </c>
      <c r="W65">
        <f t="shared" si="4"/>
        <v>165</v>
      </c>
      <c r="X65" s="14">
        <f t="shared" si="5"/>
        <v>370.5</v>
      </c>
      <c r="Z65">
        <v>33</v>
      </c>
      <c r="AA65" s="58">
        <v>415.22582210866017</v>
      </c>
      <c r="AB65" s="59">
        <v>24.54902715022769</v>
      </c>
      <c r="AC65" s="59">
        <v>439.77484925888785</v>
      </c>
      <c r="AD65" s="60">
        <v>390.67679495843248</v>
      </c>
      <c r="AE65" s="61">
        <v>0.988425510921072</v>
      </c>
      <c r="AF65" s="62">
        <v>1.0520739304284774E-2</v>
      </c>
      <c r="AG65" s="62">
        <v>0.99894625022535677</v>
      </c>
      <c r="AH65" s="63">
        <v>0.97790477161678724</v>
      </c>
      <c r="AI65">
        <f t="shared" si="6"/>
        <v>6.5785087811964162</v>
      </c>
      <c r="AJ65" s="64">
        <v>157.884210748714</v>
      </c>
      <c r="AK65">
        <f t="shared" si="2"/>
        <v>6.5785087811964162</v>
      </c>
      <c r="AM65" s="56">
        <v>34</v>
      </c>
      <c r="AN65" s="56">
        <f t="shared" si="3"/>
        <v>0.19477967949444519</v>
      </c>
    </row>
    <row r="66" spans="1:40" x14ac:dyDescent="0.25">
      <c r="A66" s="14">
        <v>165</v>
      </c>
      <c r="B66" s="14">
        <v>266.39800000000002</v>
      </c>
      <c r="C66" s="14">
        <v>316.36399999999998</v>
      </c>
      <c r="D66" s="14">
        <v>407.59800000000001</v>
      </c>
      <c r="E66" s="14">
        <v>416.995</v>
      </c>
      <c r="F66" s="14">
        <v>6.6314900000000003</v>
      </c>
      <c r="G66" s="14">
        <v>1.26884</v>
      </c>
      <c r="H66" s="14">
        <v>104.855</v>
      </c>
      <c r="I66" s="14">
        <v>157.63</v>
      </c>
      <c r="J66" s="7"/>
      <c r="M66" s="14"/>
      <c r="N66" s="14">
        <v>11.333299999999999</v>
      </c>
      <c r="O66" s="14">
        <v>1.7221799999999999E-2</v>
      </c>
      <c r="P66">
        <v>0</v>
      </c>
      <c r="Q66" s="57"/>
      <c r="R66" s="56">
        <f>N134</f>
        <v>34</v>
      </c>
      <c r="S66" s="56">
        <f>P134</f>
        <v>9.7699499999999995E-2</v>
      </c>
      <c r="W66">
        <f t="shared" si="4"/>
        <v>170</v>
      </c>
      <c r="X66" s="14">
        <f t="shared" si="5"/>
        <v>364.8</v>
      </c>
      <c r="Z66">
        <v>34</v>
      </c>
      <c r="AA66" s="58">
        <v>415.03621639082382</v>
      </c>
      <c r="AB66" s="59">
        <v>24.457903348936583</v>
      </c>
      <c r="AC66" s="59">
        <v>439.49411973976044</v>
      </c>
      <c r="AD66" s="60">
        <v>390.57831304188721</v>
      </c>
      <c r="AE66" s="61">
        <v>0.98798745913377206</v>
      </c>
      <c r="AF66" s="62">
        <v>1.0843902921338985E-2</v>
      </c>
      <c r="AG66" s="62">
        <v>0.99883136205511103</v>
      </c>
      <c r="AH66" s="63">
        <v>0.9771435562124331</v>
      </c>
      <c r="AI66">
        <f t="shared" si="6"/>
        <v>6.6220036771255728</v>
      </c>
      <c r="AJ66" s="64">
        <v>158.92808825101375</v>
      </c>
      <c r="AK66">
        <f t="shared" si="2"/>
        <v>6.6220036771255728</v>
      </c>
      <c r="AM66" s="56">
        <v>35</v>
      </c>
      <c r="AN66" s="56">
        <f t="shared" si="3"/>
        <v>0.20453410733978217</v>
      </c>
    </row>
    <row r="67" spans="1:40" x14ac:dyDescent="0.25">
      <c r="A67" s="14">
        <v>170</v>
      </c>
      <c r="B67" s="14">
        <v>248.529</v>
      </c>
      <c r="C67" s="14">
        <v>304.47300000000001</v>
      </c>
      <c r="D67" s="14">
        <v>406.87799999999999</v>
      </c>
      <c r="E67" s="14">
        <v>416.99099999999999</v>
      </c>
      <c r="F67" s="14">
        <v>8.2123399999999993</v>
      </c>
      <c r="G67" s="14">
        <v>1.4186700000000001</v>
      </c>
      <c r="H67" s="14">
        <v>102.76</v>
      </c>
      <c r="I67" s="14">
        <v>238.06299999999999</v>
      </c>
      <c r="J67" s="7"/>
      <c r="M67" s="14"/>
      <c r="N67" s="14">
        <v>11.666700000000001</v>
      </c>
      <c r="O67" s="14">
        <v>5.8855200000000003E-2</v>
      </c>
      <c r="P67">
        <v>0</v>
      </c>
      <c r="Q67" s="57"/>
      <c r="R67" s="56">
        <f>N137</f>
        <v>35</v>
      </c>
      <c r="S67" s="56">
        <f>P137</f>
        <v>0.10895969999999999</v>
      </c>
      <c r="W67">
        <f t="shared" si="4"/>
        <v>175</v>
      </c>
      <c r="X67" s="14">
        <f t="shared" si="5"/>
        <v>358.9</v>
      </c>
      <c r="Z67">
        <v>35</v>
      </c>
      <c r="AA67" s="58">
        <v>414.84143671132938</v>
      </c>
      <c r="AB67" s="59">
        <v>24.363271120697604</v>
      </c>
      <c r="AC67" s="59">
        <v>439.204707832027</v>
      </c>
      <c r="AD67" s="60">
        <v>390.47816559063176</v>
      </c>
      <c r="AE67" s="61">
        <v>0.98753788895893291</v>
      </c>
      <c r="AF67" s="62">
        <v>1.1198386080153671E-2</v>
      </c>
      <c r="AG67" s="62">
        <v>0.99873627503908657</v>
      </c>
      <c r="AH67" s="63">
        <v>0.97633950287877924</v>
      </c>
      <c r="AI67">
        <f t="shared" si="6"/>
        <v>6.6654985730547303</v>
      </c>
      <c r="AJ67" s="64">
        <v>159.97196575331353</v>
      </c>
      <c r="AK67">
        <f t="shared" si="2"/>
        <v>6.6654985730547303</v>
      </c>
      <c r="AM67" s="56">
        <v>36</v>
      </c>
      <c r="AN67" s="56">
        <f t="shared" si="3"/>
        <v>0.20476286536398902</v>
      </c>
    </row>
    <row r="68" spans="1:40" x14ac:dyDescent="0.25">
      <c r="A68" s="14">
        <v>175</v>
      </c>
      <c r="B68" s="14">
        <v>245.29900000000001</v>
      </c>
      <c r="C68" s="14">
        <v>293.75400000000002</v>
      </c>
      <c r="D68" s="14">
        <v>406.87799999999999</v>
      </c>
      <c r="E68" s="14">
        <v>416.98899999999998</v>
      </c>
      <c r="F68" s="14">
        <v>8.5841100000000008</v>
      </c>
      <c r="G68" s="14">
        <v>1.54583</v>
      </c>
      <c r="H68" s="14">
        <v>101.083</v>
      </c>
      <c r="I68" s="14">
        <v>289.13</v>
      </c>
      <c r="J68" s="7"/>
      <c r="M68" s="14"/>
      <c r="N68" s="14">
        <v>12</v>
      </c>
      <c r="O68" s="14">
        <v>1.7706900000000001E-2</v>
      </c>
      <c r="P68" s="14">
        <f>O68+O67+O66</f>
        <v>9.3783900000000003E-2</v>
      </c>
      <c r="Q68" s="57"/>
      <c r="R68" s="56">
        <f>N140</f>
        <v>36</v>
      </c>
      <c r="S68" s="56">
        <f>P140</f>
        <v>9.8124299999999998E-2</v>
      </c>
      <c r="W68">
        <f t="shared" si="4"/>
        <v>180</v>
      </c>
      <c r="X68" s="14">
        <f t="shared" si="5"/>
        <v>352.6</v>
      </c>
      <c r="Z68">
        <v>36</v>
      </c>
      <c r="AA68" s="58">
        <v>414.6369026039896</v>
      </c>
      <c r="AB68" s="59">
        <v>24.261737816454605</v>
      </c>
      <c r="AC68" s="59">
        <v>438.89864042044422</v>
      </c>
      <c r="AD68" s="60">
        <v>390.37516478753497</v>
      </c>
      <c r="AE68" s="61">
        <v>0.98706660326172058</v>
      </c>
      <c r="AF68" s="62">
        <v>1.1610814638578484E-2</v>
      </c>
      <c r="AG68" s="62">
        <v>0.99867741790029907</v>
      </c>
      <c r="AH68" s="63">
        <v>0.97545578862314208</v>
      </c>
      <c r="AI68">
        <f t="shared" si="6"/>
        <v>6.7089934689838877</v>
      </c>
      <c r="AJ68" s="64">
        <v>161.01584325561331</v>
      </c>
      <c r="AK68">
        <f t="shared" si="2"/>
        <v>6.7089934689838877</v>
      </c>
      <c r="AM68" s="56">
        <v>37</v>
      </c>
      <c r="AN68" s="56">
        <f t="shared" si="3"/>
        <v>0.20476286536393218</v>
      </c>
    </row>
    <row r="69" spans="1:40" x14ac:dyDescent="0.25">
      <c r="A69" s="14">
        <v>180</v>
      </c>
      <c r="B69" s="14">
        <v>239.506</v>
      </c>
      <c r="C69" s="14">
        <v>283.61799999999999</v>
      </c>
      <c r="D69" s="14">
        <v>395.37700000000001</v>
      </c>
      <c r="E69" s="14">
        <v>416.98899999999998</v>
      </c>
      <c r="F69" s="14">
        <v>9.1579099999999993</v>
      </c>
      <c r="G69" s="14">
        <v>1.6572</v>
      </c>
      <c r="H69" s="14">
        <v>99.506399999999999</v>
      </c>
      <c r="I69" s="14">
        <v>293.553</v>
      </c>
      <c r="J69" s="7"/>
      <c r="M69" s="14"/>
      <c r="N69" s="14">
        <v>12.333299999999999</v>
      </c>
      <c r="O69" s="14">
        <v>5.9927300000000003E-2</v>
      </c>
      <c r="P69">
        <v>0</v>
      </c>
      <c r="Q69" s="57"/>
      <c r="R69" s="56">
        <f>N143</f>
        <v>37</v>
      </c>
      <c r="S69" s="56">
        <f>P143</f>
        <v>0.10829040000000001</v>
      </c>
      <c r="W69">
        <f t="shared" si="4"/>
        <v>185</v>
      </c>
      <c r="X69" s="14">
        <f t="shared" si="5"/>
        <v>345.7</v>
      </c>
      <c r="Z69">
        <v>37</v>
      </c>
      <c r="AA69" s="58">
        <v>414.43213973862561</v>
      </c>
      <c r="AB69" s="59">
        <v>24.161123768708563</v>
      </c>
      <c r="AC69" s="59">
        <v>438.5932635073342</v>
      </c>
      <c r="AD69" s="60">
        <v>390.27101596991702</v>
      </c>
      <c r="AE69" s="61">
        <v>0.98659480829835</v>
      </c>
      <c r="AF69" s="62">
        <v>1.2025045262253405E-2</v>
      </c>
      <c r="AG69" s="62">
        <v>0.99861985356060345</v>
      </c>
      <c r="AH69" s="63">
        <v>0.97456976303609655</v>
      </c>
      <c r="AI69">
        <f t="shared" si="6"/>
        <v>6.2239514484718539</v>
      </c>
      <c r="AJ69" s="64">
        <v>149.37483476332449</v>
      </c>
      <c r="AK69">
        <f t="shared" si="2"/>
        <v>6.2239514484718539</v>
      </c>
      <c r="AM69" s="56">
        <v>38</v>
      </c>
      <c r="AN69" s="56">
        <f t="shared" si="3"/>
        <v>0.20476286536404587</v>
      </c>
    </row>
    <row r="70" spans="1:40" x14ac:dyDescent="0.25">
      <c r="A70" s="14">
        <v>185</v>
      </c>
      <c r="B70" s="14">
        <v>231.392</v>
      </c>
      <c r="C70" s="14">
        <v>273.459</v>
      </c>
      <c r="D70" s="14">
        <v>374.07400000000001</v>
      </c>
      <c r="E70" s="14">
        <v>416.98899999999998</v>
      </c>
      <c r="F70" s="14">
        <v>10.384600000000001</v>
      </c>
      <c r="G70" s="14">
        <v>1.7576099999999999</v>
      </c>
      <c r="H70" s="14">
        <v>97.913300000000007</v>
      </c>
      <c r="I70" s="14">
        <v>283.60199999999998</v>
      </c>
      <c r="J70" s="7"/>
      <c r="M70" s="14"/>
      <c r="N70" s="14">
        <v>12.666700000000001</v>
      </c>
      <c r="O70" s="14">
        <v>1.7222000000000001E-2</v>
      </c>
      <c r="P70">
        <v>0</v>
      </c>
      <c r="Q70" s="57"/>
      <c r="R70" s="56">
        <f>N146</f>
        <v>38</v>
      </c>
      <c r="S70" s="56">
        <f>P146</f>
        <v>9.8460699999999998E-2</v>
      </c>
      <c r="W70">
        <f t="shared" si="4"/>
        <v>190</v>
      </c>
      <c r="X70" s="14">
        <f t="shared" si="5"/>
        <v>338.9</v>
      </c>
      <c r="Z70">
        <v>38</v>
      </c>
      <c r="AA70" s="58">
        <v>414.22737687326168</v>
      </c>
      <c r="AB70" s="59">
        <v>24.061626653266888</v>
      </c>
      <c r="AC70" s="59">
        <v>438.28900352652857</v>
      </c>
      <c r="AD70" s="60">
        <v>390.16575021999478</v>
      </c>
      <c r="AE70" s="61">
        <v>0.98612301333497943</v>
      </c>
      <c r="AF70" s="62">
        <v>1.2439687648136711E-2</v>
      </c>
      <c r="AG70" s="62">
        <v>0.99856270098311617</v>
      </c>
      <c r="AH70" s="63">
        <v>0.97368332568684268</v>
      </c>
      <c r="AI70">
        <f t="shared" si="6"/>
        <v>6.0308897526454528</v>
      </c>
      <c r="AJ70" s="64">
        <v>144.74135406349086</v>
      </c>
      <c r="AK70">
        <f t="shared" si="2"/>
        <v>6.0308897526454528</v>
      </c>
      <c r="AM70" s="56">
        <v>39</v>
      </c>
      <c r="AN70" s="56">
        <f t="shared" si="3"/>
        <v>0.20476286536398902</v>
      </c>
    </row>
    <row r="71" spans="1:40" x14ac:dyDescent="0.25">
      <c r="A71" s="14">
        <v>190</v>
      </c>
      <c r="B71" s="14">
        <v>230.52500000000001</v>
      </c>
      <c r="C71" s="14">
        <v>262.214</v>
      </c>
      <c r="D71" s="14">
        <v>356.43200000000002</v>
      </c>
      <c r="E71" s="14">
        <v>416.98700000000002</v>
      </c>
      <c r="F71" s="14">
        <v>10.308999999999999</v>
      </c>
      <c r="G71" s="14">
        <v>1.8436600000000001</v>
      </c>
      <c r="H71" s="14">
        <v>96.055099999999996</v>
      </c>
      <c r="I71" s="14">
        <v>270.017</v>
      </c>
      <c r="J71" s="7"/>
      <c r="M71" s="14"/>
      <c r="N71" s="14">
        <v>13</v>
      </c>
      <c r="O71" s="14">
        <v>5.9408900000000001E-2</v>
      </c>
      <c r="P71" s="14">
        <f>O71+O70+O69</f>
        <v>0.13655820000000002</v>
      </c>
      <c r="Q71" s="57"/>
      <c r="R71" s="56">
        <f>N149</f>
        <v>39</v>
      </c>
      <c r="S71" s="56">
        <f>P149</f>
        <v>0.1077379</v>
      </c>
      <c r="W71">
        <f t="shared" si="4"/>
        <v>195</v>
      </c>
      <c r="X71" s="14">
        <f t="shared" si="5"/>
        <v>332.1</v>
      </c>
      <c r="Z71">
        <v>39</v>
      </c>
      <c r="AA71" s="58">
        <v>414.02261400789763</v>
      </c>
      <c r="AB71" s="59">
        <v>23.963260382874278</v>
      </c>
      <c r="AC71" s="59">
        <v>437.98587439077193</v>
      </c>
      <c r="AD71" s="60">
        <v>390.05935362502333</v>
      </c>
      <c r="AE71" s="61">
        <v>0.98565121837160863</v>
      </c>
      <c r="AF71" s="62">
        <v>1.2854701950776978E-2</v>
      </c>
      <c r="AG71" s="62">
        <v>0.99850592032238561</v>
      </c>
      <c r="AH71" s="63">
        <v>0.97279651642083165</v>
      </c>
      <c r="AI71">
        <f t="shared" si="6"/>
        <v>7.351952299095867</v>
      </c>
      <c r="AJ71" s="64">
        <v>176.44685517830081</v>
      </c>
      <c r="AK71">
        <f t="shared" si="2"/>
        <v>7.351952299095867</v>
      </c>
      <c r="AM71" s="56">
        <v>40</v>
      </c>
      <c r="AN71" s="56">
        <f t="shared" si="3"/>
        <v>0.20476286536404587</v>
      </c>
    </row>
    <row r="72" spans="1:40" x14ac:dyDescent="0.25">
      <c r="A72" s="14">
        <v>195</v>
      </c>
      <c r="B72" s="14">
        <v>223.84299999999999</v>
      </c>
      <c r="C72" s="14">
        <v>252.93</v>
      </c>
      <c r="D72" s="14">
        <v>338.29599999999999</v>
      </c>
      <c r="E72" s="14">
        <v>416.98599999999999</v>
      </c>
      <c r="F72" s="14">
        <v>11.5265</v>
      </c>
      <c r="G72" s="14">
        <v>1.91953</v>
      </c>
      <c r="H72" s="14">
        <v>94.474900000000005</v>
      </c>
      <c r="I72" s="14">
        <v>257.53800000000001</v>
      </c>
      <c r="J72" s="7"/>
      <c r="M72" s="14"/>
      <c r="N72" s="14">
        <v>13.333299999999999</v>
      </c>
      <c r="O72" s="14">
        <v>1.7869599999999999E-2</v>
      </c>
      <c r="P72">
        <v>0</v>
      </c>
      <c r="Q72" s="57"/>
      <c r="R72" s="56">
        <f>N152</f>
        <v>40</v>
      </c>
      <c r="S72" s="56">
        <f>P152</f>
        <v>9.877240000000001E-2</v>
      </c>
      <c r="W72">
        <f t="shared" si="4"/>
        <v>200</v>
      </c>
      <c r="X72" s="14">
        <f t="shared" si="5"/>
        <v>325.2</v>
      </c>
      <c r="Z72">
        <v>40</v>
      </c>
      <c r="AA72" s="58">
        <v>413.81785114253364</v>
      </c>
      <c r="AB72" s="59">
        <v>23.866038940208306</v>
      </c>
      <c r="AC72" s="59">
        <v>437.68389008274193</v>
      </c>
      <c r="AD72" s="60">
        <v>389.95181220232536</v>
      </c>
      <c r="AE72" s="61">
        <v>0.98517942340823816</v>
      </c>
      <c r="AF72" s="62">
        <v>1.3270053275686745E-2</v>
      </c>
      <c r="AG72" s="62">
        <v>0.99844947668392492</v>
      </c>
      <c r="AH72" s="63">
        <v>0.97190937013255141</v>
      </c>
      <c r="AI72">
        <f t="shared" si="6"/>
        <v>7.4552918968178012</v>
      </c>
      <c r="AJ72" s="64">
        <v>178.92700552362723</v>
      </c>
      <c r="AK72">
        <f t="shared" si="2"/>
        <v>7.4552918968178012</v>
      </c>
      <c r="AM72" s="56">
        <v>41</v>
      </c>
      <c r="AN72" s="56">
        <f t="shared" si="3"/>
        <v>0.20476286536387533</v>
      </c>
    </row>
    <row r="73" spans="1:40" x14ac:dyDescent="0.25">
      <c r="A73" s="14">
        <v>200</v>
      </c>
      <c r="B73" s="14">
        <v>221.988</v>
      </c>
      <c r="C73" s="14">
        <v>244.74600000000001</v>
      </c>
      <c r="D73" s="14">
        <v>320.85399999999998</v>
      </c>
      <c r="E73" s="14">
        <v>416.98599999999999</v>
      </c>
      <c r="F73" s="14">
        <v>11.8742</v>
      </c>
      <c r="G73" s="14">
        <v>1.9933399999999999</v>
      </c>
      <c r="H73" s="14">
        <v>93.181799999999996</v>
      </c>
      <c r="I73" s="14">
        <v>244.48599999999999</v>
      </c>
      <c r="J73" s="7"/>
      <c r="M73" s="14"/>
      <c r="N73" s="14">
        <v>13.666700000000001</v>
      </c>
      <c r="O73" s="14">
        <v>5.74046E-2</v>
      </c>
      <c r="P73">
        <v>0</v>
      </c>
      <c r="Q73" s="57"/>
      <c r="R73" s="56">
        <f>N155</f>
        <v>41</v>
      </c>
      <c r="S73" s="56">
        <f>P155</f>
        <v>0.1072544</v>
      </c>
      <c r="W73">
        <f t="shared" si="4"/>
        <v>205</v>
      </c>
      <c r="X73" s="14">
        <f t="shared" si="5"/>
        <v>318.39999999999998</v>
      </c>
      <c r="Z73">
        <v>41</v>
      </c>
      <c r="AA73" s="58">
        <v>413.6130882771696</v>
      </c>
      <c r="AB73" s="59">
        <v>23.769976372632883</v>
      </c>
      <c r="AC73" s="59">
        <v>437.38306464980246</v>
      </c>
      <c r="AD73" s="60">
        <v>389.84311190453673</v>
      </c>
      <c r="AE73" s="61">
        <v>0.98470762844486748</v>
      </c>
      <c r="AF73" s="62">
        <v>1.3685710937761426E-2</v>
      </c>
      <c r="AG73" s="62">
        <v>0.99839333938262886</v>
      </c>
      <c r="AH73" s="63">
        <v>0.97102191750710609</v>
      </c>
      <c r="AI73">
        <f t="shared" si="6"/>
        <v>7.5344551677427383</v>
      </c>
      <c r="AJ73" s="64">
        <v>180.82692402582572</v>
      </c>
      <c r="AK73">
        <f t="shared" si="2"/>
        <v>7.5344551677427383</v>
      </c>
      <c r="AM73" s="56">
        <v>42</v>
      </c>
      <c r="AN73" s="56">
        <f t="shared" si="3"/>
        <v>0.20476286536398902</v>
      </c>
    </row>
    <row r="74" spans="1:40" x14ac:dyDescent="0.25">
      <c r="A74" s="14">
        <v>205</v>
      </c>
      <c r="B74" s="14">
        <v>215.61099999999999</v>
      </c>
      <c r="C74" s="14">
        <v>235.60300000000001</v>
      </c>
      <c r="D74" s="14">
        <v>303.88499999999999</v>
      </c>
      <c r="E74" s="14">
        <v>416.98599999999999</v>
      </c>
      <c r="F74" s="14">
        <v>13.122199999999999</v>
      </c>
      <c r="G74" s="14">
        <v>2.0824500000000001</v>
      </c>
      <c r="H74" s="14">
        <v>91.694400000000002</v>
      </c>
      <c r="I74" s="14">
        <v>198.33600000000001</v>
      </c>
      <c r="J74" s="7"/>
      <c r="M74" s="14"/>
      <c r="N74" s="14">
        <v>14</v>
      </c>
      <c r="O74" s="14">
        <v>1.8459099999999999E-2</v>
      </c>
      <c r="P74" s="14">
        <f>O74+O73+O72</f>
        <v>9.3733300000000006E-2</v>
      </c>
      <c r="Q74" s="57"/>
      <c r="R74" s="56">
        <f>N158</f>
        <v>42</v>
      </c>
      <c r="S74" s="56">
        <f>P158</f>
        <v>9.9010999999999988E-2</v>
      </c>
      <c r="W74">
        <f t="shared" si="4"/>
        <v>210</v>
      </c>
      <c r="X74" s="14">
        <f t="shared" si="5"/>
        <v>311.60000000000002</v>
      </c>
      <c r="Z74">
        <v>42</v>
      </c>
      <c r="AA74" s="58">
        <v>413.40832541180572</v>
      </c>
      <c r="AB74" s="59">
        <v>23.67508678669185</v>
      </c>
      <c r="AC74" s="59">
        <v>437.08341219849757</v>
      </c>
      <c r="AD74" s="60">
        <v>389.73323862511387</v>
      </c>
      <c r="AE74" s="61">
        <v>0.9842358334814969</v>
      </c>
      <c r="AF74" s="62">
        <v>1.410164784840792E-2</v>
      </c>
      <c r="AG74" s="62">
        <v>0.99833748132990485</v>
      </c>
      <c r="AH74" s="63">
        <v>0.97013418563308895</v>
      </c>
      <c r="AI74">
        <f t="shared" si="6"/>
        <v>7.6136184386676744</v>
      </c>
      <c r="AJ74" s="64">
        <v>182.72684252802418</v>
      </c>
      <c r="AK74">
        <f t="shared" si="2"/>
        <v>7.6136184386676744</v>
      </c>
      <c r="AM74" s="56">
        <v>43</v>
      </c>
      <c r="AN74" s="56">
        <f t="shared" si="3"/>
        <v>0.20820272955717201</v>
      </c>
    </row>
    <row r="75" spans="1:40" x14ac:dyDescent="0.25">
      <c r="A75" s="14">
        <v>210</v>
      </c>
      <c r="B75" s="14">
        <v>222.43</v>
      </c>
      <c r="C75" s="14">
        <v>227.036</v>
      </c>
      <c r="D75" s="14">
        <v>283.11099999999999</v>
      </c>
      <c r="E75" s="14">
        <v>416.98599999999999</v>
      </c>
      <c r="F75" s="14">
        <v>11.5648</v>
      </c>
      <c r="G75" s="14">
        <v>2.1738400000000002</v>
      </c>
      <c r="H75" s="14">
        <v>90.097200000000001</v>
      </c>
      <c r="I75" s="14">
        <v>178.096</v>
      </c>
      <c r="J75" s="7"/>
      <c r="M75" s="14"/>
      <c r="N75" s="14">
        <v>14.333299999999999</v>
      </c>
      <c r="O75" s="14">
        <v>5.8211300000000001E-2</v>
      </c>
      <c r="P75">
        <v>0</v>
      </c>
      <c r="Q75" s="57"/>
      <c r="R75" s="56">
        <f>N161</f>
        <v>43</v>
      </c>
      <c r="S75" s="56">
        <f>P161</f>
        <v>0.10695979999999999</v>
      </c>
      <c r="W75">
        <f t="shared" si="4"/>
        <v>215</v>
      </c>
      <c r="X75" s="14">
        <f t="shared" si="5"/>
        <v>304.89999999999998</v>
      </c>
      <c r="Z75">
        <v>43</v>
      </c>
      <c r="AA75" s="58">
        <v>413.20356254644173</v>
      </c>
      <c r="AB75" s="59">
        <v>23.581384342339515</v>
      </c>
      <c r="AC75" s="59">
        <v>436.78494688878123</v>
      </c>
      <c r="AD75" s="60">
        <v>389.62217820410223</v>
      </c>
      <c r="AE75" s="61">
        <v>0.98376403851812633</v>
      </c>
      <c r="AF75" s="62">
        <v>1.4517840006185426E-2</v>
      </c>
      <c r="AG75" s="62">
        <v>0.99828187852431172</v>
      </c>
      <c r="AH75" s="63">
        <v>0.96924619851194094</v>
      </c>
      <c r="AI75">
        <f t="shared" si="6"/>
        <v>7.6927817095926097</v>
      </c>
      <c r="AJ75" s="64">
        <v>184.62676103022264</v>
      </c>
      <c r="AK75">
        <f t="shared" si="2"/>
        <v>7.6927817095926097</v>
      </c>
      <c r="AM75" s="56">
        <v>44</v>
      </c>
      <c r="AN75" s="56">
        <f t="shared" si="3"/>
        <v>0.21450670029878438</v>
      </c>
    </row>
    <row r="76" spans="1:40" x14ac:dyDescent="0.25">
      <c r="A76" s="14">
        <v>215</v>
      </c>
      <c r="B76" s="14">
        <v>413.17599999999999</v>
      </c>
      <c r="C76" s="14">
        <v>219.50299999999999</v>
      </c>
      <c r="D76" s="14">
        <v>278.31799999999998</v>
      </c>
      <c r="E76" s="14">
        <v>416.98599999999999</v>
      </c>
      <c r="F76" s="14">
        <v>0.50153499999999995</v>
      </c>
      <c r="G76" s="14">
        <v>2.3495599999999999</v>
      </c>
      <c r="H76" s="14">
        <v>88.756200000000007</v>
      </c>
      <c r="I76" s="14">
        <v>135.27699999999999</v>
      </c>
      <c r="J76" s="7"/>
      <c r="M76" s="14"/>
      <c r="N76" s="14">
        <v>14.666700000000001</v>
      </c>
      <c r="O76" s="14">
        <v>1.7953199999999999E-2</v>
      </c>
      <c r="P76">
        <v>0</v>
      </c>
      <c r="Q76" s="57"/>
      <c r="R76" s="56">
        <f>N164</f>
        <v>44</v>
      </c>
      <c r="S76" s="56">
        <f>P164</f>
        <v>9.9089299999999991E-2</v>
      </c>
      <c r="W76">
        <f t="shared" si="4"/>
        <v>220</v>
      </c>
      <c r="X76" s="14">
        <f t="shared" si="5"/>
        <v>299.39999999999998</v>
      </c>
      <c r="Z76">
        <v>44</v>
      </c>
      <c r="AA76" s="58">
        <v>412.99535981688456</v>
      </c>
      <c r="AB76" s="59">
        <v>23.484445908485156</v>
      </c>
      <c r="AC76" s="59">
        <v>436.47980572536972</v>
      </c>
      <c r="AD76" s="60">
        <v>389.5109139083994</v>
      </c>
      <c r="AE76" s="61">
        <v>0.98328450141749635</v>
      </c>
      <c r="AF76" s="62">
        <v>1.4930761297248523E-2</v>
      </c>
      <c r="AG76" s="62">
        <v>0.99821526271474492</v>
      </c>
      <c r="AH76" s="63">
        <v>0.96835374012024777</v>
      </c>
      <c r="AI76">
        <f t="shared" si="6"/>
        <v>7.7719449805175458</v>
      </c>
      <c r="AJ76" s="64">
        <v>186.5266795324211</v>
      </c>
      <c r="AK76">
        <f t="shared" si="2"/>
        <v>7.7719449805175458</v>
      </c>
      <c r="AM76" s="56">
        <v>45</v>
      </c>
      <c r="AN76" s="56">
        <f t="shared" si="3"/>
        <v>0.21464199645009785</v>
      </c>
    </row>
    <row r="77" spans="1:40" x14ac:dyDescent="0.25">
      <c r="A77" s="14">
        <v>220</v>
      </c>
      <c r="B77" s="14">
        <v>404.93200000000002</v>
      </c>
      <c r="C77" s="14">
        <v>211.821</v>
      </c>
      <c r="D77" s="14">
        <v>275.25700000000001</v>
      </c>
      <c r="E77" s="14">
        <v>416.98599999999999</v>
      </c>
      <c r="F77" s="14">
        <v>2.44754</v>
      </c>
      <c r="G77" s="14">
        <v>2.5395400000000001</v>
      </c>
      <c r="H77" s="14">
        <v>87.483400000000003</v>
      </c>
      <c r="I77" s="14">
        <v>136.37200000000001</v>
      </c>
      <c r="J77" s="7"/>
      <c r="M77" s="14"/>
      <c r="N77" s="14">
        <v>15</v>
      </c>
      <c r="O77" s="14">
        <v>5.7757700000000002E-2</v>
      </c>
      <c r="P77" s="14">
        <f>O77+O76+O75</f>
        <v>0.13392219999999999</v>
      </c>
      <c r="Q77" s="57"/>
      <c r="R77" s="56">
        <f>N167</f>
        <v>45</v>
      </c>
      <c r="S77" s="56">
        <f>P167</f>
        <v>0.1067881</v>
      </c>
      <c r="W77">
        <f t="shared" si="4"/>
        <v>225</v>
      </c>
      <c r="X77" s="14">
        <f t="shared" si="5"/>
        <v>293.89999999999998</v>
      </c>
      <c r="Z77">
        <v>45</v>
      </c>
      <c r="AA77" s="58">
        <v>412.78085311658577</v>
      </c>
      <c r="AB77" s="59">
        <v>23.380481845351881</v>
      </c>
      <c r="AC77" s="59">
        <v>436.16133496193765</v>
      </c>
      <c r="AD77" s="60">
        <v>389.40037127123389</v>
      </c>
      <c r="AE77" s="61">
        <v>0.98279077590592312</v>
      </c>
      <c r="AF77" s="62">
        <v>1.5337515210191097E-2</v>
      </c>
      <c r="AG77" s="62">
        <v>0.99812829111611423</v>
      </c>
      <c r="AH77" s="63">
        <v>0.96745326069573201</v>
      </c>
      <c r="AI77">
        <f t="shared" si="6"/>
        <v>6.8012924006046971</v>
      </c>
      <c r="AJ77" s="64">
        <v>163.23101761451272</v>
      </c>
      <c r="AK77">
        <f t="shared" si="2"/>
        <v>6.8012924006046971</v>
      </c>
      <c r="AM77" s="56">
        <v>46</v>
      </c>
      <c r="AN77" s="56">
        <f t="shared" si="3"/>
        <v>0.21464199645009785</v>
      </c>
    </row>
    <row r="78" spans="1:40" x14ac:dyDescent="0.25">
      <c r="A78" s="14">
        <v>225</v>
      </c>
      <c r="B78" s="14">
        <v>333.30599999999998</v>
      </c>
      <c r="C78" s="14">
        <v>204.381</v>
      </c>
      <c r="D78" s="14">
        <v>269.12200000000001</v>
      </c>
      <c r="E78" s="14">
        <v>416.98599999999999</v>
      </c>
      <c r="F78" s="14">
        <v>2.7635999999999998</v>
      </c>
      <c r="G78" s="14">
        <v>2.6972200000000002</v>
      </c>
      <c r="H78" s="14">
        <v>86.095500000000001</v>
      </c>
      <c r="I78" s="14">
        <v>136.53700000000001</v>
      </c>
      <c r="J78" s="7"/>
      <c r="M78" s="14"/>
      <c r="N78" s="14">
        <v>15.333299999999999</v>
      </c>
      <c r="O78" s="14">
        <v>1.8578500000000001E-2</v>
      </c>
      <c r="P78">
        <v>0</v>
      </c>
      <c r="Q78" s="57"/>
      <c r="R78" s="56">
        <f>N170</f>
        <v>46</v>
      </c>
      <c r="S78" s="56">
        <f>P170</f>
        <v>9.9144200000000016E-2</v>
      </c>
      <c r="W78">
        <f t="shared" si="4"/>
        <v>230</v>
      </c>
      <c r="X78" s="14">
        <f t="shared" si="5"/>
        <v>288.5</v>
      </c>
      <c r="Z78">
        <v>46</v>
      </c>
      <c r="AA78" s="58">
        <v>412.56621112013568</v>
      </c>
      <c r="AB78" s="59">
        <v>23.277409689153739</v>
      </c>
      <c r="AC78" s="59">
        <v>435.8436208092894</v>
      </c>
      <c r="AD78" s="60">
        <v>389.28880143098195</v>
      </c>
      <c r="AE78" s="61">
        <v>0.98229674588192895</v>
      </c>
      <c r="AF78" s="62">
        <v>1.574439060428192E-2</v>
      </c>
      <c r="AG78" s="62">
        <v>0.99804113648621084</v>
      </c>
      <c r="AH78" s="63">
        <v>0.96655235527764705</v>
      </c>
      <c r="AI78">
        <f t="shared" si="6"/>
        <v>3.8539201935981819</v>
      </c>
      <c r="AJ78" s="64">
        <v>92.49408464635637</v>
      </c>
      <c r="AK78">
        <f t="shared" si="2"/>
        <v>3.8539201935981819</v>
      </c>
      <c r="AM78" s="56">
        <v>47</v>
      </c>
      <c r="AN78" s="56">
        <f t="shared" si="3"/>
        <v>0.21464199645009785</v>
      </c>
    </row>
    <row r="79" spans="1:40" x14ac:dyDescent="0.25">
      <c r="A79" s="14">
        <v>230</v>
      </c>
      <c r="B79" s="14">
        <v>260.77300000000002</v>
      </c>
      <c r="C79" s="14">
        <v>198.04900000000001</v>
      </c>
      <c r="D79" s="14">
        <v>264.47500000000002</v>
      </c>
      <c r="E79" s="14">
        <v>416.98599999999999</v>
      </c>
      <c r="F79" s="14">
        <v>6.4120900000000001</v>
      </c>
      <c r="G79" s="14">
        <v>2.8418100000000002</v>
      </c>
      <c r="H79" s="14">
        <v>84.991699999999994</v>
      </c>
      <c r="I79" s="14">
        <v>136.61000000000001</v>
      </c>
      <c r="J79" s="7"/>
      <c r="M79" s="14"/>
      <c r="N79" s="14">
        <v>15.666700000000001</v>
      </c>
      <c r="O79" s="14">
        <v>5.6106900000000001E-2</v>
      </c>
      <c r="P79">
        <v>0</v>
      </c>
      <c r="Q79" s="57"/>
      <c r="R79" s="56">
        <f>N173</f>
        <v>47</v>
      </c>
      <c r="S79" s="56">
        <f>P173</f>
        <v>0.1066457</v>
      </c>
      <c r="W79">
        <f t="shared" si="4"/>
        <v>235</v>
      </c>
      <c r="X79" s="14">
        <f t="shared" si="5"/>
        <v>283</v>
      </c>
      <c r="Z79">
        <v>47</v>
      </c>
      <c r="AA79" s="58">
        <v>412.35156912368558</v>
      </c>
      <c r="AB79" s="59">
        <v>23.175418136261676</v>
      </c>
      <c r="AC79" s="59">
        <v>435.52698725994725</v>
      </c>
      <c r="AD79" s="60">
        <v>389.17615098742391</v>
      </c>
      <c r="AE79" s="61">
        <v>0.98180271585793466</v>
      </c>
      <c r="AF79" s="62">
        <v>1.6151505183665843E-2</v>
      </c>
      <c r="AG79" s="62">
        <v>0.99795422104160048</v>
      </c>
      <c r="AH79" s="63">
        <v>0.96565121067426885</v>
      </c>
      <c r="AI79">
        <f t="shared" si="6"/>
        <v>2.2896442848156977</v>
      </c>
      <c r="AJ79" s="64">
        <v>54.951462835576748</v>
      </c>
      <c r="AK79">
        <f t="shared" si="2"/>
        <v>2.2896442848156977</v>
      </c>
      <c r="AM79" s="56">
        <v>48</v>
      </c>
      <c r="AN79" s="56">
        <f t="shared" si="3"/>
        <v>0.21464199645015469</v>
      </c>
    </row>
    <row r="80" spans="1:40" x14ac:dyDescent="0.25">
      <c r="A80" s="14">
        <v>235</v>
      </c>
      <c r="B80" s="14">
        <v>305.59899999999999</v>
      </c>
      <c r="C80" s="14">
        <v>190.73</v>
      </c>
      <c r="D80" s="14">
        <v>257.74200000000002</v>
      </c>
      <c r="E80" s="14">
        <v>416.98599999999999</v>
      </c>
      <c r="F80" s="14">
        <v>3.7424300000000001</v>
      </c>
      <c r="G80" s="14">
        <v>2.9724699999999999</v>
      </c>
      <c r="H80" s="14">
        <v>83.772099999999995</v>
      </c>
      <c r="I80" s="14">
        <v>135.21199999999999</v>
      </c>
      <c r="J80" s="7"/>
      <c r="M80" s="14"/>
      <c r="N80" s="14">
        <v>16</v>
      </c>
      <c r="O80" s="14">
        <v>1.9040000000000001E-2</v>
      </c>
      <c r="P80" s="14">
        <f>O80+O79+O78</f>
        <v>9.37254E-2</v>
      </c>
      <c r="Q80" s="57"/>
      <c r="R80" s="56">
        <f>N176</f>
        <v>48</v>
      </c>
      <c r="S80" s="56">
        <f>P176</f>
        <v>9.9171300000000018E-2</v>
      </c>
      <c r="W80">
        <f t="shared" si="4"/>
        <v>240</v>
      </c>
      <c r="X80" s="14">
        <f t="shared" si="5"/>
        <v>277.7</v>
      </c>
      <c r="Z80">
        <v>48</v>
      </c>
      <c r="AA80" s="58">
        <v>412.13692712723548</v>
      </c>
      <c r="AB80" s="59">
        <v>23.074521515784589</v>
      </c>
      <c r="AC80" s="59">
        <v>435.21144864302005</v>
      </c>
      <c r="AD80" s="60">
        <v>389.06240561145091</v>
      </c>
      <c r="AE80" s="61">
        <v>0.98130868583394049</v>
      </c>
      <c r="AF80" s="62">
        <v>1.6558841306570808E-2</v>
      </c>
      <c r="AG80" s="62">
        <v>0.9978675271405113</v>
      </c>
      <c r="AH80" s="63">
        <v>0.96474984452736967</v>
      </c>
      <c r="AI80">
        <f t="shared" si="6"/>
        <v>3.3735965912248065</v>
      </c>
      <c r="AJ80" s="64">
        <v>80.966318189395352</v>
      </c>
      <c r="AK80">
        <f t="shared" si="2"/>
        <v>3.3735965912248065</v>
      </c>
      <c r="AM80" s="56">
        <v>49</v>
      </c>
      <c r="AN80" s="56">
        <f t="shared" si="3"/>
        <v>0.21464199645004101</v>
      </c>
    </row>
    <row r="81" spans="1:40" x14ac:dyDescent="0.25">
      <c r="A81" s="14">
        <v>240</v>
      </c>
      <c r="B81" s="14">
        <v>362.87</v>
      </c>
      <c r="C81" s="14">
        <v>184.74199999999999</v>
      </c>
      <c r="D81" s="14">
        <v>256.536</v>
      </c>
      <c r="E81" s="14">
        <v>416.98599999999999</v>
      </c>
      <c r="F81" s="14">
        <v>1.9221299999999999</v>
      </c>
      <c r="G81" s="14">
        <v>3.1328</v>
      </c>
      <c r="H81" s="14">
        <v>82.542400000000001</v>
      </c>
      <c r="I81" s="14">
        <v>134.983</v>
      </c>
      <c r="J81" s="7"/>
      <c r="M81" s="14"/>
      <c r="N81" s="14">
        <v>16.333300000000001</v>
      </c>
      <c r="O81" s="14">
        <v>5.6933600000000001E-2</v>
      </c>
      <c r="P81">
        <v>0</v>
      </c>
      <c r="Q81" s="57"/>
      <c r="R81" s="56">
        <f>N179</f>
        <v>49</v>
      </c>
      <c r="S81" s="56">
        <f>P179</f>
        <v>0.1065478</v>
      </c>
      <c r="W81">
        <f t="shared" si="4"/>
        <v>245</v>
      </c>
      <c r="X81" s="14">
        <f t="shared" si="5"/>
        <v>272.3</v>
      </c>
      <c r="Z81">
        <v>49</v>
      </c>
      <c r="AA81" s="58">
        <v>411.92228513078533</v>
      </c>
      <c r="AB81" s="59">
        <v>22.974734253353777</v>
      </c>
      <c r="AC81" s="59">
        <v>434.89701938413913</v>
      </c>
      <c r="AD81" s="60">
        <v>388.94755087743152</v>
      </c>
      <c r="AE81" s="61">
        <v>0.98081465580994598</v>
      </c>
      <c r="AF81" s="62">
        <v>1.6966383016271621E-2</v>
      </c>
      <c r="AG81" s="62">
        <v>0.9977810388262176</v>
      </c>
      <c r="AH81" s="63">
        <v>0.96384827279367435</v>
      </c>
      <c r="AI81">
        <f t="shared" si="6"/>
        <v>4.5164001791511694</v>
      </c>
      <c r="AJ81" s="64">
        <v>108.39360429962807</v>
      </c>
      <c r="AK81">
        <f t="shared" si="2"/>
        <v>4.5164001791511694</v>
      </c>
      <c r="AM81" s="56">
        <v>50</v>
      </c>
      <c r="AN81" s="56">
        <f t="shared" si="3"/>
        <v>0.21464199645015469</v>
      </c>
    </row>
    <row r="82" spans="1:40" x14ac:dyDescent="0.25">
      <c r="A82" s="14">
        <v>245</v>
      </c>
      <c r="B82" s="14">
        <v>373.923</v>
      </c>
      <c r="C82" s="14">
        <v>178.053</v>
      </c>
      <c r="D82" s="14">
        <v>255.05500000000001</v>
      </c>
      <c r="E82" s="14">
        <v>416.98599999999999</v>
      </c>
      <c r="F82" s="14">
        <v>1.56166</v>
      </c>
      <c r="G82" s="14">
        <v>3.2875800000000002</v>
      </c>
      <c r="H82" s="14">
        <v>81.493499999999997</v>
      </c>
      <c r="I82" s="14">
        <v>136.76</v>
      </c>
      <c r="J82" s="7"/>
      <c r="M82" s="14"/>
      <c r="N82" s="14">
        <v>16.666699999999999</v>
      </c>
      <c r="O82" s="14">
        <v>1.8542400000000001E-2</v>
      </c>
      <c r="P82">
        <v>0</v>
      </c>
      <c r="Q82" s="57"/>
      <c r="R82" s="56">
        <f>N182</f>
        <v>50</v>
      </c>
      <c r="S82" s="56">
        <f>P182</f>
        <v>9.9243200000000004E-2</v>
      </c>
      <c r="W82">
        <f t="shared" si="4"/>
        <v>250</v>
      </c>
      <c r="X82" s="14">
        <f t="shared" si="5"/>
        <v>266.89999999999998</v>
      </c>
      <c r="Z82">
        <v>50</v>
      </c>
      <c r="AA82" s="58">
        <v>411.70764313433529</v>
      </c>
      <c r="AB82" s="59">
        <v>22.876070866301092</v>
      </c>
      <c r="AC82" s="59">
        <v>434.58371400063641</v>
      </c>
      <c r="AD82" s="60">
        <v>388.83157226803417</v>
      </c>
      <c r="AE82" s="61">
        <v>0.98032062578595169</v>
      </c>
      <c r="AF82" s="62">
        <v>1.7374115845529892E-2</v>
      </c>
      <c r="AG82" s="62">
        <v>0.99769474163148164</v>
      </c>
      <c r="AH82" s="63">
        <v>0.96294650994042175</v>
      </c>
      <c r="AI82">
        <f t="shared" si="6"/>
        <v>4.5652756736896931</v>
      </c>
      <c r="AJ82" s="64">
        <v>109.56661616855263</v>
      </c>
      <c r="AK82">
        <f t="shared" si="2"/>
        <v>4.5652756736896931</v>
      </c>
      <c r="AM82" s="56">
        <v>51</v>
      </c>
      <c r="AN82" s="56">
        <f t="shared" si="3"/>
        <v>0.21464199644998416</v>
      </c>
    </row>
    <row r="83" spans="1:40" x14ac:dyDescent="0.25">
      <c r="A83" s="14">
        <v>250</v>
      </c>
      <c r="B83" s="14">
        <v>313.91399999999999</v>
      </c>
      <c r="C83" s="14">
        <v>172.78200000000001</v>
      </c>
      <c r="D83" s="14">
        <v>249.58500000000001</v>
      </c>
      <c r="E83" s="14">
        <v>416.98599999999999</v>
      </c>
      <c r="F83" s="14">
        <v>3.2820499999999999</v>
      </c>
      <c r="G83" s="14">
        <v>3.4338500000000001</v>
      </c>
      <c r="H83" s="14">
        <v>80.275300000000001</v>
      </c>
      <c r="I83" s="14">
        <v>137.34700000000001</v>
      </c>
      <c r="J83" s="7"/>
      <c r="M83" s="14"/>
      <c r="N83" s="14">
        <v>17</v>
      </c>
      <c r="O83" s="14">
        <v>5.6481200000000002E-2</v>
      </c>
      <c r="P83" s="14">
        <f>O83+O82+O81</f>
        <v>0.1319572</v>
      </c>
      <c r="Q83" s="57"/>
      <c r="R83" s="56">
        <f>N185</f>
        <v>51</v>
      </c>
      <c r="S83" s="56">
        <f>P185</f>
        <v>0</v>
      </c>
      <c r="W83">
        <f t="shared" si="4"/>
        <v>255</v>
      </c>
      <c r="X83" s="14">
        <f t="shared" si="5"/>
        <v>261.5</v>
      </c>
      <c r="Z83">
        <v>51</v>
      </c>
      <c r="AA83" s="58">
        <v>411.49300113788513</v>
      </c>
      <c r="AB83" s="59">
        <v>22.778545958550833</v>
      </c>
      <c r="AC83" s="59">
        <v>434.27154709643594</v>
      </c>
      <c r="AD83" s="60">
        <v>388.71445517933432</v>
      </c>
      <c r="AE83" s="61">
        <v>0.97982659576195719</v>
      </c>
      <c r="AF83" s="62">
        <v>1.7782026647527462E-2</v>
      </c>
      <c r="AG83" s="62">
        <v>0.99760862240948467</v>
      </c>
      <c r="AH83" s="63">
        <v>0.9620445691144297</v>
      </c>
      <c r="AI83">
        <f t="shared" si="6"/>
        <v>2.6111203909291096</v>
      </c>
      <c r="AJ83" s="64">
        <v>62.666889382298628</v>
      </c>
      <c r="AK83">
        <f t="shared" si="2"/>
        <v>2.6111203909291096</v>
      </c>
      <c r="AM83" s="56">
        <v>52</v>
      </c>
      <c r="AN83" s="56">
        <f t="shared" si="3"/>
        <v>0.21464199645015469</v>
      </c>
    </row>
    <row r="84" spans="1:40" x14ac:dyDescent="0.25">
      <c r="A84" s="14">
        <v>255</v>
      </c>
      <c r="B84" s="14">
        <v>306.755</v>
      </c>
      <c r="C84" s="14">
        <v>167.50200000000001</v>
      </c>
      <c r="D84" s="14">
        <v>242.91200000000001</v>
      </c>
      <c r="E84" s="14">
        <v>416.98500000000001</v>
      </c>
      <c r="F84" s="14">
        <v>3.5716800000000002</v>
      </c>
      <c r="G84" s="14">
        <v>3.5675500000000002</v>
      </c>
      <c r="H84" s="14">
        <v>79.221299999999999</v>
      </c>
      <c r="I84" s="14">
        <v>135.72999999999999</v>
      </c>
      <c r="J84" s="7"/>
      <c r="M84" s="14"/>
      <c r="N84" s="14">
        <v>17.333300000000001</v>
      </c>
      <c r="O84" s="14">
        <v>1.9125300000000001E-2</v>
      </c>
      <c r="P84">
        <v>0</v>
      </c>
      <c r="Q84" s="57"/>
      <c r="R84" s="56">
        <f>N188</f>
        <v>52</v>
      </c>
      <c r="S84" s="56">
        <f>P188</f>
        <v>0.35526220620000004</v>
      </c>
      <c r="W84">
        <f t="shared" si="4"/>
        <v>260</v>
      </c>
      <c r="X84" s="14">
        <f t="shared" si="5"/>
        <v>256.10000000000002</v>
      </c>
      <c r="Z84">
        <v>52</v>
      </c>
      <c r="AA84" s="58">
        <v>411.27835914143515</v>
      </c>
      <c r="AB84" s="59">
        <v>22.682174215219703</v>
      </c>
      <c r="AC84" s="59">
        <v>433.96053335665488</v>
      </c>
      <c r="AD84" s="60">
        <v>388.59618492621541</v>
      </c>
      <c r="AE84" s="61">
        <v>0.97933256573796312</v>
      </c>
      <c r="AF84" s="62">
        <v>1.819010344921896E-2</v>
      </c>
      <c r="AG84" s="62">
        <v>0.99752266918718213</v>
      </c>
      <c r="AH84" s="63">
        <v>0.96114246228874411</v>
      </c>
      <c r="AI84">
        <f t="shared" si="6"/>
        <v>1.5238362641074319</v>
      </c>
      <c r="AJ84" s="64">
        <v>36.572070338578364</v>
      </c>
      <c r="AK84">
        <f t="shared" si="2"/>
        <v>1.5238362641074319</v>
      </c>
      <c r="AM84" s="56">
        <v>53</v>
      </c>
      <c r="AN84" s="56">
        <f t="shared" si="3"/>
        <v>0.21446231989290254</v>
      </c>
    </row>
    <row r="85" spans="1:40" x14ac:dyDescent="0.25">
      <c r="A85" s="14">
        <v>260</v>
      </c>
      <c r="B85" s="14">
        <v>283.70999999999998</v>
      </c>
      <c r="C85" s="14">
        <v>162.96700000000001</v>
      </c>
      <c r="D85" s="14">
        <v>237.49600000000001</v>
      </c>
      <c r="E85" s="14">
        <v>416.98500000000001</v>
      </c>
      <c r="F85" s="14">
        <v>4.5523499999999997</v>
      </c>
      <c r="G85" s="14">
        <v>3.69163</v>
      </c>
      <c r="H85" s="14">
        <v>78.388900000000007</v>
      </c>
      <c r="I85" s="14">
        <v>135.845</v>
      </c>
      <c r="J85" s="7"/>
      <c r="M85" s="14"/>
      <c r="N85" s="14">
        <v>17.666699999999999</v>
      </c>
      <c r="O85" s="14">
        <v>5.49773E-2</v>
      </c>
      <c r="P85">
        <v>0</v>
      </c>
      <c r="Q85" s="57"/>
      <c r="R85" s="56">
        <f>N191</f>
        <v>53</v>
      </c>
      <c r="S85" s="56">
        <f>P191</f>
        <v>0.48720409989000002</v>
      </c>
      <c r="W85">
        <f t="shared" si="4"/>
        <v>265</v>
      </c>
      <c r="X85" s="14">
        <f t="shared" si="5"/>
        <v>250.9</v>
      </c>
      <c r="Z85">
        <v>53</v>
      </c>
      <c r="AA85" s="58">
        <v>411.06371714498499</v>
      </c>
      <c r="AB85" s="59">
        <v>22.586970396919593</v>
      </c>
      <c r="AC85" s="59">
        <v>433.65068754190457</v>
      </c>
      <c r="AD85" s="60">
        <v>388.47674674806541</v>
      </c>
      <c r="AE85" s="61">
        <v>0.97883853571396873</v>
      </c>
      <c r="AF85" s="62">
        <v>1.8598335323722529E-2</v>
      </c>
      <c r="AG85" s="62">
        <v>0.9974368710376913</v>
      </c>
      <c r="AH85" s="63">
        <v>0.96024020039024616</v>
      </c>
      <c r="AI85">
        <f t="shared" si="6"/>
        <v>2.0264388368865465</v>
      </c>
      <c r="AJ85" s="64">
        <v>48.634532085277115</v>
      </c>
      <c r="AK85">
        <f t="shared" si="2"/>
        <v>2.0264388368865465</v>
      </c>
      <c r="AM85" s="56">
        <v>54</v>
      </c>
      <c r="AN85" s="56">
        <f t="shared" si="3"/>
        <v>0.21414479554260879</v>
      </c>
    </row>
    <row r="86" spans="1:40" x14ac:dyDescent="0.25">
      <c r="A86" s="14">
        <v>265</v>
      </c>
      <c r="B86" s="14">
        <v>260.53500000000003</v>
      </c>
      <c r="C86" s="14">
        <v>158.40600000000001</v>
      </c>
      <c r="D86" s="14">
        <v>231.202</v>
      </c>
      <c r="E86" s="14">
        <v>416.84399999999999</v>
      </c>
      <c r="F86" s="14">
        <v>5.8726500000000001</v>
      </c>
      <c r="G86" s="14">
        <v>3.8132899999999998</v>
      </c>
      <c r="H86" s="14">
        <v>77.494500000000002</v>
      </c>
      <c r="I86" s="14">
        <v>137.05099999999999</v>
      </c>
      <c r="J86" s="7"/>
      <c r="M86" s="14"/>
      <c r="N86" s="14">
        <v>18</v>
      </c>
      <c r="O86" s="14">
        <v>1.9665200000000001E-2</v>
      </c>
      <c r="P86" s="14">
        <f>O86+O85+O84</f>
        <v>9.3767799999999998E-2</v>
      </c>
      <c r="Q86" s="57"/>
      <c r="R86" s="56">
        <f>N194</f>
        <v>54</v>
      </c>
      <c r="S86" s="56">
        <f>P194</f>
        <v>0.32988175999999997</v>
      </c>
      <c r="W86">
        <f t="shared" si="4"/>
        <v>270</v>
      </c>
      <c r="X86" s="14">
        <f t="shared" si="5"/>
        <v>246</v>
      </c>
      <c r="Z86">
        <v>54</v>
      </c>
      <c r="AA86" s="58">
        <v>410.84925482509209</v>
      </c>
      <c r="AB86" s="59">
        <v>22.492649853747064</v>
      </c>
      <c r="AC86" s="59">
        <v>433.34190467883917</v>
      </c>
      <c r="AD86" s="60">
        <v>388.35660497134501</v>
      </c>
      <c r="AE86" s="61">
        <v>0.97834497618191851</v>
      </c>
      <c r="AF86" s="62">
        <v>1.900704001809448E-2</v>
      </c>
      <c r="AG86" s="62">
        <v>0.99735201620001301</v>
      </c>
      <c r="AH86" s="63">
        <v>0.95933793616382401</v>
      </c>
      <c r="AI86">
        <f t="shared" si="6"/>
        <v>2.5581593012502877</v>
      </c>
      <c r="AJ86" s="64">
        <v>61.395823230006904</v>
      </c>
      <c r="AK86">
        <f t="shared" si="2"/>
        <v>2.5581593012502877</v>
      </c>
      <c r="AM86" s="56">
        <v>55</v>
      </c>
      <c r="AN86" s="56">
        <f t="shared" si="3"/>
        <v>0.21455525050231472</v>
      </c>
    </row>
    <row r="87" spans="1:40" x14ac:dyDescent="0.25">
      <c r="A87" s="14">
        <v>270</v>
      </c>
      <c r="B87" s="14">
        <v>271.51499999999999</v>
      </c>
      <c r="C87" s="14">
        <v>154.125</v>
      </c>
      <c r="D87" s="14">
        <v>224.869</v>
      </c>
      <c r="E87" s="14">
        <v>416.56200000000001</v>
      </c>
      <c r="F87" s="14">
        <v>5.1243800000000004</v>
      </c>
      <c r="G87" s="14">
        <v>3.92665</v>
      </c>
      <c r="H87" s="14">
        <v>76.637799999999999</v>
      </c>
      <c r="I87" s="14">
        <v>134.03100000000001</v>
      </c>
      <c r="J87" s="7"/>
      <c r="M87" s="14"/>
      <c r="N87" s="14">
        <v>18.333300000000001</v>
      </c>
      <c r="O87" s="14">
        <v>5.5233200000000003E-2</v>
      </c>
      <c r="P87">
        <v>0</v>
      </c>
      <c r="Q87" s="57"/>
      <c r="R87" s="56">
        <f>N197</f>
        <v>55</v>
      </c>
      <c r="S87" s="56">
        <f>P197</f>
        <v>0.323990102</v>
      </c>
      <c r="W87">
        <f t="shared" si="4"/>
        <v>275</v>
      </c>
      <c r="X87" s="14">
        <f t="shared" si="5"/>
        <v>241.4</v>
      </c>
      <c r="Z87">
        <v>55</v>
      </c>
      <c r="AA87" s="58">
        <v>410.63511002954948</v>
      </c>
      <c r="AB87" s="59">
        <v>22.398997988349873</v>
      </c>
      <c r="AC87" s="59">
        <v>433.03410801789937</v>
      </c>
      <c r="AD87" s="60">
        <v>388.23611204119959</v>
      </c>
      <c r="AE87" s="61">
        <v>0.9778522481030707</v>
      </c>
      <c r="AF87" s="62">
        <v>1.9416466002798637E-2</v>
      </c>
      <c r="AG87" s="62">
        <v>0.99726871410586937</v>
      </c>
      <c r="AH87" s="63">
        <v>0.95843578210027203</v>
      </c>
      <c r="AI87">
        <f t="shared" si="6"/>
        <v>3.0898797656140289</v>
      </c>
      <c r="AJ87" s="64">
        <v>74.157114374736693</v>
      </c>
      <c r="AK87">
        <f t="shared" si="2"/>
        <v>3.0898797656140289</v>
      </c>
      <c r="AM87" s="56">
        <v>56</v>
      </c>
      <c r="AN87" s="56">
        <f t="shared" si="3"/>
        <v>0.21529592499689443</v>
      </c>
    </row>
    <row r="88" spans="1:40" x14ac:dyDescent="0.25">
      <c r="A88" s="14">
        <v>275</v>
      </c>
      <c r="B88" s="14">
        <v>260.78100000000001</v>
      </c>
      <c r="C88" s="14">
        <v>149.15</v>
      </c>
      <c r="D88" s="14">
        <v>218.94499999999999</v>
      </c>
      <c r="E88" s="14">
        <v>416.26900000000001</v>
      </c>
      <c r="F88" s="14">
        <v>5.7151699999999996</v>
      </c>
      <c r="G88" s="14">
        <v>4.0378600000000002</v>
      </c>
      <c r="H88" s="14">
        <v>75.757300000000001</v>
      </c>
      <c r="I88" s="14">
        <v>133.392</v>
      </c>
      <c r="J88" s="7"/>
      <c r="M88" s="14"/>
      <c r="N88" s="14">
        <v>18.666699999999999</v>
      </c>
      <c r="O88" s="14">
        <v>1.9408600000000002E-2</v>
      </c>
      <c r="P88">
        <v>0</v>
      </c>
      <c r="Q88" s="57"/>
      <c r="R88" s="56">
        <f>N200</f>
        <v>56</v>
      </c>
      <c r="S88" s="56">
        <f>P200</f>
        <v>0.34266032299999999</v>
      </c>
      <c r="W88">
        <f t="shared" si="4"/>
        <v>280</v>
      </c>
      <c r="X88" s="14">
        <f t="shared" si="5"/>
        <v>237.1</v>
      </c>
      <c r="Z88">
        <v>56</v>
      </c>
      <c r="AA88" s="58">
        <v>410.42055477904717</v>
      </c>
      <c r="AB88" s="59">
        <v>22.306422891836359</v>
      </c>
      <c r="AC88" s="59">
        <v>432.72697767088351</v>
      </c>
      <c r="AD88" s="60">
        <v>388.11413188721082</v>
      </c>
      <c r="AE88" s="61">
        <v>0.97735854888084039</v>
      </c>
      <c r="AF88" s="62">
        <v>1.9825514177107227E-2</v>
      </c>
      <c r="AG88" s="62">
        <v>0.9971840630579476</v>
      </c>
      <c r="AH88" s="63">
        <v>0.95753303470373319</v>
      </c>
      <c r="AI88">
        <f t="shared" si="6"/>
        <v>3.6216002299777692</v>
      </c>
      <c r="AJ88" s="64">
        <v>86.918405519466461</v>
      </c>
      <c r="AK88">
        <f t="shared" si="2"/>
        <v>3.6216002299777692</v>
      </c>
      <c r="AM88" s="56">
        <v>57</v>
      </c>
      <c r="AN88" s="56">
        <f t="shared" si="3"/>
        <v>0.2153103250502113</v>
      </c>
    </row>
    <row r="89" spans="1:40" x14ac:dyDescent="0.25">
      <c r="A89" s="14">
        <v>280</v>
      </c>
      <c r="B89" s="14">
        <v>260.464</v>
      </c>
      <c r="C89" s="14">
        <v>144.983</v>
      </c>
      <c r="D89" s="14">
        <v>210.87200000000001</v>
      </c>
      <c r="E89" s="14">
        <v>415.93799999999999</v>
      </c>
      <c r="F89" s="14">
        <v>5.7151500000000004</v>
      </c>
      <c r="G89" s="14">
        <v>4.1443599999999998</v>
      </c>
      <c r="H89" s="14">
        <v>74.959800000000001</v>
      </c>
      <c r="I89" s="14">
        <v>131.43799999999999</v>
      </c>
      <c r="J89" s="7"/>
      <c r="M89" s="14"/>
      <c r="N89" s="14">
        <v>19</v>
      </c>
      <c r="O89" s="14">
        <v>5.4894199999999997E-2</v>
      </c>
      <c r="P89" s="14">
        <f>O89+O88+O87</f>
        <v>0.12953600000000001</v>
      </c>
      <c r="Q89" s="57"/>
      <c r="R89" s="56">
        <f>N203</f>
        <v>57</v>
      </c>
      <c r="S89" s="56">
        <f>P203</f>
        <v>0.34276863300000004</v>
      </c>
      <c r="W89">
        <f t="shared" si="4"/>
        <v>285</v>
      </c>
      <c r="X89" s="14">
        <f t="shared" si="5"/>
        <v>232.9</v>
      </c>
      <c r="Z89">
        <v>57</v>
      </c>
      <c r="AA89" s="58">
        <v>410.20525885405027</v>
      </c>
      <c r="AB89" s="59">
        <v>22.214841118534864</v>
      </c>
      <c r="AC89" s="59">
        <v>432.42009997258515</v>
      </c>
      <c r="AD89" s="60">
        <v>387.99041773551539</v>
      </c>
      <c r="AE89" s="61">
        <v>0.97686309449638697</v>
      </c>
      <c r="AF89" s="62">
        <v>2.023374783773696E-2</v>
      </c>
      <c r="AG89" s="62">
        <v>0.99709684233412399</v>
      </c>
      <c r="AH89" s="63">
        <v>0.95662934665864996</v>
      </c>
      <c r="AI89">
        <f t="shared" si="6"/>
        <v>3.2309209891177333</v>
      </c>
      <c r="AJ89" s="64">
        <v>77.542103738825602</v>
      </c>
      <c r="AK89">
        <f t="shared" si="2"/>
        <v>3.2309209891177333</v>
      </c>
      <c r="AM89" s="56">
        <v>58</v>
      </c>
      <c r="AN89" s="56">
        <f t="shared" si="3"/>
        <v>0.2153103250502113</v>
      </c>
    </row>
    <row r="90" spans="1:40" x14ac:dyDescent="0.25">
      <c r="A90" s="14">
        <v>285</v>
      </c>
      <c r="B90" s="14">
        <v>250.77099999999999</v>
      </c>
      <c r="C90" s="14">
        <v>141.10499999999999</v>
      </c>
      <c r="D90" s="14">
        <v>203.983</v>
      </c>
      <c r="E90" s="14">
        <v>415.68299999999999</v>
      </c>
      <c r="F90" s="14">
        <v>6.3266799999999996</v>
      </c>
      <c r="G90" s="14">
        <v>4.2476799999999999</v>
      </c>
      <c r="H90" s="14">
        <v>73.967200000000005</v>
      </c>
      <c r="I90" s="14">
        <v>130.51900000000001</v>
      </c>
      <c r="J90" s="7"/>
      <c r="M90" s="14"/>
      <c r="N90" s="14">
        <v>19.333300000000001</v>
      </c>
      <c r="O90" s="14">
        <v>1.99077E-2</v>
      </c>
      <c r="P90">
        <v>0</v>
      </c>
      <c r="Q90" s="57"/>
      <c r="R90" s="56">
        <f>N206</f>
        <v>58</v>
      </c>
      <c r="S90" s="56">
        <f>P206</f>
        <v>0.32157734899999996</v>
      </c>
      <c r="W90">
        <f t="shared" si="4"/>
        <v>290</v>
      </c>
      <c r="X90" s="14">
        <f t="shared" si="5"/>
        <v>228.5</v>
      </c>
      <c r="Z90">
        <v>58</v>
      </c>
      <c r="AA90" s="58">
        <v>409.98994852900006</v>
      </c>
      <c r="AB90" s="59">
        <v>22.124482876647303</v>
      </c>
      <c r="AC90" s="59">
        <v>432.11443140564734</v>
      </c>
      <c r="AD90" s="60">
        <v>387.86546565235278</v>
      </c>
      <c r="AE90" s="61">
        <v>0.97636760598840178</v>
      </c>
      <c r="AF90" s="62">
        <v>2.0642071426342456E-2</v>
      </c>
      <c r="AG90" s="62">
        <v>0.99700967741474422</v>
      </c>
      <c r="AH90" s="63">
        <v>0.95572553456205933</v>
      </c>
      <c r="AI90">
        <f t="shared" si="6"/>
        <v>2.2729593349165973</v>
      </c>
      <c r="AJ90" s="64">
        <v>54.551024037998332</v>
      </c>
      <c r="AK90">
        <f t="shared" si="2"/>
        <v>2.2729593349165973</v>
      </c>
      <c r="AM90" s="56">
        <v>59</v>
      </c>
      <c r="AN90" s="56">
        <f t="shared" si="3"/>
        <v>0.2153103250502113</v>
      </c>
    </row>
    <row r="91" spans="1:40" x14ac:dyDescent="0.25">
      <c r="A91" s="14">
        <v>290</v>
      </c>
      <c r="B91" s="14">
        <v>250.512</v>
      </c>
      <c r="C91" s="14">
        <v>137.56200000000001</v>
      </c>
      <c r="D91" s="14">
        <v>194.571</v>
      </c>
      <c r="E91" s="14">
        <v>415.44</v>
      </c>
      <c r="F91" s="14">
        <v>6.3266600000000004</v>
      </c>
      <c r="G91" s="14">
        <v>4.3473600000000001</v>
      </c>
      <c r="H91" s="14">
        <v>73.240499999999997</v>
      </c>
      <c r="I91" s="14">
        <v>128.30099999999999</v>
      </c>
      <c r="J91" s="7"/>
      <c r="M91" s="14"/>
      <c r="N91" s="14">
        <v>19.666699999999999</v>
      </c>
      <c r="O91" s="14">
        <v>5.34344E-2</v>
      </c>
      <c r="P91">
        <v>0</v>
      </c>
      <c r="Q91" s="57"/>
      <c r="R91" s="56">
        <f>N209</f>
        <v>59</v>
      </c>
      <c r="S91" s="56">
        <f>P209</f>
        <v>0.34147776899999999</v>
      </c>
      <c r="W91">
        <f t="shared" si="4"/>
        <v>295</v>
      </c>
      <c r="X91" s="14">
        <f t="shared" si="5"/>
        <v>224.8</v>
      </c>
      <c r="Z91">
        <v>59</v>
      </c>
      <c r="AA91" s="58">
        <v>409.77463820394985</v>
      </c>
      <c r="AB91" s="59">
        <v>22.035367636188617</v>
      </c>
      <c r="AC91" s="59">
        <v>431.81000584013844</v>
      </c>
      <c r="AD91" s="60">
        <v>387.73927056776125</v>
      </c>
      <c r="AE91" s="61">
        <v>0.97587211748041647</v>
      </c>
      <c r="AF91" s="62">
        <v>2.1050496802315702E-2</v>
      </c>
      <c r="AG91" s="62">
        <v>0.99692261428273221</v>
      </c>
      <c r="AH91" s="63">
        <v>0.95482162067810072</v>
      </c>
      <c r="AI91">
        <f t="shared" si="6"/>
        <v>2.4004130224122253</v>
      </c>
      <c r="AJ91" s="64">
        <v>57.609912537893408</v>
      </c>
      <c r="AK91">
        <f t="shared" si="2"/>
        <v>2.4004130224122253</v>
      </c>
      <c r="AM91" s="56">
        <v>60</v>
      </c>
      <c r="AN91" s="56">
        <f t="shared" si="3"/>
        <v>0.2153103250502113</v>
      </c>
    </row>
    <row r="92" spans="1:40" x14ac:dyDescent="0.25">
      <c r="A92" s="14">
        <v>295</v>
      </c>
      <c r="B92" s="14">
        <v>241.786</v>
      </c>
      <c r="C92" s="14">
        <v>134.00700000000001</v>
      </c>
      <c r="D92" s="14">
        <v>185.999</v>
      </c>
      <c r="E92" s="14">
        <v>415.19400000000002</v>
      </c>
      <c r="F92" s="14">
        <v>6.9612699999999998</v>
      </c>
      <c r="G92" s="14">
        <v>4.4441100000000002</v>
      </c>
      <c r="H92" s="14">
        <v>72.475899999999996</v>
      </c>
      <c r="I92" s="14">
        <v>127.04900000000001</v>
      </c>
      <c r="J92" s="7"/>
      <c r="M92" s="14"/>
      <c r="N92" s="14">
        <v>20</v>
      </c>
      <c r="O92" s="14">
        <v>2.04277E-2</v>
      </c>
      <c r="P92" s="14">
        <f>O92+O91+O90</f>
        <v>9.37698E-2</v>
      </c>
      <c r="Q92" s="57"/>
      <c r="R92" s="56">
        <f>N212</f>
        <v>60</v>
      </c>
      <c r="S92" s="56">
        <f>P212</f>
        <v>0.34112804200000002</v>
      </c>
      <c r="W92">
        <f t="shared" si="4"/>
        <v>300</v>
      </c>
      <c r="X92" s="14">
        <f t="shared" si="5"/>
        <v>221.2</v>
      </c>
      <c r="Z92">
        <v>60</v>
      </c>
      <c r="AA92" s="58">
        <v>409.55932787889964</v>
      </c>
      <c r="AB92" s="59">
        <v>21.947510538339639</v>
      </c>
      <c r="AC92" s="59">
        <v>431.50683841723929</v>
      </c>
      <c r="AD92" s="60">
        <v>387.61181734055998</v>
      </c>
      <c r="AE92" s="61">
        <v>0.97537662897243105</v>
      </c>
      <c r="AF92" s="62">
        <v>2.1459018153759155E-2</v>
      </c>
      <c r="AG92" s="62">
        <v>0.99683564712619022</v>
      </c>
      <c r="AH92" s="63">
        <v>0.95391761081867188</v>
      </c>
      <c r="AI92">
        <f t="shared" si="6"/>
        <v>2.5085260401688383</v>
      </c>
      <c r="AJ92" s="64">
        <v>60.204624964052115</v>
      </c>
      <c r="AK92">
        <f t="shared" si="2"/>
        <v>2.5085260401688383</v>
      </c>
      <c r="AM92" s="56">
        <v>61</v>
      </c>
      <c r="AN92" s="56">
        <f t="shared" si="3"/>
        <v>0.21531032505026815</v>
      </c>
    </row>
    <row r="93" spans="1:40" x14ac:dyDescent="0.25">
      <c r="A93" s="14">
        <v>300</v>
      </c>
      <c r="B93" s="14">
        <v>248.56200000000001</v>
      </c>
      <c r="C93" s="14">
        <v>130.64099999999999</v>
      </c>
      <c r="D93" s="14">
        <v>173.65700000000001</v>
      </c>
      <c r="E93" s="14">
        <v>414.91399999999999</v>
      </c>
      <c r="F93" s="14">
        <v>6.3266600000000004</v>
      </c>
      <c r="G93" s="14">
        <v>4.5375199999999998</v>
      </c>
      <c r="H93" s="14">
        <v>71.786100000000005</v>
      </c>
      <c r="I93" s="14">
        <v>124.224</v>
      </c>
      <c r="J93" s="7"/>
      <c r="M93" s="14"/>
      <c r="N93" s="14">
        <v>20.333300000000001</v>
      </c>
      <c r="O93" s="14">
        <v>4.5029300000000001E-2</v>
      </c>
      <c r="P93">
        <v>0</v>
      </c>
      <c r="Q93" s="57"/>
      <c r="R93" s="56">
        <f>N215</f>
        <v>61</v>
      </c>
      <c r="S93" s="56">
        <f>P215</f>
        <v>0.34069348700000002</v>
      </c>
      <c r="W93">
        <f t="shared" si="4"/>
        <v>305</v>
      </c>
      <c r="X93" s="14">
        <f t="shared" si="5"/>
        <v>217.8</v>
      </c>
      <c r="Z93">
        <v>61</v>
      </c>
      <c r="AA93" s="58">
        <v>409.34401755384943</v>
      </c>
      <c r="AB93" s="59">
        <v>21.860926752191574</v>
      </c>
      <c r="AC93" s="59">
        <v>431.204944306041</v>
      </c>
      <c r="AD93" s="60">
        <v>387.48309080165785</v>
      </c>
      <c r="AE93" s="61">
        <v>0.97488114046444607</v>
      </c>
      <c r="AF93" s="62">
        <v>2.1867630101760165E-2</v>
      </c>
      <c r="AG93" s="62">
        <v>0.99674877056620625</v>
      </c>
      <c r="AH93" s="63">
        <v>0.95301351036268589</v>
      </c>
      <c r="AI93">
        <f t="shared" si="6"/>
        <v>7.3281552149410452</v>
      </c>
      <c r="AJ93" s="64">
        <v>175.87572515858508</v>
      </c>
      <c r="AK93">
        <f t="shared" si="2"/>
        <v>7.3281552149410452</v>
      </c>
      <c r="AM93" s="56">
        <v>62</v>
      </c>
      <c r="AN93" s="56">
        <f t="shared" si="3"/>
        <v>0.2153103250502113</v>
      </c>
    </row>
    <row r="94" spans="1:40" x14ac:dyDescent="0.25">
      <c r="A94" s="14">
        <v>305</v>
      </c>
      <c r="B94" s="14">
        <v>210.298</v>
      </c>
      <c r="C94" s="14">
        <v>127.496</v>
      </c>
      <c r="D94" s="14">
        <v>165.81200000000001</v>
      </c>
      <c r="E94" s="14">
        <v>414.553</v>
      </c>
      <c r="F94" s="14">
        <v>11.224</v>
      </c>
      <c r="G94" s="14">
        <v>4.6482900000000003</v>
      </c>
      <c r="H94" s="14">
        <v>71.074399999999997</v>
      </c>
      <c r="I94" s="14">
        <v>90.400899999999993</v>
      </c>
      <c r="J94" s="7"/>
      <c r="M94" s="14"/>
      <c r="N94" s="14">
        <v>20.666699999999999</v>
      </c>
      <c r="O94" s="14">
        <v>2.5210199999999999E-2</v>
      </c>
      <c r="P94">
        <v>0</v>
      </c>
      <c r="Q94" s="57"/>
      <c r="R94" s="56">
        <f>N218</f>
        <v>62</v>
      </c>
      <c r="S94" s="56">
        <f>P218</f>
        <v>0.34053532200000003</v>
      </c>
      <c r="W94">
        <f t="shared" si="4"/>
        <v>310</v>
      </c>
      <c r="X94" s="14">
        <f t="shared" si="5"/>
        <v>214.4</v>
      </c>
      <c r="Z94">
        <v>62</v>
      </c>
      <c r="AA94" s="58">
        <v>409.12870722879916</v>
      </c>
      <c r="AB94" s="59">
        <v>21.775631466491561</v>
      </c>
      <c r="AC94" s="59">
        <v>430.90433869529073</v>
      </c>
      <c r="AD94" s="60">
        <v>387.35307576230758</v>
      </c>
      <c r="AE94" s="61">
        <v>0.97438565195646087</v>
      </c>
      <c r="AF94" s="62">
        <v>2.2276327660914613E-2</v>
      </c>
      <c r="AG94" s="62">
        <v>0.99666197961737546</v>
      </c>
      <c r="AH94" s="63">
        <v>0.95210932429554629</v>
      </c>
      <c r="AI94">
        <f t="shared" si="6"/>
        <v>18.28206962831446</v>
      </c>
      <c r="AJ94" s="64">
        <v>438.76967107954704</v>
      </c>
      <c r="AK94">
        <f t="shared" si="2"/>
        <v>18.28206962831446</v>
      </c>
      <c r="AM94" s="56">
        <v>63</v>
      </c>
      <c r="AN94" s="56">
        <f t="shared" si="3"/>
        <v>0.2162351502186084</v>
      </c>
    </row>
    <row r="95" spans="1:40" x14ac:dyDescent="0.25">
      <c r="A95" s="14">
        <v>310</v>
      </c>
      <c r="B95" s="14">
        <v>260.86799999999999</v>
      </c>
      <c r="C95" s="14">
        <v>123.94</v>
      </c>
      <c r="D95" s="14">
        <v>162.31200000000001</v>
      </c>
      <c r="E95" s="14">
        <v>414.27800000000002</v>
      </c>
      <c r="F95" s="14">
        <v>5.2081499999999998</v>
      </c>
      <c r="G95" s="14">
        <v>4.8475099999999998</v>
      </c>
      <c r="H95" s="14">
        <v>70.254199999999997</v>
      </c>
      <c r="I95" s="14">
        <v>89.263800000000003</v>
      </c>
      <c r="J95" s="7"/>
      <c r="M95" s="14"/>
      <c r="N95" s="14">
        <v>21</v>
      </c>
      <c r="O95" s="14">
        <v>4.5019700000000003E-2</v>
      </c>
      <c r="P95" s="14">
        <f>O95+O94+O93</f>
        <v>0.11525920000000001</v>
      </c>
      <c r="Q95" s="57"/>
      <c r="R95" s="56">
        <f>N221</f>
        <v>63</v>
      </c>
      <c r="S95" s="56">
        <f>P221</f>
        <v>0.31954202100000001</v>
      </c>
      <c r="W95">
        <f t="shared" si="4"/>
        <v>315</v>
      </c>
      <c r="X95" s="14">
        <f t="shared" si="5"/>
        <v>210.9</v>
      </c>
      <c r="Z95">
        <v>63</v>
      </c>
      <c r="AA95" s="58">
        <v>408.91339690374895</v>
      </c>
      <c r="AB95" s="59">
        <v>21.691639881065715</v>
      </c>
      <c r="AC95" s="59">
        <v>430.60503678481467</v>
      </c>
      <c r="AD95" s="60">
        <v>387.22175702268322</v>
      </c>
      <c r="AE95" s="61">
        <v>0.97389016344847568</v>
      </c>
      <c r="AF95" s="62">
        <v>2.2685106204081047E-2</v>
      </c>
      <c r="AG95" s="62">
        <v>0.99657526965255672</v>
      </c>
      <c r="AH95" s="63">
        <v>0.95120505724439464</v>
      </c>
      <c r="AI95">
        <f t="shared" si="6"/>
        <v>33.35167399575051</v>
      </c>
      <c r="AJ95" s="64">
        <v>800.44017589801217</v>
      </c>
      <c r="AK95">
        <f t="shared" si="2"/>
        <v>33.35167399575051</v>
      </c>
      <c r="AM95" s="56">
        <v>64</v>
      </c>
      <c r="AN95" s="56">
        <f t="shared" si="3"/>
        <v>0.2179234960411236</v>
      </c>
    </row>
    <row r="96" spans="1:40" x14ac:dyDescent="0.25">
      <c r="A96" s="14">
        <v>315</v>
      </c>
      <c r="B96" s="14">
        <v>259.52499999999998</v>
      </c>
      <c r="C96" s="14">
        <v>120.49</v>
      </c>
      <c r="D96" s="14">
        <v>158.935</v>
      </c>
      <c r="E96" s="14">
        <v>413.94400000000002</v>
      </c>
      <c r="F96" s="14">
        <v>5.1846699999999997</v>
      </c>
      <c r="G96" s="14">
        <v>5.0628500000000001</v>
      </c>
      <c r="H96" s="14">
        <v>69.638599999999997</v>
      </c>
      <c r="I96" s="14">
        <v>88.155199999999994</v>
      </c>
      <c r="J96" s="7"/>
      <c r="M96" s="14"/>
      <c r="N96" s="14">
        <v>21.333300000000001</v>
      </c>
      <c r="O96" s="14">
        <v>2.5667300000000001E-2</v>
      </c>
      <c r="P96">
        <v>0</v>
      </c>
      <c r="Q96" s="57"/>
      <c r="R96" s="56">
        <f>N224</f>
        <v>64</v>
      </c>
      <c r="S96" s="56">
        <f>P224</f>
        <v>0.29425633700000003</v>
      </c>
      <c r="W96">
        <f t="shared" si="4"/>
        <v>320</v>
      </c>
      <c r="X96" s="14">
        <f t="shared" si="5"/>
        <v>207.5</v>
      </c>
      <c r="Z96">
        <v>64</v>
      </c>
      <c r="AA96" s="58">
        <v>408.69716175353034</v>
      </c>
      <c r="AB96" s="59">
        <v>21.60909326567856</v>
      </c>
      <c r="AC96" s="59">
        <v>430.30625501920889</v>
      </c>
      <c r="AD96" s="60">
        <v>387.08806848785179</v>
      </c>
      <c r="AE96" s="61">
        <v>0.97339242786248104</v>
      </c>
      <c r="AF96" s="62">
        <v>2.3092474618029872E-2</v>
      </c>
      <c r="AG96" s="62">
        <v>0.99648490248051091</v>
      </c>
      <c r="AH96" s="63">
        <v>0.95029995324445116</v>
      </c>
      <c r="AI96">
        <f t="shared" si="6"/>
        <v>40.263954644543354</v>
      </c>
      <c r="AJ96" s="64">
        <v>966.33491146904043</v>
      </c>
      <c r="AK96">
        <f t="shared" si="2"/>
        <v>40.263954644543354</v>
      </c>
      <c r="AM96" s="56">
        <v>65</v>
      </c>
      <c r="AN96" s="56">
        <f t="shared" si="3"/>
        <v>0.2179592860422872</v>
      </c>
    </row>
    <row r="97" spans="1:40" x14ac:dyDescent="0.25">
      <c r="A97" s="14">
        <v>320</v>
      </c>
      <c r="B97" s="14">
        <v>257.83199999999999</v>
      </c>
      <c r="C97" s="14">
        <v>117.79900000000001</v>
      </c>
      <c r="D97" s="14">
        <v>155.64699999999999</v>
      </c>
      <c r="E97" s="14">
        <v>413.70100000000002</v>
      </c>
      <c r="F97" s="14">
        <v>5.1846899999999998</v>
      </c>
      <c r="G97" s="14">
        <v>5.2779299999999996</v>
      </c>
      <c r="H97" s="14">
        <v>69.027600000000007</v>
      </c>
      <c r="I97" s="14">
        <v>87.085599999999999</v>
      </c>
      <c r="J97" s="7"/>
      <c r="M97" s="14"/>
      <c r="N97" s="14">
        <v>21.666699999999999</v>
      </c>
      <c r="O97" s="14">
        <v>4.4005099999999998E-2</v>
      </c>
      <c r="P97">
        <v>0</v>
      </c>
      <c r="Q97" s="57"/>
      <c r="R97" s="56">
        <f>N227</f>
        <v>65</v>
      </c>
      <c r="S97" s="56">
        <f>P227</f>
        <v>0.29653976400000004</v>
      </c>
      <c r="W97">
        <f t="shared" si="4"/>
        <v>325</v>
      </c>
      <c r="X97" s="14">
        <f t="shared" si="5"/>
        <v>204.2</v>
      </c>
      <c r="Z97">
        <v>65</v>
      </c>
      <c r="AA97" s="58">
        <v>408.47923825748921</v>
      </c>
      <c r="AB97" s="59">
        <v>21.528093433631561</v>
      </c>
      <c r="AC97" s="59">
        <v>430.00733169112078</v>
      </c>
      <c r="AD97" s="60">
        <v>386.95114482385765</v>
      </c>
      <c r="AE97" s="61">
        <v>0.97289059004733147</v>
      </c>
      <c r="AF97" s="62">
        <v>2.349720717682802E-2</v>
      </c>
      <c r="AG97" s="62">
        <v>0.99638779722415949</v>
      </c>
      <c r="AH97" s="63">
        <v>0.94939338287050345</v>
      </c>
      <c r="AI97">
        <f t="shared" si="6"/>
        <v>33.65397600871524</v>
      </c>
      <c r="AJ97" s="64">
        <v>807.69542420916582</v>
      </c>
      <c r="AK97">
        <f t="shared" ref="AK97:AK160" si="7">IF(Z97&lt;=$R$12,AI97," ")</f>
        <v>33.65397600871524</v>
      </c>
      <c r="AM97" s="56">
        <v>66</v>
      </c>
      <c r="AN97" s="56">
        <f t="shared" ref="AN97:AN160" si="8">AA98-AA99</f>
        <v>0.2179592860422872</v>
      </c>
    </row>
    <row r="98" spans="1:40" x14ac:dyDescent="0.25">
      <c r="A98" s="14">
        <v>325</v>
      </c>
      <c r="B98" s="14">
        <v>255.898</v>
      </c>
      <c r="C98" s="14">
        <v>115.161</v>
      </c>
      <c r="D98" s="14">
        <v>152.46100000000001</v>
      </c>
      <c r="E98" s="14">
        <v>413.46899999999999</v>
      </c>
      <c r="F98" s="14">
        <v>5.1847000000000003</v>
      </c>
      <c r="G98" s="14">
        <v>5.4890400000000001</v>
      </c>
      <c r="H98" s="14">
        <v>68.445300000000003</v>
      </c>
      <c r="I98" s="14">
        <v>86.047300000000007</v>
      </c>
      <c r="J98" s="7"/>
      <c r="M98" s="14"/>
      <c r="N98" s="14">
        <v>22</v>
      </c>
      <c r="O98" s="14">
        <v>2.6061999999999998E-2</v>
      </c>
      <c r="P98" s="14">
        <f>O98+O97+O96</f>
        <v>9.5734399999999997E-2</v>
      </c>
      <c r="Q98" s="57"/>
      <c r="R98" s="56">
        <f>N230</f>
        <v>66</v>
      </c>
      <c r="S98" s="56">
        <f>P230</f>
        <v>0.29635081700000004</v>
      </c>
      <c r="W98">
        <f t="shared" ref="W98:W132" si="9">W97+5</f>
        <v>330</v>
      </c>
      <c r="X98" s="14">
        <f t="shared" ref="X98:X132" si="10">TRUNC(VLOOKUP(W98,$Z$32:$AA$631,2,FALSE),1)</f>
        <v>200.7</v>
      </c>
      <c r="Z98">
        <v>66</v>
      </c>
      <c r="AA98" s="58">
        <v>408.26127897144693</v>
      </c>
      <c r="AB98" s="59">
        <v>21.4484213703482</v>
      </c>
      <c r="AC98" s="59">
        <v>429.70970034179516</v>
      </c>
      <c r="AD98" s="60">
        <v>386.8128576010987</v>
      </c>
      <c r="AE98" s="61">
        <v>0.97238866527204326</v>
      </c>
      <c r="AF98" s="62">
        <v>2.3901959676053859E-2</v>
      </c>
      <c r="AG98" s="62">
        <v>0.99629062494809717</v>
      </c>
      <c r="AH98" s="63">
        <v>0.94848670559598935</v>
      </c>
      <c r="AI98">
        <f t="shared" ref="AI98:AI161" si="11">AJ98/24</f>
        <v>19.720311370667421</v>
      </c>
      <c r="AJ98" s="64">
        <v>473.28747289601813</v>
      </c>
      <c r="AK98">
        <f t="shared" si="7"/>
        <v>19.720311370667421</v>
      </c>
      <c r="AM98" s="56">
        <v>67</v>
      </c>
      <c r="AN98" s="56">
        <f t="shared" si="8"/>
        <v>0.21822255919039435</v>
      </c>
    </row>
    <row r="99" spans="1:40" x14ac:dyDescent="0.25">
      <c r="A99" s="14">
        <v>330</v>
      </c>
      <c r="B99" s="14">
        <v>241.73400000000001</v>
      </c>
      <c r="C99" s="14">
        <v>112.68899999999999</v>
      </c>
      <c r="D99" s="14">
        <v>149.37</v>
      </c>
      <c r="E99" s="14">
        <v>413.12400000000002</v>
      </c>
      <c r="F99" s="14">
        <v>6.1125999999999996</v>
      </c>
      <c r="G99" s="14">
        <v>5.6997600000000004</v>
      </c>
      <c r="H99" s="14">
        <v>67.8703</v>
      </c>
      <c r="I99" s="14">
        <v>85.040999999999997</v>
      </c>
      <c r="J99" s="7"/>
      <c r="M99" s="14"/>
      <c r="N99" s="14">
        <v>22.333300000000001</v>
      </c>
      <c r="O99" s="14">
        <v>4.4391199999999999E-2</v>
      </c>
      <c r="P99">
        <v>0</v>
      </c>
      <c r="Q99" s="57"/>
      <c r="R99" s="56">
        <f>N233</f>
        <v>67</v>
      </c>
      <c r="S99" s="56">
        <f>P233</f>
        <v>0.28789375700000003</v>
      </c>
      <c r="W99">
        <f t="shared" si="9"/>
        <v>335</v>
      </c>
      <c r="X99" s="14">
        <f t="shared" si="10"/>
        <v>197.2</v>
      </c>
      <c r="Z99">
        <v>67</v>
      </c>
      <c r="AA99" s="58">
        <v>408.04331968540464</v>
      </c>
      <c r="AB99" s="59">
        <v>21.370086987184887</v>
      </c>
      <c r="AC99" s="59">
        <v>429.41340667258953</v>
      </c>
      <c r="AD99" s="60">
        <v>386.67323269821975</v>
      </c>
      <c r="AE99" s="61">
        <v>0.97188674049675516</v>
      </c>
      <c r="AF99" s="62">
        <v>2.430678575446794E-2</v>
      </c>
      <c r="AG99" s="62">
        <v>0.99619352625122315</v>
      </c>
      <c r="AH99" s="63">
        <v>0.94757995474228718</v>
      </c>
      <c r="AI99">
        <f t="shared" si="11"/>
        <v>14.994643547707682</v>
      </c>
      <c r="AJ99" s="64">
        <v>359.87144514498436</v>
      </c>
      <c r="AK99">
        <f t="shared" si="7"/>
        <v>14.994643547707682</v>
      </c>
      <c r="AM99" s="56">
        <v>68</v>
      </c>
      <c r="AN99" s="56">
        <f t="shared" si="8"/>
        <v>0.21868964300301741</v>
      </c>
    </row>
    <row r="100" spans="1:40" x14ac:dyDescent="0.25">
      <c r="A100" s="14">
        <v>335</v>
      </c>
      <c r="B100" s="14">
        <v>240.06299999999999</v>
      </c>
      <c r="C100" s="14">
        <v>110.249</v>
      </c>
      <c r="D100" s="14">
        <v>146.37299999999999</v>
      </c>
      <c r="E100" s="14">
        <v>412.79899999999998</v>
      </c>
      <c r="F100" s="14">
        <v>6.1126100000000001</v>
      </c>
      <c r="G100" s="14">
        <v>5.9083100000000002</v>
      </c>
      <c r="H100" s="14">
        <v>67.324200000000005</v>
      </c>
      <c r="I100" s="14">
        <v>84.065200000000004</v>
      </c>
      <c r="J100" s="7"/>
      <c r="M100" s="14"/>
      <c r="N100" s="14">
        <v>22.666699999999999</v>
      </c>
      <c r="O100" s="14">
        <v>2.5617500000000001E-2</v>
      </c>
      <c r="P100">
        <v>0</v>
      </c>
      <c r="Q100" s="57"/>
      <c r="R100" s="56">
        <f>N236</f>
        <v>68</v>
      </c>
      <c r="S100" s="56">
        <f>P236</f>
        <v>0.28447537000000001</v>
      </c>
      <c r="W100">
        <f t="shared" si="9"/>
        <v>340</v>
      </c>
      <c r="X100" s="14">
        <f t="shared" si="10"/>
        <v>193.8</v>
      </c>
      <c r="Z100">
        <v>68</v>
      </c>
      <c r="AA100" s="58">
        <v>407.82509712621425</v>
      </c>
      <c r="AB100" s="59">
        <v>21.293555644170738</v>
      </c>
      <c r="AC100" s="59">
        <v>429.11865277038498</v>
      </c>
      <c r="AD100" s="60">
        <v>386.53154148204351</v>
      </c>
      <c r="AE100" s="61">
        <v>0.9713841236805606</v>
      </c>
      <c r="AF100" s="62">
        <v>2.4711143954064905E-2</v>
      </c>
      <c r="AG100" s="62">
        <v>0.99609526763462553</v>
      </c>
      <c r="AH100" s="63">
        <v>0.94667297972649567</v>
      </c>
      <c r="AI100">
        <f t="shared" si="11"/>
        <v>13.328911968717577</v>
      </c>
      <c r="AJ100" s="64">
        <v>319.89388724922185</v>
      </c>
      <c r="AK100">
        <f t="shared" si="7"/>
        <v>13.328911968717577</v>
      </c>
      <c r="AM100" s="56">
        <v>69</v>
      </c>
      <c r="AN100" s="56">
        <f t="shared" si="8"/>
        <v>0.21869865166507907</v>
      </c>
    </row>
    <row r="101" spans="1:40" x14ac:dyDescent="0.25">
      <c r="A101" s="14">
        <v>340</v>
      </c>
      <c r="B101" s="14">
        <v>238.38900000000001</v>
      </c>
      <c r="C101" s="14">
        <v>107.977</v>
      </c>
      <c r="D101" s="14">
        <v>143.46700000000001</v>
      </c>
      <c r="E101" s="14">
        <v>412.49799999999999</v>
      </c>
      <c r="F101" s="14">
        <v>6.1126199999999997</v>
      </c>
      <c r="G101" s="14">
        <v>6.1142000000000003</v>
      </c>
      <c r="H101" s="14">
        <v>66.783699999999996</v>
      </c>
      <c r="I101" s="14">
        <v>83.118799999999993</v>
      </c>
      <c r="J101" s="7"/>
      <c r="M101" s="14"/>
      <c r="N101" s="14">
        <v>23</v>
      </c>
      <c r="O101" s="14">
        <v>4.4416400000000002E-2</v>
      </c>
      <c r="P101" s="14">
        <f>O101+O100+O99</f>
        <v>0.1144251</v>
      </c>
      <c r="Q101" s="57"/>
      <c r="R101" s="56">
        <f>N239</f>
        <v>69</v>
      </c>
      <c r="S101" s="56">
        <f>P239</f>
        <v>0.27396991600000004</v>
      </c>
      <c r="W101">
        <f t="shared" si="9"/>
        <v>345</v>
      </c>
      <c r="X101" s="14">
        <f t="shared" si="10"/>
        <v>190.3</v>
      </c>
      <c r="Z101">
        <v>69</v>
      </c>
      <c r="AA101" s="58">
        <v>407.60640748321123</v>
      </c>
      <c r="AB101" s="59">
        <v>21.219189379034006</v>
      </c>
      <c r="AC101" s="59">
        <v>428.82559686224522</v>
      </c>
      <c r="AD101" s="60">
        <v>386.38721810417724</v>
      </c>
      <c r="AE101" s="61">
        <v>0.97088027908588703</v>
      </c>
      <c r="AF101" s="62">
        <v>2.5114611741984535E-2</v>
      </c>
      <c r="AG101" s="62">
        <v>0.99599489082787152</v>
      </c>
      <c r="AH101" s="63">
        <v>0.94576566734390255</v>
      </c>
      <c r="AI101">
        <f t="shared" si="11"/>
        <v>11.721347579392315</v>
      </c>
      <c r="AJ101" s="64">
        <v>281.31234190541556</v>
      </c>
      <c r="AK101">
        <f t="shared" si="7"/>
        <v>11.721347579392315</v>
      </c>
      <c r="AM101" s="56">
        <v>70</v>
      </c>
      <c r="AN101" s="56">
        <f t="shared" si="8"/>
        <v>0.21486385399072105</v>
      </c>
    </row>
    <row r="102" spans="1:40" x14ac:dyDescent="0.25">
      <c r="A102" s="14">
        <v>345</v>
      </c>
      <c r="B102" s="14">
        <v>236.72300000000001</v>
      </c>
      <c r="C102" s="14">
        <v>105.723</v>
      </c>
      <c r="D102" s="14">
        <v>140.649</v>
      </c>
      <c r="E102" s="14">
        <v>412.12200000000001</v>
      </c>
      <c r="F102" s="14">
        <v>6.1126300000000002</v>
      </c>
      <c r="G102" s="14">
        <v>6.3183100000000003</v>
      </c>
      <c r="H102" s="14">
        <v>66.271500000000003</v>
      </c>
      <c r="I102" s="14">
        <v>82.2012</v>
      </c>
      <c r="J102" s="7"/>
      <c r="M102" s="14"/>
      <c r="N102" s="14">
        <v>23.333300000000001</v>
      </c>
      <c r="O102" s="14">
        <v>2.6056099999999999E-2</v>
      </c>
      <c r="P102">
        <v>0</v>
      </c>
      <c r="Q102" s="57"/>
      <c r="R102" s="56">
        <f>N242</f>
        <v>70</v>
      </c>
      <c r="S102" s="56">
        <f>P242</f>
        <v>0.27244158999999996</v>
      </c>
      <c r="W102">
        <f t="shared" si="9"/>
        <v>350</v>
      </c>
      <c r="X102" s="14">
        <f t="shared" si="10"/>
        <v>186.4</v>
      </c>
      <c r="Z102">
        <v>70</v>
      </c>
      <c r="AA102" s="58">
        <v>407.38770883154615</v>
      </c>
      <c r="AB102" s="59">
        <v>21.14621790964593</v>
      </c>
      <c r="AC102" s="59">
        <v>428.53392674119209</v>
      </c>
      <c r="AD102" s="60">
        <v>386.24149092190021</v>
      </c>
      <c r="AE102" s="61">
        <v>0.97037641081100678</v>
      </c>
      <c r="AF102" s="62">
        <v>2.551812057165001E-2</v>
      </c>
      <c r="AG102" s="62">
        <v>0.99589453138265682</v>
      </c>
      <c r="AH102" s="63">
        <v>0.94485829023935675</v>
      </c>
      <c r="AI102">
        <f t="shared" si="11"/>
        <v>10.651634690720039</v>
      </c>
      <c r="AJ102" s="64">
        <v>255.63923257728092</v>
      </c>
      <c r="AK102">
        <f t="shared" si="7"/>
        <v>10.651634690720039</v>
      </c>
      <c r="AM102" s="56">
        <v>71</v>
      </c>
      <c r="AN102" s="56">
        <f t="shared" si="8"/>
        <v>0.20787556860619816</v>
      </c>
    </row>
    <row r="103" spans="1:40" x14ac:dyDescent="0.25">
      <c r="A103" s="14">
        <v>350</v>
      </c>
      <c r="B103" s="14">
        <v>225.261</v>
      </c>
      <c r="C103" s="14">
        <v>103.63</v>
      </c>
      <c r="D103" s="14">
        <v>137.91900000000001</v>
      </c>
      <c r="E103" s="14">
        <v>411.7</v>
      </c>
      <c r="F103" s="14">
        <v>7.06595</v>
      </c>
      <c r="G103" s="14">
        <v>6.5215399999999999</v>
      </c>
      <c r="H103" s="14">
        <v>65.763000000000005</v>
      </c>
      <c r="I103" s="14">
        <v>81.310500000000005</v>
      </c>
      <c r="J103" s="7"/>
      <c r="M103" s="14"/>
      <c r="N103" s="14">
        <v>23.666699999999999</v>
      </c>
      <c r="O103" s="14">
        <v>4.3448199999999999E-2</v>
      </c>
      <c r="P103">
        <v>0</v>
      </c>
      <c r="Q103" s="57"/>
      <c r="R103" s="56">
        <f>N245</f>
        <v>71</v>
      </c>
      <c r="S103" s="56">
        <f>P245</f>
        <v>0.27236393399999997</v>
      </c>
      <c r="W103">
        <f t="shared" si="9"/>
        <v>355</v>
      </c>
      <c r="X103" s="14">
        <f t="shared" si="10"/>
        <v>182.5</v>
      </c>
      <c r="Z103">
        <v>71</v>
      </c>
      <c r="AA103" s="58">
        <v>407.17284497755543</v>
      </c>
      <c r="AB103" s="59">
        <v>21.078338569613098</v>
      </c>
      <c r="AC103" s="59">
        <v>428.25118354716852</v>
      </c>
      <c r="AD103" s="60">
        <v>386.09450640794233</v>
      </c>
      <c r="AE103" s="61">
        <v>0.96988115598083713</v>
      </c>
      <c r="AF103" s="62">
        <v>2.5915848861952841E-2</v>
      </c>
      <c r="AG103" s="62">
        <v>0.99579700484278999</v>
      </c>
      <c r="AH103" s="63">
        <v>0.94396530711888427</v>
      </c>
      <c r="AI103">
        <f t="shared" si="11"/>
        <v>10.527599490529722</v>
      </c>
      <c r="AJ103" s="64">
        <v>252.66238777271334</v>
      </c>
      <c r="AK103">
        <f t="shared" si="7"/>
        <v>10.527599490529722</v>
      </c>
      <c r="AM103" s="56">
        <v>72</v>
      </c>
      <c r="AN103" s="56">
        <f t="shared" si="8"/>
        <v>0.20772827879790157</v>
      </c>
    </row>
    <row r="104" spans="1:40" x14ac:dyDescent="0.25">
      <c r="A104" s="14">
        <v>355</v>
      </c>
      <c r="B104" s="14">
        <v>223.68299999999999</v>
      </c>
      <c r="C104" s="14">
        <v>101.562</v>
      </c>
      <c r="D104" s="14">
        <v>135.27099999999999</v>
      </c>
      <c r="E104" s="14">
        <v>411.322</v>
      </c>
      <c r="F104" s="14">
        <v>7.0659599999999996</v>
      </c>
      <c r="G104" s="14">
        <v>6.7238800000000003</v>
      </c>
      <c r="H104" s="14">
        <v>65.283100000000005</v>
      </c>
      <c r="I104" s="14">
        <v>80.447299999999998</v>
      </c>
      <c r="J104" s="7"/>
      <c r="M104" s="14"/>
      <c r="N104" s="14">
        <v>24</v>
      </c>
      <c r="O104" s="14">
        <v>2.6410200000000002E-2</v>
      </c>
      <c r="P104" s="14">
        <f>O104+O103+O102</f>
        <v>9.59145E-2</v>
      </c>
      <c r="Q104" s="57"/>
      <c r="R104" s="56">
        <f>N248</f>
        <v>72</v>
      </c>
      <c r="S104" s="56">
        <f>P248</f>
        <v>0.27225455500000001</v>
      </c>
      <c r="W104">
        <f t="shared" si="9"/>
        <v>360</v>
      </c>
      <c r="X104" s="14">
        <f t="shared" si="10"/>
        <v>178.9</v>
      </c>
      <c r="Z104">
        <v>72</v>
      </c>
      <c r="AA104" s="58">
        <v>406.96496940894923</v>
      </c>
      <c r="AB104" s="59">
        <v>21.018584793993146</v>
      </c>
      <c r="AC104" s="59">
        <v>427.9835542029424</v>
      </c>
      <c r="AD104" s="60">
        <v>385.94638461495606</v>
      </c>
      <c r="AE104" s="61">
        <v>0.9694015977310082</v>
      </c>
      <c r="AF104" s="62">
        <v>2.6303081905695757E-2</v>
      </c>
      <c r="AG104" s="62">
        <v>0.99570467963670395</v>
      </c>
      <c r="AH104" s="63">
        <v>0.94309851582531246</v>
      </c>
      <c r="AI104">
        <f t="shared" si="11"/>
        <v>10.421251387720249</v>
      </c>
      <c r="AJ104" s="64">
        <v>250.11003330528595</v>
      </c>
      <c r="AK104">
        <f t="shared" si="7"/>
        <v>10.421251387720249</v>
      </c>
      <c r="AM104" s="56">
        <v>73</v>
      </c>
      <c r="AN104" s="56">
        <f t="shared" si="8"/>
        <v>0.20772827879784472</v>
      </c>
    </row>
    <row r="105" spans="1:40" x14ac:dyDescent="0.25">
      <c r="A105" s="14">
        <v>360</v>
      </c>
      <c r="B105" s="14">
        <v>222.09399999999999</v>
      </c>
      <c r="C105" s="14">
        <v>99.635499999999993</v>
      </c>
      <c r="D105" s="14">
        <v>132.70500000000001</v>
      </c>
      <c r="E105" s="14">
        <v>410.89400000000001</v>
      </c>
      <c r="F105" s="14">
        <v>7.0659599999999996</v>
      </c>
      <c r="G105" s="14">
        <v>6.9257900000000001</v>
      </c>
      <c r="H105" s="14">
        <v>64.808300000000003</v>
      </c>
      <c r="I105" s="14">
        <v>79.609899999999996</v>
      </c>
      <c r="J105" s="7"/>
      <c r="M105" s="14"/>
      <c r="N105" s="14">
        <v>24.333300000000001</v>
      </c>
      <c r="O105" s="14">
        <v>4.3882900000000002E-2</v>
      </c>
      <c r="P105">
        <v>0</v>
      </c>
      <c r="Q105" s="57"/>
      <c r="R105" s="56">
        <f>N251</f>
        <v>73</v>
      </c>
      <c r="S105" s="56">
        <f>P251</f>
        <v>0.272142202</v>
      </c>
      <c r="W105">
        <f t="shared" si="9"/>
        <v>365</v>
      </c>
      <c r="X105" s="14">
        <f t="shared" si="10"/>
        <v>175.3</v>
      </c>
      <c r="Z105">
        <v>73</v>
      </c>
      <c r="AA105" s="58">
        <v>406.75724113015133</v>
      </c>
      <c r="AB105" s="59">
        <v>20.960360761018194</v>
      </c>
      <c r="AC105" s="59">
        <v>427.71760189116952</v>
      </c>
      <c r="AD105" s="60">
        <v>385.79688036913313</v>
      </c>
      <c r="AE105" s="61">
        <v>0.96892237031287565</v>
      </c>
      <c r="AF105" s="62">
        <v>2.6690272441791018E-2</v>
      </c>
      <c r="AG105" s="62">
        <v>0.99561264275466665</v>
      </c>
      <c r="AH105" s="63">
        <v>0.94223209787108464</v>
      </c>
      <c r="AI105">
        <f t="shared" si="11"/>
        <v>10.314903284910773</v>
      </c>
      <c r="AJ105" s="64">
        <v>247.55767883785856</v>
      </c>
      <c r="AK105">
        <f t="shared" si="7"/>
        <v>10.314903284910773</v>
      </c>
      <c r="AM105" s="56">
        <v>74</v>
      </c>
      <c r="AN105" s="56">
        <f t="shared" si="8"/>
        <v>0.21297010556082796</v>
      </c>
    </row>
    <row r="106" spans="1:40" x14ac:dyDescent="0.25">
      <c r="A106" s="14">
        <v>365</v>
      </c>
      <c r="B106" s="14">
        <v>220.489</v>
      </c>
      <c r="C106" s="14">
        <v>97.735399999999998</v>
      </c>
      <c r="D106" s="14">
        <v>130.21799999999999</v>
      </c>
      <c r="E106" s="14">
        <v>410.58699999999999</v>
      </c>
      <c r="F106" s="14">
        <v>7.0659599999999996</v>
      </c>
      <c r="G106" s="14">
        <v>7.1272700000000002</v>
      </c>
      <c r="H106" s="14">
        <v>64.358000000000004</v>
      </c>
      <c r="I106" s="14">
        <v>78.797600000000003</v>
      </c>
      <c r="J106" s="7"/>
      <c r="M106" s="14"/>
      <c r="N106" s="14">
        <v>24.666699999999999</v>
      </c>
      <c r="O106" s="14">
        <v>2.6036299999999998E-2</v>
      </c>
      <c r="P106">
        <v>0</v>
      </c>
      <c r="Q106" s="57"/>
      <c r="R106" s="56">
        <f>N254</f>
        <v>74</v>
      </c>
      <c r="S106" s="56">
        <f>P254</f>
        <v>0.27202984200000002</v>
      </c>
      <c r="W106">
        <f t="shared" si="9"/>
        <v>370</v>
      </c>
      <c r="X106" s="14">
        <f t="shared" si="10"/>
        <v>171.6</v>
      </c>
      <c r="Z106">
        <v>74</v>
      </c>
      <c r="AA106" s="58">
        <v>406.54951285135348</v>
      </c>
      <c r="AB106" s="59">
        <v>20.903535922666869</v>
      </c>
      <c r="AC106" s="59">
        <v>427.45304877402037</v>
      </c>
      <c r="AD106" s="60">
        <v>385.64597692868659</v>
      </c>
      <c r="AE106" s="61">
        <v>0.9684431428947432</v>
      </c>
      <c r="AF106" s="62">
        <v>2.7077636494338621E-2</v>
      </c>
      <c r="AG106" s="62">
        <v>0.99552077938908179</v>
      </c>
      <c r="AH106" s="63">
        <v>0.94136550640040462</v>
      </c>
      <c r="AI106">
        <f t="shared" si="11"/>
        <v>10.34030020923956</v>
      </c>
      <c r="AJ106" s="64">
        <v>248.16720502174942</v>
      </c>
      <c r="AK106">
        <f t="shared" si="7"/>
        <v>10.34030020923956</v>
      </c>
      <c r="AM106" s="56">
        <v>75</v>
      </c>
      <c r="AN106" s="56">
        <f t="shared" si="8"/>
        <v>0.22282310171789277</v>
      </c>
    </row>
    <row r="107" spans="1:40" x14ac:dyDescent="0.25">
      <c r="A107" s="14">
        <v>370</v>
      </c>
      <c r="B107" s="14">
        <v>218.89099999999999</v>
      </c>
      <c r="C107" s="14">
        <v>95.958699999999993</v>
      </c>
      <c r="D107" s="14">
        <v>127.80800000000001</v>
      </c>
      <c r="E107" s="14">
        <v>410.23899999999998</v>
      </c>
      <c r="F107" s="14">
        <v>7.0659700000000001</v>
      </c>
      <c r="G107" s="14">
        <v>7.3278600000000003</v>
      </c>
      <c r="H107" s="14">
        <v>63.913600000000002</v>
      </c>
      <c r="I107" s="14">
        <v>78.009699999999995</v>
      </c>
      <c r="J107" s="7"/>
      <c r="M107" s="14"/>
      <c r="N107" s="14">
        <v>25</v>
      </c>
      <c r="O107" s="14">
        <v>4.3565600000000003E-2</v>
      </c>
      <c r="P107" s="14">
        <f>O107+O106+O105</f>
        <v>0.1134848</v>
      </c>
      <c r="Q107" s="57"/>
      <c r="R107" s="56">
        <f>N257</f>
        <v>75</v>
      </c>
      <c r="S107" s="56">
        <f>P257</f>
        <v>0.27191650000000001</v>
      </c>
      <c r="W107">
        <f t="shared" si="9"/>
        <v>375</v>
      </c>
      <c r="X107" s="14">
        <f t="shared" si="10"/>
        <v>168</v>
      </c>
      <c r="Z107">
        <v>75</v>
      </c>
      <c r="AA107" s="58">
        <v>406.33654274579266</v>
      </c>
      <c r="AB107" s="59">
        <v>20.845525726333367</v>
      </c>
      <c r="AC107" s="59">
        <v>427.18206847212605</v>
      </c>
      <c r="AD107" s="60">
        <v>385.49101701945926</v>
      </c>
      <c r="AE107" s="61">
        <v>0.9679516501366453</v>
      </c>
      <c r="AF107" s="62">
        <v>2.7463139177584802E-2</v>
      </c>
      <c r="AG107" s="62">
        <v>0.99541478931423011</v>
      </c>
      <c r="AH107" s="63">
        <v>0.9404885109590605</v>
      </c>
      <c r="AI107">
        <f t="shared" si="11"/>
        <v>10.611795443768687</v>
      </c>
      <c r="AJ107" s="64">
        <v>254.68309065044849</v>
      </c>
      <c r="AK107">
        <f t="shared" si="7"/>
        <v>10.611795443768687</v>
      </c>
      <c r="AM107" s="56">
        <v>76</v>
      </c>
      <c r="AN107" s="56">
        <f t="shared" si="8"/>
        <v>0.22305207316821907</v>
      </c>
    </row>
    <row r="108" spans="1:40" x14ac:dyDescent="0.25">
      <c r="A108" s="14">
        <v>375</v>
      </c>
      <c r="B108" s="14">
        <v>217.30699999999999</v>
      </c>
      <c r="C108" s="14">
        <v>94.216099999999997</v>
      </c>
      <c r="D108" s="14">
        <v>125.473</v>
      </c>
      <c r="E108" s="14">
        <v>409.779</v>
      </c>
      <c r="F108" s="14">
        <v>7.0659799999999997</v>
      </c>
      <c r="G108" s="14">
        <v>7.5275400000000001</v>
      </c>
      <c r="H108" s="14">
        <v>63.491300000000003</v>
      </c>
      <c r="I108" s="14">
        <v>77.245099999999994</v>
      </c>
      <c r="J108" s="7"/>
      <c r="M108" s="14"/>
      <c r="N108" s="14">
        <v>25.333300000000001</v>
      </c>
      <c r="O108" s="14">
        <v>2.6696600000000001E-2</v>
      </c>
      <c r="P108">
        <v>0</v>
      </c>
      <c r="Q108" s="57"/>
      <c r="R108" s="56">
        <f>N260</f>
        <v>76</v>
      </c>
      <c r="S108" s="56">
        <f>P260</f>
        <v>0.27180911000000002</v>
      </c>
      <c r="W108">
        <f t="shared" si="9"/>
        <v>380</v>
      </c>
      <c r="X108" s="14">
        <f t="shared" si="10"/>
        <v>164.4</v>
      </c>
      <c r="Z108">
        <v>76</v>
      </c>
      <c r="AA108" s="58">
        <v>406.11371964407476</v>
      </c>
      <c r="AB108" s="59">
        <v>20.784084822822965</v>
      </c>
      <c r="AC108" s="59">
        <v>426.89780446689775</v>
      </c>
      <c r="AD108" s="60">
        <v>385.32963482125177</v>
      </c>
      <c r="AE108" s="61">
        <v>0.96743710237253377</v>
      </c>
      <c r="AF108" s="62">
        <v>2.7845336814693179E-2</v>
      </c>
      <c r="AG108" s="62">
        <v>0.99528243918722692</v>
      </c>
      <c r="AH108" s="63">
        <v>0.93959176555784063</v>
      </c>
      <c r="AI108">
        <f t="shared" si="11"/>
        <v>10.888900535516447</v>
      </c>
      <c r="AJ108" s="64">
        <v>261.33361285239471</v>
      </c>
      <c r="AK108">
        <f t="shared" si="7"/>
        <v>10.888900535516447</v>
      </c>
      <c r="AM108" s="56">
        <v>77</v>
      </c>
      <c r="AN108" s="56">
        <f t="shared" si="8"/>
        <v>0.22305207316827591</v>
      </c>
    </row>
    <row r="109" spans="1:40" x14ac:dyDescent="0.25">
      <c r="A109" s="14">
        <v>380</v>
      </c>
      <c r="B109" s="14">
        <v>215.72399999999999</v>
      </c>
      <c r="C109" s="14">
        <v>92.575599999999994</v>
      </c>
      <c r="D109" s="14">
        <v>123.21</v>
      </c>
      <c r="E109" s="14">
        <v>409.255</v>
      </c>
      <c r="F109" s="14">
        <v>7.0659799999999997</v>
      </c>
      <c r="G109" s="14">
        <v>7.7272299999999996</v>
      </c>
      <c r="H109" s="14">
        <v>63.0764</v>
      </c>
      <c r="I109" s="14">
        <v>76.503299999999996</v>
      </c>
      <c r="J109" s="7"/>
      <c r="M109" s="14"/>
      <c r="N109" s="14">
        <v>25.666699999999999</v>
      </c>
      <c r="O109" s="14">
        <v>4.26886E-2</v>
      </c>
      <c r="P109">
        <v>0</v>
      </c>
      <c r="Q109" s="57"/>
      <c r="R109" s="56">
        <f>N263</f>
        <v>77</v>
      </c>
      <c r="S109" s="56">
        <f>P263</f>
        <v>0.27151594099999998</v>
      </c>
      <c r="W109">
        <f t="shared" si="9"/>
        <v>385</v>
      </c>
      <c r="X109" s="14">
        <f t="shared" si="10"/>
        <v>160.80000000000001</v>
      </c>
      <c r="Z109">
        <v>77</v>
      </c>
      <c r="AA109" s="58">
        <v>405.89066757090654</v>
      </c>
      <c r="AB109" s="59">
        <v>20.724007307826501</v>
      </c>
      <c r="AC109" s="59">
        <v>426.61467487873307</v>
      </c>
      <c r="AD109" s="60">
        <v>385.16666026308002</v>
      </c>
      <c r="AE109" s="61">
        <v>0.96692201883858331</v>
      </c>
      <c r="AF109" s="62">
        <v>2.82281112059099E-2</v>
      </c>
      <c r="AG109" s="62">
        <v>0.99515013004449315</v>
      </c>
      <c r="AH109" s="63">
        <v>0.93869390763267346</v>
      </c>
      <c r="AI109">
        <f t="shared" si="11"/>
        <v>11.166005627264207</v>
      </c>
      <c r="AJ109" s="64">
        <v>267.98413505434098</v>
      </c>
      <c r="AK109">
        <f t="shared" si="7"/>
        <v>11.166005627264207</v>
      </c>
      <c r="AM109" s="56">
        <v>78</v>
      </c>
      <c r="AN109" s="56">
        <f t="shared" si="8"/>
        <v>0.22305207316821907</v>
      </c>
    </row>
    <row r="110" spans="1:40" x14ac:dyDescent="0.25">
      <c r="A110" s="14">
        <v>385</v>
      </c>
      <c r="B110" s="14">
        <v>214.14099999999999</v>
      </c>
      <c r="C110" s="14">
        <v>90.975800000000007</v>
      </c>
      <c r="D110" s="14">
        <v>121.018</v>
      </c>
      <c r="E110" s="14">
        <v>408.74900000000002</v>
      </c>
      <c r="F110" s="14">
        <v>7.0659900000000002</v>
      </c>
      <c r="G110" s="14">
        <v>7.9264799999999997</v>
      </c>
      <c r="H110" s="14">
        <v>62.679699999999997</v>
      </c>
      <c r="I110" s="14">
        <v>75.7834</v>
      </c>
      <c r="J110" s="7"/>
      <c r="M110" s="14"/>
      <c r="N110" s="14">
        <v>26</v>
      </c>
      <c r="O110" s="14">
        <v>2.6907500000000001E-2</v>
      </c>
      <c r="P110" s="14">
        <f>O110+O109+O108</f>
        <v>9.6292699999999995E-2</v>
      </c>
      <c r="Q110" s="57"/>
      <c r="R110" s="56">
        <f>N266</f>
        <v>78</v>
      </c>
      <c r="S110" s="56">
        <f>P266</f>
        <v>0.26603876100000001</v>
      </c>
      <c r="W110">
        <f t="shared" si="9"/>
        <v>390</v>
      </c>
      <c r="X110" s="14">
        <f t="shared" si="10"/>
        <v>157.4</v>
      </c>
      <c r="Z110">
        <v>78</v>
      </c>
      <c r="AA110" s="58">
        <v>405.66761549773827</v>
      </c>
      <c r="AB110" s="59">
        <v>20.66541924290939</v>
      </c>
      <c r="AC110" s="59">
        <v>426.33303474064763</v>
      </c>
      <c r="AD110" s="60">
        <v>385.0021962548289</v>
      </c>
      <c r="AE110" s="61">
        <v>0.96640693530463262</v>
      </c>
      <c r="AF110" s="62">
        <v>2.8611523339436132E-2</v>
      </c>
      <c r="AG110" s="62">
        <v>0.99501845864406879</v>
      </c>
      <c r="AH110" s="63">
        <v>0.93779541196519645</v>
      </c>
      <c r="AI110">
        <f t="shared" si="11"/>
        <v>11.443110719011967</v>
      </c>
      <c r="AJ110" s="64">
        <v>274.6346572562872</v>
      </c>
      <c r="AK110">
        <f t="shared" si="7"/>
        <v>11.443110719011967</v>
      </c>
      <c r="AM110" s="56">
        <v>79</v>
      </c>
      <c r="AN110" s="56">
        <f t="shared" si="8"/>
        <v>0.22305207316821907</v>
      </c>
    </row>
    <row r="111" spans="1:40" x14ac:dyDescent="0.25">
      <c r="A111" s="14">
        <v>390</v>
      </c>
      <c r="B111" s="14">
        <v>212.535</v>
      </c>
      <c r="C111" s="14">
        <v>89.460899999999995</v>
      </c>
      <c r="D111" s="14">
        <v>118.89400000000001</v>
      </c>
      <c r="E111" s="14">
        <v>408.262</v>
      </c>
      <c r="F111" s="14">
        <v>7.0659900000000002</v>
      </c>
      <c r="G111" s="14">
        <v>8.1262299999999996</v>
      </c>
      <c r="H111" s="14">
        <v>62.291800000000002</v>
      </c>
      <c r="I111" s="14">
        <v>75.084699999999998</v>
      </c>
      <c r="J111" s="7"/>
      <c r="M111" s="14"/>
      <c r="N111" s="14">
        <v>26.333300000000001</v>
      </c>
      <c r="O111" s="14">
        <v>4.3167499999999998E-2</v>
      </c>
      <c r="P111">
        <v>0</v>
      </c>
      <c r="Q111" s="57"/>
      <c r="R111" s="56">
        <f>N269</f>
        <v>79</v>
      </c>
      <c r="S111" s="56">
        <f>P269</f>
        <v>0.27140023400000002</v>
      </c>
      <c r="W111">
        <f t="shared" si="9"/>
        <v>395</v>
      </c>
      <c r="X111" s="14">
        <f t="shared" si="10"/>
        <v>154.19999999999999</v>
      </c>
      <c r="Z111">
        <v>79</v>
      </c>
      <c r="AA111" s="58">
        <v>405.44456342457005</v>
      </c>
      <c r="AB111" s="59">
        <v>20.608333331285923</v>
      </c>
      <c r="AC111" s="59">
        <v>426.05289675585595</v>
      </c>
      <c r="AD111" s="60">
        <v>384.83623009328414</v>
      </c>
      <c r="AE111" s="61">
        <v>0.96589185177068215</v>
      </c>
      <c r="AF111" s="62">
        <v>2.8995547916418993E-2</v>
      </c>
      <c r="AG111" s="62">
        <v>0.99488739968710116</v>
      </c>
      <c r="AH111" s="63">
        <v>0.93689630385426315</v>
      </c>
      <c r="AI111">
        <f t="shared" si="11"/>
        <v>11.720215810759727</v>
      </c>
      <c r="AJ111" s="64">
        <v>281.28517945823347</v>
      </c>
      <c r="AK111">
        <f t="shared" si="7"/>
        <v>11.720215810759727</v>
      </c>
      <c r="AM111" s="56">
        <v>80</v>
      </c>
      <c r="AN111" s="56">
        <f t="shared" si="8"/>
        <v>0.22305207316827591</v>
      </c>
    </row>
    <row r="112" spans="1:40" x14ac:dyDescent="0.25">
      <c r="A112" s="14">
        <v>395</v>
      </c>
      <c r="B112" s="14">
        <v>210.94399999999999</v>
      </c>
      <c r="C112" s="14">
        <v>87.990099999999998</v>
      </c>
      <c r="D112" s="14">
        <v>116.836</v>
      </c>
      <c r="E112" s="14">
        <v>407.76100000000002</v>
      </c>
      <c r="F112" s="14">
        <v>7.0659999999999998</v>
      </c>
      <c r="G112" s="14">
        <v>8.3255300000000005</v>
      </c>
      <c r="H112" s="14">
        <v>61.919199999999996</v>
      </c>
      <c r="I112" s="14">
        <v>74.406800000000004</v>
      </c>
      <c r="J112" s="7"/>
      <c r="M112" s="14"/>
      <c r="N112" s="14">
        <v>26.666699999999999</v>
      </c>
      <c r="O112" s="14">
        <v>2.6573699999999999E-2</v>
      </c>
      <c r="P112">
        <v>0</v>
      </c>
      <c r="Q112" s="57"/>
      <c r="R112" s="56">
        <f>N272</f>
        <v>80</v>
      </c>
      <c r="S112" s="56">
        <f>P272</f>
        <v>0.26347108199999997</v>
      </c>
      <c r="W112">
        <f t="shared" si="9"/>
        <v>400</v>
      </c>
      <c r="X112" s="14">
        <f t="shared" si="10"/>
        <v>151</v>
      </c>
      <c r="Z112">
        <v>80</v>
      </c>
      <c r="AA112" s="58">
        <v>405.22151135140183</v>
      </c>
      <c r="AB112" s="59">
        <v>20.552762089787098</v>
      </c>
      <c r="AC112" s="59">
        <v>425.77427344118894</v>
      </c>
      <c r="AD112" s="60">
        <v>384.66874926161472</v>
      </c>
      <c r="AE112" s="61">
        <v>0.96537676823673169</v>
      </c>
      <c r="AF112" s="62">
        <v>2.9380160921342244E-2</v>
      </c>
      <c r="AG112" s="62">
        <v>0.9947569291580739</v>
      </c>
      <c r="AH112" s="63">
        <v>0.93599660731538947</v>
      </c>
      <c r="AI112">
        <f t="shared" si="11"/>
        <v>11.728471070988512</v>
      </c>
      <c r="AJ112" s="64">
        <v>281.48330570372428</v>
      </c>
      <c r="AK112">
        <f t="shared" si="7"/>
        <v>11.728471070988512</v>
      </c>
      <c r="AM112" s="56">
        <v>81</v>
      </c>
      <c r="AN112" s="56">
        <f t="shared" si="8"/>
        <v>0.22305207316827591</v>
      </c>
    </row>
    <row r="113" spans="1:40" x14ac:dyDescent="0.25">
      <c r="A113" s="14">
        <v>400</v>
      </c>
      <c r="B113" s="14">
        <v>209.31899999999999</v>
      </c>
      <c r="C113" s="14">
        <v>86.588399999999993</v>
      </c>
      <c r="D113" s="14">
        <v>114.842</v>
      </c>
      <c r="E113" s="14">
        <v>407.173</v>
      </c>
      <c r="F113" s="14">
        <v>7.0659999999999998</v>
      </c>
      <c r="G113" s="14">
        <v>8.5243699999999993</v>
      </c>
      <c r="H113" s="14">
        <v>61.556199999999997</v>
      </c>
      <c r="I113" s="14">
        <v>73.748699999999999</v>
      </c>
      <c r="J113" s="7"/>
      <c r="M113" s="14"/>
      <c r="N113" s="14">
        <v>27</v>
      </c>
      <c r="O113" s="14">
        <v>4.28189E-2</v>
      </c>
      <c r="P113" s="14">
        <f>O113+O112+O111</f>
        <v>0.1125601</v>
      </c>
      <c r="Q113" s="57"/>
      <c r="R113" s="56">
        <f>N275</f>
        <v>81</v>
      </c>
      <c r="S113" s="56">
        <f>P275</f>
        <v>0.26297660499999997</v>
      </c>
      <c r="W113">
        <f t="shared" si="9"/>
        <v>405</v>
      </c>
      <c r="X113" s="14">
        <f t="shared" si="10"/>
        <v>147.9</v>
      </c>
      <c r="Z113">
        <v>81</v>
      </c>
      <c r="AA113" s="58">
        <v>404.99845927823355</v>
      </c>
      <c r="AB113" s="59">
        <v>20.498717837055203</v>
      </c>
      <c r="AC113" s="59">
        <v>425.49717711528876</v>
      </c>
      <c r="AD113" s="60">
        <v>384.49974144117834</v>
      </c>
      <c r="AE113" s="61">
        <v>0.96486168470278111</v>
      </c>
      <c r="AF113" s="62">
        <v>2.9765339544089817E-2</v>
      </c>
      <c r="AG113" s="62">
        <v>0.99462702424687088</v>
      </c>
      <c r="AH113" s="63">
        <v>0.93509634515869133</v>
      </c>
      <c r="AI113">
        <f t="shared" si="11"/>
        <v>11.238196424908841</v>
      </c>
      <c r="AJ113" s="64">
        <v>269.71671419781217</v>
      </c>
      <c r="AK113">
        <f t="shared" si="7"/>
        <v>11.238196424908841</v>
      </c>
      <c r="AM113" s="56">
        <v>82</v>
      </c>
      <c r="AN113" s="56">
        <f t="shared" si="8"/>
        <v>0.22305207316821907</v>
      </c>
    </row>
    <row r="114" spans="1:40" x14ac:dyDescent="0.25">
      <c r="A114" s="14">
        <v>405</v>
      </c>
      <c r="B114" s="14">
        <v>207.69300000000001</v>
      </c>
      <c r="C114" s="14">
        <v>85.235799999999998</v>
      </c>
      <c r="D114" s="14">
        <v>112.911</v>
      </c>
      <c r="E114" s="14">
        <v>406.66699999999997</v>
      </c>
      <c r="F114" s="14">
        <v>7.0659999999999998</v>
      </c>
      <c r="G114" s="14">
        <v>8.7232199999999995</v>
      </c>
      <c r="H114" s="14">
        <v>61.206200000000003</v>
      </c>
      <c r="I114" s="14">
        <v>73.109800000000007</v>
      </c>
      <c r="J114" s="7"/>
      <c r="M114" s="14"/>
      <c r="N114" s="14">
        <v>27.333300000000001</v>
      </c>
      <c r="O114" s="14">
        <v>2.7202E-2</v>
      </c>
      <c r="P114">
        <v>0</v>
      </c>
      <c r="Q114" s="57"/>
      <c r="R114" s="56">
        <f>N278</f>
        <v>82</v>
      </c>
      <c r="S114" s="56">
        <f>P278</f>
        <v>0.258506281</v>
      </c>
      <c r="W114">
        <f t="shared" si="9"/>
        <v>410</v>
      </c>
      <c r="X114" s="14">
        <f t="shared" si="10"/>
        <v>145.30000000000001</v>
      </c>
      <c r="Z114">
        <v>82</v>
      </c>
      <c r="AA114" s="58">
        <v>404.77540720506528</v>
      </c>
      <c r="AB114" s="59">
        <v>20.446212681688465</v>
      </c>
      <c r="AC114" s="59">
        <v>425.22161988675373</v>
      </c>
      <c r="AD114" s="60">
        <v>384.32919452337683</v>
      </c>
      <c r="AE114" s="61">
        <v>0.96434660116883053</v>
      </c>
      <c r="AF114" s="62">
        <v>3.0151062107433631E-2</v>
      </c>
      <c r="AG114" s="62">
        <v>0.99449766327626421</v>
      </c>
      <c r="AH114" s="63">
        <v>0.93419553906139685</v>
      </c>
      <c r="AI114">
        <f t="shared" si="11"/>
        <v>10.736815549547273</v>
      </c>
      <c r="AJ114" s="64">
        <v>257.68357318913456</v>
      </c>
      <c r="AK114">
        <f t="shared" si="7"/>
        <v>10.736815549547273</v>
      </c>
      <c r="AM114" s="56">
        <v>83</v>
      </c>
      <c r="AN114" s="56">
        <f t="shared" si="8"/>
        <v>0.22305207316816222</v>
      </c>
    </row>
    <row r="115" spans="1:40" x14ac:dyDescent="0.25">
      <c r="A115" s="14">
        <v>410</v>
      </c>
      <c r="B115" s="14">
        <v>206.08099999999999</v>
      </c>
      <c r="C115" s="14">
        <v>83.940600000000003</v>
      </c>
      <c r="D115" s="14">
        <v>111.04</v>
      </c>
      <c r="E115" s="14">
        <v>406.09899999999999</v>
      </c>
      <c r="F115" s="14">
        <v>7.0659999999999998</v>
      </c>
      <c r="G115" s="14">
        <v>8.9216099999999994</v>
      </c>
      <c r="H115" s="14">
        <v>60.866100000000003</v>
      </c>
      <c r="I115" s="14">
        <v>72.489800000000002</v>
      </c>
      <c r="J115" s="7"/>
      <c r="M115" s="14"/>
      <c r="N115" s="14">
        <v>27.666699999999999</v>
      </c>
      <c r="O115" s="14">
        <v>4.2000200000000001E-2</v>
      </c>
      <c r="P115">
        <v>0</v>
      </c>
      <c r="Q115" s="57"/>
      <c r="R115" s="56">
        <f>N281</f>
        <v>83</v>
      </c>
      <c r="S115" s="56">
        <f>P281</f>
        <v>0.262111818</v>
      </c>
      <c r="W115">
        <f t="shared" si="9"/>
        <v>415</v>
      </c>
      <c r="X115" s="14">
        <f t="shared" si="10"/>
        <v>142.6</v>
      </c>
      <c r="Z115">
        <v>83</v>
      </c>
      <c r="AA115" s="58">
        <v>404.55235513189706</v>
      </c>
      <c r="AB115" s="59">
        <v>20.395258510357017</v>
      </c>
      <c r="AC115" s="59">
        <v>424.94761364225405</v>
      </c>
      <c r="AD115" s="60">
        <v>384.15709662154006</v>
      </c>
      <c r="AE115" s="61">
        <v>0.96383151763488006</v>
      </c>
      <c r="AF115" s="62">
        <v>3.0537307999528179E-2</v>
      </c>
      <c r="AG115" s="62">
        <v>0.9943688256344082</v>
      </c>
      <c r="AH115" s="63">
        <v>0.93329420963535192</v>
      </c>
      <c r="AI115">
        <f t="shared" si="11"/>
        <v>10.487503290671038</v>
      </c>
      <c r="AJ115" s="64">
        <v>251.70007897610489</v>
      </c>
      <c r="AK115">
        <f t="shared" si="7"/>
        <v>10.487503290671038</v>
      </c>
      <c r="AM115" s="56">
        <v>84</v>
      </c>
      <c r="AN115" s="56">
        <f t="shared" si="8"/>
        <v>0.22305207316833275</v>
      </c>
    </row>
    <row r="116" spans="1:40" x14ac:dyDescent="0.25">
      <c r="A116" s="14">
        <v>415</v>
      </c>
      <c r="B116" s="14">
        <v>204.45699999999999</v>
      </c>
      <c r="C116" s="14">
        <v>82.692599999999999</v>
      </c>
      <c r="D116" s="14">
        <v>109.227</v>
      </c>
      <c r="E116" s="14">
        <v>405.529</v>
      </c>
      <c r="F116" s="14">
        <v>7.0660100000000003</v>
      </c>
      <c r="G116" s="14">
        <v>9.1199999999999992</v>
      </c>
      <c r="H116" s="14">
        <v>60.537399999999998</v>
      </c>
      <c r="I116" s="14">
        <v>71.887699999999995</v>
      </c>
      <c r="J116" s="7"/>
      <c r="M116" s="14"/>
      <c r="N116" s="14">
        <v>28</v>
      </c>
      <c r="O116" s="14">
        <v>2.7444400000000001E-2</v>
      </c>
      <c r="P116" s="14">
        <f>O116+O115+O114</f>
        <v>9.6646599999999999E-2</v>
      </c>
      <c r="Q116" s="57"/>
      <c r="R116" s="56">
        <f>N284</f>
        <v>84</v>
      </c>
      <c r="S116" s="56">
        <f>P284</f>
        <v>0.25616009200000001</v>
      </c>
      <c r="W116">
        <f t="shared" si="9"/>
        <v>420</v>
      </c>
      <c r="X116" s="14">
        <f t="shared" si="10"/>
        <v>140</v>
      </c>
      <c r="Z116">
        <v>84</v>
      </c>
      <c r="AA116" s="58">
        <v>404.3293030587289</v>
      </c>
      <c r="AB116" s="59">
        <v>20.345866975913296</v>
      </c>
      <c r="AC116" s="59">
        <v>424.67517003464218</v>
      </c>
      <c r="AD116" s="60">
        <v>383.98343608281562</v>
      </c>
      <c r="AE116" s="61">
        <v>0.96331643410092949</v>
      </c>
      <c r="AF116" s="62">
        <v>3.0924057611027525E-2</v>
      </c>
      <c r="AG116" s="62">
        <v>0.99424049171195705</v>
      </c>
      <c r="AH116" s="63">
        <v>0.93239237648990192</v>
      </c>
      <c r="AI116">
        <f t="shared" si="11"/>
        <v>10.68485544495528</v>
      </c>
      <c r="AJ116" s="64">
        <v>256.43653067892672</v>
      </c>
      <c r="AK116">
        <f t="shared" si="7"/>
        <v>10.68485544495528</v>
      </c>
      <c r="AM116" s="56">
        <v>85</v>
      </c>
      <c r="AN116" s="56">
        <f t="shared" si="8"/>
        <v>0.22305207316821907</v>
      </c>
    </row>
    <row r="117" spans="1:40" x14ac:dyDescent="0.25">
      <c r="A117" s="14">
        <v>420</v>
      </c>
      <c r="B117" s="14">
        <v>202.80600000000001</v>
      </c>
      <c r="C117" s="14">
        <v>81.495699999999999</v>
      </c>
      <c r="D117" s="14">
        <v>107.471</v>
      </c>
      <c r="E117" s="14">
        <v>405.05900000000003</v>
      </c>
      <c r="F117" s="14">
        <v>7.0660100000000003</v>
      </c>
      <c r="G117" s="14">
        <v>9.3179300000000005</v>
      </c>
      <c r="H117" s="14">
        <v>60.218699999999998</v>
      </c>
      <c r="I117" s="14">
        <v>71.303299999999993</v>
      </c>
      <c r="J117" s="7"/>
      <c r="M117" s="14"/>
      <c r="N117" s="14">
        <v>28.333300000000001</v>
      </c>
      <c r="O117" s="14">
        <v>4.2324300000000002E-2</v>
      </c>
      <c r="P117">
        <v>0</v>
      </c>
      <c r="Q117" s="57"/>
      <c r="R117" s="56">
        <f>N287</f>
        <v>85</v>
      </c>
      <c r="S117" s="56">
        <f>P287</f>
        <v>0.25060465900000001</v>
      </c>
      <c r="W117">
        <f t="shared" si="9"/>
        <v>425</v>
      </c>
      <c r="X117" s="14">
        <f t="shared" si="10"/>
        <v>137.4</v>
      </c>
      <c r="Z117">
        <v>85</v>
      </c>
      <c r="AA117" s="58">
        <v>404.10625098556056</v>
      </c>
      <c r="AB117" s="59">
        <v>20.298049485520647</v>
      </c>
      <c r="AC117" s="59">
        <v>424.40430047108123</v>
      </c>
      <c r="AD117" s="60">
        <v>383.8082015000399</v>
      </c>
      <c r="AE117" s="61">
        <v>0.96280135056697891</v>
      </c>
      <c r="AF117" s="62">
        <v>3.1311292276471461E-2</v>
      </c>
      <c r="AG117" s="62">
        <v>0.99411264284345036</v>
      </c>
      <c r="AH117" s="63">
        <v>0.93149005829050746</v>
      </c>
      <c r="AI117">
        <f t="shared" si="11"/>
        <v>10.890787121828316</v>
      </c>
      <c r="AJ117" s="64">
        <v>261.37889092387957</v>
      </c>
      <c r="AK117">
        <f t="shared" si="7"/>
        <v>10.890787121828316</v>
      </c>
      <c r="AM117" s="56">
        <v>86</v>
      </c>
      <c r="AN117" s="56">
        <f t="shared" si="8"/>
        <v>0.22305207316821907</v>
      </c>
    </row>
    <row r="118" spans="1:40" x14ac:dyDescent="0.25">
      <c r="A118" s="14">
        <v>425</v>
      </c>
      <c r="B118" s="14">
        <v>309.72899999999998</v>
      </c>
      <c r="C118" s="14">
        <v>80.3446</v>
      </c>
      <c r="D118" s="14">
        <v>105.77</v>
      </c>
      <c r="E118" s="14">
        <v>404.85500000000002</v>
      </c>
      <c r="F118" s="14">
        <v>1.69215</v>
      </c>
      <c r="G118" s="14">
        <v>9.5490200000000005</v>
      </c>
      <c r="H118" s="14">
        <v>59.9101</v>
      </c>
      <c r="I118" s="14">
        <v>70.735699999999994</v>
      </c>
      <c r="J118" s="7"/>
      <c r="M118" s="14"/>
      <c r="N118" s="14">
        <v>28.666699999999999</v>
      </c>
      <c r="O118" s="14">
        <v>2.7189000000000001E-2</v>
      </c>
      <c r="P118">
        <v>0</v>
      </c>
      <c r="Q118" s="57"/>
      <c r="R118" s="56">
        <f>N290</f>
        <v>86</v>
      </c>
      <c r="S118" s="56">
        <f>P290</f>
        <v>0.25545110799999998</v>
      </c>
      <c r="W118">
        <f t="shared" si="9"/>
        <v>430</v>
      </c>
      <c r="X118" s="14">
        <f t="shared" si="10"/>
        <v>134.80000000000001</v>
      </c>
      <c r="Z118">
        <v>86</v>
      </c>
      <c r="AA118" s="58">
        <v>403.88319891239234</v>
      </c>
      <c r="AB118" s="59">
        <v>20.25181718882407</v>
      </c>
      <c r="AC118" s="59">
        <v>424.13501610121642</v>
      </c>
      <c r="AD118" s="60">
        <v>383.63138172356827</v>
      </c>
      <c r="AE118" s="61">
        <v>0.96228626703302833</v>
      </c>
      <c r="AF118" s="62">
        <v>3.1698994219619331E-2</v>
      </c>
      <c r="AG118" s="62">
        <v>0.99398526125264763</v>
      </c>
      <c r="AH118" s="63">
        <v>0.93058727281340903</v>
      </c>
      <c r="AI118">
        <f t="shared" si="11"/>
        <v>11.096718798701346</v>
      </c>
      <c r="AJ118" s="64">
        <v>266.3212511688323</v>
      </c>
      <c r="AK118">
        <f t="shared" si="7"/>
        <v>11.096718798701346</v>
      </c>
      <c r="AM118" s="56">
        <v>87</v>
      </c>
      <c r="AN118" s="56">
        <f t="shared" si="8"/>
        <v>0.22305207316827591</v>
      </c>
    </row>
    <row r="119" spans="1:40" x14ac:dyDescent="0.25">
      <c r="A119" s="14">
        <v>430</v>
      </c>
      <c r="B119" s="14">
        <v>216.69900000000001</v>
      </c>
      <c r="C119" s="14">
        <v>79.345100000000002</v>
      </c>
      <c r="D119" s="14">
        <v>104.179</v>
      </c>
      <c r="E119" s="14">
        <v>404.85500000000002</v>
      </c>
      <c r="F119" s="14">
        <v>4.8828500000000004</v>
      </c>
      <c r="G119" s="14">
        <v>10.0197</v>
      </c>
      <c r="H119" s="14">
        <v>59.444299999999998</v>
      </c>
      <c r="I119" s="14">
        <v>67.931299999999993</v>
      </c>
      <c r="J119" s="7"/>
      <c r="M119" s="14"/>
      <c r="N119" s="14">
        <v>29</v>
      </c>
      <c r="O119" s="14">
        <v>4.2033599999999997E-2</v>
      </c>
      <c r="P119" s="14">
        <f>O119+O118+O117</f>
        <v>0.1115469</v>
      </c>
      <c r="Q119" s="57"/>
      <c r="R119" s="56">
        <f>N293</f>
        <v>87</v>
      </c>
      <c r="S119" s="56">
        <f>P293</f>
        <v>0.24963301199999999</v>
      </c>
      <c r="W119">
        <f t="shared" si="9"/>
        <v>435</v>
      </c>
      <c r="X119" s="14">
        <f t="shared" si="10"/>
        <v>132.1</v>
      </c>
      <c r="Z119">
        <v>87</v>
      </c>
      <c r="AA119" s="58">
        <v>403.66014683922413</v>
      </c>
      <c r="AB119" s="59">
        <v>20.20718096618802</v>
      </c>
      <c r="AC119" s="59">
        <v>423.86732780541217</v>
      </c>
      <c r="AD119" s="60">
        <v>383.45296587303608</v>
      </c>
      <c r="AE119" s="61">
        <v>0.96177118349907764</v>
      </c>
      <c r="AF119" s="62">
        <v>3.2087146502434154E-2</v>
      </c>
      <c r="AG119" s="62">
        <v>0.9938583300015118</v>
      </c>
      <c r="AH119" s="63">
        <v>0.92968403699664348</v>
      </c>
      <c r="AI119">
        <f t="shared" si="11"/>
        <v>11.30265047557438</v>
      </c>
      <c r="AJ119" s="64">
        <v>271.2636114137851</v>
      </c>
      <c r="AK119">
        <f t="shared" si="7"/>
        <v>11.30265047557438</v>
      </c>
      <c r="AM119" s="56">
        <v>88</v>
      </c>
      <c r="AN119" s="56">
        <f t="shared" si="8"/>
        <v>0.22305207316827591</v>
      </c>
    </row>
    <row r="120" spans="1:40" x14ac:dyDescent="0.25">
      <c r="A120" s="14">
        <v>435</v>
      </c>
      <c r="B120" s="14">
        <v>190.89599999999999</v>
      </c>
      <c r="C120" s="14">
        <v>78.179900000000004</v>
      </c>
      <c r="D120" s="14">
        <v>102.328</v>
      </c>
      <c r="E120" s="14">
        <v>404.85399999999998</v>
      </c>
      <c r="F120" s="14">
        <v>7.5728900000000001</v>
      </c>
      <c r="G120" s="14">
        <v>10.513199999999999</v>
      </c>
      <c r="H120" s="14">
        <v>59.150199999999998</v>
      </c>
      <c r="I120" s="14">
        <v>67.421000000000006</v>
      </c>
      <c r="J120" s="7"/>
      <c r="M120" s="14"/>
      <c r="N120" s="14">
        <v>29.333300000000001</v>
      </c>
      <c r="O120" s="14">
        <v>2.7764799999999999E-2</v>
      </c>
      <c r="P120">
        <v>0</v>
      </c>
      <c r="Q120" s="57"/>
      <c r="R120" s="56">
        <f>N296</f>
        <v>88</v>
      </c>
      <c r="S120" s="56">
        <f>P296</f>
        <v>0.25501374399999999</v>
      </c>
      <c r="W120">
        <f t="shared" si="9"/>
        <v>440</v>
      </c>
      <c r="X120" s="14">
        <f t="shared" si="10"/>
        <v>129.5</v>
      </c>
      <c r="Z120">
        <v>88</v>
      </c>
      <c r="AA120" s="58">
        <v>403.43709476605585</v>
      </c>
      <c r="AB120" s="59">
        <v>20.164151417027451</v>
      </c>
      <c r="AC120" s="59">
        <v>423.60124618308328</v>
      </c>
      <c r="AD120" s="60">
        <v>383.27294334902842</v>
      </c>
      <c r="AE120" s="61">
        <v>0.96125609996512706</v>
      </c>
      <c r="AF120" s="62">
        <v>3.2475732977444147E-2</v>
      </c>
      <c r="AG120" s="62">
        <v>0.99373183294257117</v>
      </c>
      <c r="AH120" s="63">
        <v>0.92878036698768296</v>
      </c>
      <c r="AI120">
        <f t="shared" si="11"/>
        <v>11.508582152447412</v>
      </c>
      <c r="AJ120" s="64">
        <v>276.20597165873789</v>
      </c>
      <c r="AK120">
        <f t="shared" si="7"/>
        <v>11.508582152447412</v>
      </c>
      <c r="AM120" s="56">
        <v>89</v>
      </c>
      <c r="AN120" s="56">
        <f t="shared" si="8"/>
        <v>0.22305207316821907</v>
      </c>
    </row>
    <row r="121" spans="1:40" x14ac:dyDescent="0.25">
      <c r="A121" s="14">
        <v>440</v>
      </c>
      <c r="B121" s="14">
        <v>186.697</v>
      </c>
      <c r="C121" s="14">
        <v>77.034199999999998</v>
      </c>
      <c r="D121" s="14">
        <v>100.575</v>
      </c>
      <c r="E121" s="14">
        <v>404.85399999999998</v>
      </c>
      <c r="F121" s="14">
        <v>7.7823399999999996</v>
      </c>
      <c r="G121" s="14">
        <v>10.987399999999999</v>
      </c>
      <c r="H121" s="14">
        <v>58.808700000000002</v>
      </c>
      <c r="I121" s="14">
        <v>66.9208</v>
      </c>
      <c r="J121" s="7"/>
      <c r="M121" s="14"/>
      <c r="N121" s="14">
        <v>29.666699999999999</v>
      </c>
      <c r="O121" s="14">
        <v>4.1256399999999999E-2</v>
      </c>
      <c r="P121">
        <v>0</v>
      </c>
      <c r="Q121" s="57"/>
      <c r="R121" s="56">
        <f>N299</f>
        <v>89</v>
      </c>
      <c r="S121" s="56">
        <f>P299</f>
        <v>0.25505660699999999</v>
      </c>
      <c r="W121">
        <f t="shared" si="9"/>
        <v>445</v>
      </c>
      <c r="X121" s="14">
        <f t="shared" si="10"/>
        <v>126.8</v>
      </c>
      <c r="Z121">
        <v>89</v>
      </c>
      <c r="AA121" s="58">
        <v>403.21404269288757</v>
      </c>
      <c r="AB121" s="59">
        <v>20.122738848257388</v>
      </c>
      <c r="AC121" s="59">
        <v>423.33678154114494</v>
      </c>
      <c r="AD121" s="60">
        <v>383.0913038446302</v>
      </c>
      <c r="AE121" s="61">
        <v>0.96074101643117671</v>
      </c>
      <c r="AF121" s="62">
        <v>3.2864738243232751E-2</v>
      </c>
      <c r="AG121" s="62">
        <v>0.99360575467440948</v>
      </c>
      <c r="AH121" s="63">
        <v>0.92787627818794394</v>
      </c>
      <c r="AI121">
        <f t="shared" si="11"/>
        <v>11.714513829320444</v>
      </c>
      <c r="AJ121" s="64">
        <v>281.14833190369063</v>
      </c>
      <c r="AK121">
        <f t="shared" si="7"/>
        <v>11.714513829320444</v>
      </c>
      <c r="AM121" s="56">
        <v>90</v>
      </c>
      <c r="AN121" s="56">
        <f t="shared" si="8"/>
        <v>0.22305207316821907</v>
      </c>
    </row>
    <row r="122" spans="1:40" x14ac:dyDescent="0.25">
      <c r="A122" s="14">
        <v>445</v>
      </c>
      <c r="B122" s="14">
        <v>164.16300000000001</v>
      </c>
      <c r="C122" s="14">
        <v>75.951300000000003</v>
      </c>
      <c r="D122" s="14">
        <v>98.879599999999996</v>
      </c>
      <c r="E122" s="14">
        <v>404.85399999999998</v>
      </c>
      <c r="F122" s="14">
        <v>16.1937</v>
      </c>
      <c r="G122" s="14">
        <v>11.4352</v>
      </c>
      <c r="H122" s="14">
        <v>58.505000000000003</v>
      </c>
      <c r="I122" s="14">
        <v>66.441199999999995</v>
      </c>
      <c r="J122" s="7"/>
      <c r="M122" s="14"/>
      <c r="N122" s="14">
        <v>30</v>
      </c>
      <c r="O122" s="14">
        <v>2.7990299999999999E-2</v>
      </c>
      <c r="P122" s="14">
        <f>O122+O121+O120</f>
        <v>9.7011500000000001E-2</v>
      </c>
      <c r="Q122" s="57"/>
      <c r="R122" s="56">
        <f>N302</f>
        <v>90</v>
      </c>
      <c r="S122" s="56">
        <f>P302</f>
        <v>0.254963098</v>
      </c>
      <c r="W122">
        <f t="shared" si="9"/>
        <v>450</v>
      </c>
      <c r="X122" s="14">
        <f t="shared" si="10"/>
        <v>124.2</v>
      </c>
      <c r="Z122">
        <v>90</v>
      </c>
      <c r="AA122" s="58">
        <v>402.99099061971935</v>
      </c>
      <c r="AB122" s="59">
        <v>20.082953262887944</v>
      </c>
      <c r="AC122" s="59">
        <v>423.0739438826073</v>
      </c>
      <c r="AD122" s="60">
        <v>382.90803735683141</v>
      </c>
      <c r="AE122" s="61">
        <v>0.96022593289722602</v>
      </c>
      <c r="AF122" s="62">
        <v>3.3254147602825773E-2</v>
      </c>
      <c r="AG122" s="62">
        <v>0.99348008050005177</v>
      </c>
      <c r="AH122" s="63">
        <v>0.92697178529440027</v>
      </c>
      <c r="AI122">
        <f t="shared" si="11"/>
        <v>11.920445506193476</v>
      </c>
      <c r="AJ122" s="64">
        <v>286.09069214864343</v>
      </c>
      <c r="AK122">
        <f t="shared" si="7"/>
        <v>11.920445506193476</v>
      </c>
      <c r="AM122" s="56">
        <v>91</v>
      </c>
      <c r="AN122" s="56">
        <f t="shared" si="8"/>
        <v>0.2254585389439967</v>
      </c>
    </row>
    <row r="123" spans="1:40" x14ac:dyDescent="0.25">
      <c r="A123" s="14">
        <v>450</v>
      </c>
      <c r="B123" s="14">
        <v>163.02600000000001</v>
      </c>
      <c r="C123" s="14">
        <v>74.981700000000004</v>
      </c>
      <c r="D123" s="14">
        <v>97.249300000000005</v>
      </c>
      <c r="E123" s="14">
        <v>404.72500000000002</v>
      </c>
      <c r="F123" s="14">
        <v>16.427399999999999</v>
      </c>
      <c r="G123" s="14">
        <v>11.8413</v>
      </c>
      <c r="H123" s="14">
        <v>58.241399999999999</v>
      </c>
      <c r="I123" s="14">
        <v>65.976200000000006</v>
      </c>
      <c r="J123" s="7"/>
      <c r="M123" s="14"/>
      <c r="N123" s="14">
        <v>30.333300000000001</v>
      </c>
      <c r="O123" s="14">
        <v>4.1591299999999998E-2</v>
      </c>
      <c r="P123">
        <v>0</v>
      </c>
      <c r="Q123" s="57"/>
      <c r="R123" s="56">
        <f>N305</f>
        <v>91</v>
      </c>
      <c r="S123" s="56">
        <f>P305</f>
        <v>0.25486565100000003</v>
      </c>
      <c r="W123">
        <f t="shared" si="9"/>
        <v>455</v>
      </c>
      <c r="X123" s="14">
        <f t="shared" si="10"/>
        <v>121.5</v>
      </c>
      <c r="Z123">
        <v>91</v>
      </c>
      <c r="AA123" s="58">
        <v>402.76793854655114</v>
      </c>
      <c r="AB123" s="59">
        <v>20.044804348791573</v>
      </c>
      <c r="AC123" s="59">
        <v>422.81274289534269</v>
      </c>
      <c r="AD123" s="60">
        <v>382.72313419775958</v>
      </c>
      <c r="AE123" s="61">
        <v>0.95971084936327544</v>
      </c>
      <c r="AF123" s="62">
        <v>3.3643947024765357E-2</v>
      </c>
      <c r="AG123" s="62">
        <v>0.99335479638804081</v>
      </c>
      <c r="AH123" s="63">
        <v>0.92606690233851008</v>
      </c>
      <c r="AI123">
        <f t="shared" si="11"/>
        <v>12.126377183066509</v>
      </c>
      <c r="AJ123" s="64">
        <v>291.03305239359622</v>
      </c>
      <c r="AK123">
        <f t="shared" si="7"/>
        <v>12.126377183066509</v>
      </c>
      <c r="AM123" s="56">
        <v>92</v>
      </c>
      <c r="AN123" s="56">
        <f t="shared" si="8"/>
        <v>0.22992726279699127</v>
      </c>
    </row>
    <row r="124" spans="1:40" x14ac:dyDescent="0.25">
      <c r="A124" s="14">
        <v>455</v>
      </c>
      <c r="B124" s="14">
        <v>374.61599999999999</v>
      </c>
      <c r="C124" s="14">
        <v>74.178399999999996</v>
      </c>
      <c r="D124" s="14">
        <v>95.956199999999995</v>
      </c>
      <c r="E124" s="14">
        <v>404.71300000000002</v>
      </c>
      <c r="F124" s="14">
        <v>0.33718700000000001</v>
      </c>
      <c r="G124" s="14">
        <v>12.3985</v>
      </c>
      <c r="H124" s="14">
        <v>54.020200000000003</v>
      </c>
      <c r="I124" s="14">
        <v>61.724899999999998</v>
      </c>
      <c r="J124" s="7"/>
      <c r="M124" s="14"/>
      <c r="N124" s="14">
        <v>30.666699999999999</v>
      </c>
      <c r="O124" s="14">
        <v>2.77191E-2</v>
      </c>
      <c r="P124">
        <v>0</v>
      </c>
      <c r="Q124" s="57"/>
      <c r="R124" s="56">
        <f>N308</f>
        <v>92</v>
      </c>
      <c r="S124" s="56">
        <f>P308</f>
        <v>0.250970148</v>
      </c>
      <c r="W124">
        <f t="shared" si="9"/>
        <v>460</v>
      </c>
      <c r="X124" s="14">
        <f t="shared" si="10"/>
        <v>118.8</v>
      </c>
      <c r="Z124">
        <v>92</v>
      </c>
      <c r="AA124" s="58">
        <v>402.54248000760714</v>
      </c>
      <c r="AB124" s="59">
        <v>20.009165825450268</v>
      </c>
      <c r="AC124" s="59">
        <v>422.55164583305742</v>
      </c>
      <c r="AD124" s="60">
        <v>382.53331418215686</v>
      </c>
      <c r="AE124" s="61">
        <v>0.95919040850214765</v>
      </c>
      <c r="AF124" s="62">
        <v>3.4047979761283285E-2</v>
      </c>
      <c r="AG124" s="62">
        <v>0.99323838826343092</v>
      </c>
      <c r="AH124" s="63">
        <v>0.92514242874086439</v>
      </c>
      <c r="AI124">
        <f t="shared" si="11"/>
        <v>11.99100496967049</v>
      </c>
      <c r="AJ124" s="64">
        <v>287.78411927209174</v>
      </c>
      <c r="AK124">
        <f t="shared" si="7"/>
        <v>11.99100496967049</v>
      </c>
      <c r="AM124" s="56">
        <v>93</v>
      </c>
      <c r="AN124" s="56">
        <f t="shared" si="8"/>
        <v>0.23002726542523533</v>
      </c>
    </row>
    <row r="125" spans="1:40" x14ac:dyDescent="0.25">
      <c r="A125" s="14">
        <v>460</v>
      </c>
      <c r="B125" s="14">
        <v>393.34100000000001</v>
      </c>
      <c r="C125" s="14">
        <v>73.115300000000005</v>
      </c>
      <c r="D125" s="14">
        <v>94.183700000000002</v>
      </c>
      <c r="E125" s="14">
        <v>404.71300000000002</v>
      </c>
      <c r="F125" s="14">
        <v>0.26005499999999998</v>
      </c>
      <c r="G125" s="14">
        <v>13.6808</v>
      </c>
      <c r="H125" s="14">
        <v>53.749899999999997</v>
      </c>
      <c r="I125" s="14">
        <v>61.350099999999998</v>
      </c>
      <c r="J125" s="7"/>
      <c r="M125" s="14"/>
      <c r="N125" s="14">
        <v>31</v>
      </c>
      <c r="O125" s="14">
        <v>4.1328499999999997E-2</v>
      </c>
      <c r="P125" s="14">
        <f>O125+O124+O123</f>
        <v>0.1106389</v>
      </c>
      <c r="Q125" s="57"/>
      <c r="R125" s="56">
        <f>N311</f>
        <v>93</v>
      </c>
      <c r="S125" s="56">
        <f>P311</f>
        <v>0.25386344599999999</v>
      </c>
      <c r="W125">
        <f t="shared" si="9"/>
        <v>465</v>
      </c>
      <c r="X125" s="14">
        <f t="shared" si="10"/>
        <v>116.1</v>
      </c>
      <c r="Z125">
        <v>93</v>
      </c>
      <c r="AA125" s="58">
        <v>402.31255274481015</v>
      </c>
      <c r="AB125" s="59">
        <v>19.977020047395076</v>
      </c>
      <c r="AC125" s="59">
        <v>422.28957279220521</v>
      </c>
      <c r="AD125" s="60">
        <v>382.33553269741509</v>
      </c>
      <c r="AE125" s="61">
        <v>0.95866001926943434</v>
      </c>
      <c r="AF125" s="62">
        <v>3.447811077175833E-2</v>
      </c>
      <c r="AG125" s="62">
        <v>0.99313813004119267</v>
      </c>
      <c r="AH125" s="63">
        <v>0.92418190849767601</v>
      </c>
      <c r="AI125">
        <f t="shared" si="11"/>
        <v>11.241445377481677</v>
      </c>
      <c r="AJ125" s="64">
        <v>269.79468905956026</v>
      </c>
      <c r="AK125">
        <f t="shared" si="7"/>
        <v>11.241445377481677</v>
      </c>
      <c r="AM125" s="56">
        <v>94</v>
      </c>
      <c r="AN125" s="56">
        <f t="shared" si="8"/>
        <v>0.2300272654254627</v>
      </c>
    </row>
    <row r="126" spans="1:40" x14ac:dyDescent="0.25">
      <c r="A126" s="14">
        <v>465</v>
      </c>
      <c r="B126" s="14">
        <v>397.79</v>
      </c>
      <c r="C126" s="14">
        <v>72.119100000000003</v>
      </c>
      <c r="D126" s="14">
        <v>92.599800000000002</v>
      </c>
      <c r="E126" s="14">
        <v>404.71300000000002</v>
      </c>
      <c r="F126" s="14">
        <v>0.20371900000000001</v>
      </c>
      <c r="G126" s="14">
        <v>14.7065</v>
      </c>
      <c r="H126" s="14">
        <v>53.487299999999998</v>
      </c>
      <c r="I126" s="14">
        <v>60.923200000000001</v>
      </c>
      <c r="J126" s="7"/>
      <c r="M126" s="14"/>
      <c r="N126" s="14">
        <v>31.333300000000001</v>
      </c>
      <c r="O126" s="14">
        <v>2.82869E-2</v>
      </c>
      <c r="P126">
        <v>0</v>
      </c>
      <c r="Q126" s="57"/>
      <c r="R126" s="56">
        <f>N314</f>
        <v>94</v>
      </c>
      <c r="S126" s="56">
        <f>P314</f>
        <v>0.25442898899999999</v>
      </c>
      <c r="W126">
        <f t="shared" si="9"/>
        <v>470</v>
      </c>
      <c r="X126" s="14">
        <f t="shared" si="10"/>
        <v>113.7</v>
      </c>
      <c r="Z126">
        <v>94</v>
      </c>
      <c r="AA126" s="58">
        <v>402.08252547938491</v>
      </c>
      <c r="AB126" s="59">
        <v>19.946924605127357</v>
      </c>
      <c r="AC126" s="59">
        <v>422.02945008451229</v>
      </c>
      <c r="AD126" s="60">
        <v>382.13560087425753</v>
      </c>
      <c r="AE126" s="61">
        <v>0.95812940740866437</v>
      </c>
      <c r="AF126" s="62">
        <v>3.4909172937094633E-2</v>
      </c>
      <c r="AG126" s="62">
        <v>0.99303858034575898</v>
      </c>
      <c r="AH126" s="63">
        <v>0.92322023447156976</v>
      </c>
      <c r="AI126">
        <f t="shared" si="11"/>
        <v>10.479462889873545</v>
      </c>
      <c r="AJ126" s="64">
        <v>251.50710935696509</v>
      </c>
      <c r="AK126">
        <f t="shared" si="7"/>
        <v>10.479462889873545</v>
      </c>
      <c r="AM126" s="56">
        <v>95</v>
      </c>
      <c r="AN126" s="56">
        <f t="shared" si="8"/>
        <v>0.23002726542534901</v>
      </c>
    </row>
    <row r="127" spans="1:40" x14ac:dyDescent="0.25">
      <c r="A127" s="14">
        <v>470</v>
      </c>
      <c r="B127" s="14">
        <v>401.11399999999998</v>
      </c>
      <c r="C127" s="14">
        <v>71.161600000000007</v>
      </c>
      <c r="D127" s="14">
        <v>91.047200000000004</v>
      </c>
      <c r="E127" s="14">
        <v>404.71300000000002</v>
      </c>
      <c r="F127" s="14">
        <v>0.147782</v>
      </c>
      <c r="G127" s="14">
        <v>15.488</v>
      </c>
      <c r="H127" s="14">
        <v>53.234000000000002</v>
      </c>
      <c r="I127" s="14">
        <v>60.516399999999997</v>
      </c>
      <c r="J127" s="7"/>
      <c r="M127" s="14"/>
      <c r="N127" s="14">
        <v>31.666699999999999</v>
      </c>
      <c r="O127" s="14">
        <v>4.0580199999999997E-2</v>
      </c>
      <c r="P127">
        <v>0</v>
      </c>
      <c r="Q127" s="57"/>
      <c r="R127" s="56">
        <f>N317</f>
        <v>95</v>
      </c>
      <c r="S127" s="56">
        <f>P317</f>
        <v>0.25065011100000001</v>
      </c>
      <c r="W127">
        <f t="shared" si="9"/>
        <v>475</v>
      </c>
      <c r="X127" s="14">
        <f t="shared" si="10"/>
        <v>111.3</v>
      </c>
      <c r="Z127">
        <v>95</v>
      </c>
      <c r="AA127" s="58">
        <v>401.85249821395945</v>
      </c>
      <c r="AB127" s="59">
        <v>19.918852664753249</v>
      </c>
      <c r="AC127" s="59">
        <v>421.77135087871272</v>
      </c>
      <c r="AD127" s="60">
        <v>381.93364554920618</v>
      </c>
      <c r="AE127" s="61">
        <v>0.9575987955478944</v>
      </c>
      <c r="AF127" s="62">
        <v>3.5340577409344869E-2</v>
      </c>
      <c r="AG127" s="62">
        <v>0.99293937295723922</v>
      </c>
      <c r="AH127" s="63">
        <v>0.92225821813854958</v>
      </c>
      <c r="AI127">
        <f t="shared" si="11"/>
        <v>9.717480402265414</v>
      </c>
      <c r="AJ127" s="64">
        <v>233.21952965436992</v>
      </c>
      <c r="AK127">
        <f t="shared" si="7"/>
        <v>9.717480402265414</v>
      </c>
      <c r="AM127" s="56">
        <v>96</v>
      </c>
      <c r="AN127" s="56">
        <f t="shared" si="8"/>
        <v>0.23002726542540586</v>
      </c>
    </row>
    <row r="128" spans="1:40" x14ac:dyDescent="0.25">
      <c r="A128" s="14">
        <v>475</v>
      </c>
      <c r="B128" s="14">
        <v>403.125</v>
      </c>
      <c r="C128" s="14">
        <v>70.241699999999994</v>
      </c>
      <c r="D128" s="14">
        <v>89.546099999999996</v>
      </c>
      <c r="E128" s="14">
        <v>404.71199999999999</v>
      </c>
      <c r="F128" s="14">
        <v>9.2779E-2</v>
      </c>
      <c r="G128" s="14">
        <v>16.031300000000002</v>
      </c>
      <c r="H128" s="14">
        <v>52.9893</v>
      </c>
      <c r="I128" s="14">
        <v>60.116300000000003</v>
      </c>
      <c r="J128" s="7"/>
      <c r="M128" s="14"/>
      <c r="N128" s="14">
        <v>32</v>
      </c>
      <c r="O128" s="14">
        <v>2.8496E-2</v>
      </c>
      <c r="P128" s="14">
        <f>O128+O127+O126</f>
        <v>9.7363100000000008E-2</v>
      </c>
      <c r="Q128" s="57"/>
      <c r="R128" s="56">
        <f>N320</f>
        <v>96</v>
      </c>
      <c r="S128" s="56">
        <f>P320</f>
        <v>0.25344390300000003</v>
      </c>
      <c r="W128">
        <f t="shared" si="9"/>
        <v>480</v>
      </c>
      <c r="X128" s="14">
        <f t="shared" si="10"/>
        <v>108.9</v>
      </c>
      <c r="Z128">
        <v>96</v>
      </c>
      <c r="AA128" s="58">
        <v>401.6224709485341</v>
      </c>
      <c r="AB128" s="59">
        <v>19.892812792729025</v>
      </c>
      <c r="AC128" s="59">
        <v>421.51528374126315</v>
      </c>
      <c r="AD128" s="60">
        <v>381.72965815580505</v>
      </c>
      <c r="AE128" s="61">
        <v>0.95706818368712443</v>
      </c>
      <c r="AF128" s="62">
        <v>3.5772311804122832E-2</v>
      </c>
      <c r="AG128" s="62">
        <v>0.99284049549124731</v>
      </c>
      <c r="AH128" s="63">
        <v>0.92129587188300155</v>
      </c>
      <c r="AI128">
        <f t="shared" si="11"/>
        <v>8.9554979146572808</v>
      </c>
      <c r="AJ128" s="64">
        <v>214.93194995177475</v>
      </c>
      <c r="AK128">
        <f t="shared" si="7"/>
        <v>8.9554979146572808</v>
      </c>
      <c r="AM128" s="56">
        <v>97</v>
      </c>
      <c r="AN128" s="56">
        <f t="shared" si="8"/>
        <v>0.23579936494769527</v>
      </c>
    </row>
    <row r="129" spans="1:40" x14ac:dyDescent="0.25">
      <c r="A129" s="14">
        <v>480</v>
      </c>
      <c r="B129" s="14">
        <v>403.64499999999998</v>
      </c>
      <c r="C129" s="14">
        <v>69.357699999999994</v>
      </c>
      <c r="D129" s="14">
        <v>88.091200000000001</v>
      </c>
      <c r="E129" s="14">
        <v>404.71199999999999</v>
      </c>
      <c r="F129" s="14">
        <v>6.93299E-2</v>
      </c>
      <c r="G129" s="14">
        <v>16.384499999999999</v>
      </c>
      <c r="H129" s="14">
        <v>52.752899999999997</v>
      </c>
      <c r="I129" s="14">
        <v>59.724899999999998</v>
      </c>
      <c r="J129" s="7"/>
      <c r="M129" s="14"/>
      <c r="N129" s="14">
        <v>32.333300000000001</v>
      </c>
      <c r="O129" s="14">
        <v>4.0926799999999999E-2</v>
      </c>
      <c r="P129">
        <v>0</v>
      </c>
      <c r="Q129" s="57"/>
      <c r="R129" s="56">
        <f>N323</f>
        <v>97</v>
      </c>
      <c r="S129" s="56">
        <f>P323</f>
        <v>0.24912572899999999</v>
      </c>
      <c r="W129">
        <f t="shared" si="9"/>
        <v>485</v>
      </c>
      <c r="X129" s="14">
        <f t="shared" si="10"/>
        <v>106.5</v>
      </c>
      <c r="Z129">
        <v>97</v>
      </c>
      <c r="AA129" s="58">
        <v>401.3924436831087</v>
      </c>
      <c r="AB129" s="59">
        <v>19.868812978683071</v>
      </c>
      <c r="AC129" s="59">
        <v>421.26125666179178</v>
      </c>
      <c r="AD129" s="60">
        <v>381.52363070442561</v>
      </c>
      <c r="AE129" s="61">
        <v>0.95653757182635435</v>
      </c>
      <c r="AF129" s="62">
        <v>3.6204364318524203E-2</v>
      </c>
      <c r="AG129" s="62">
        <v>0.9927419361448786</v>
      </c>
      <c r="AH129" s="63">
        <v>0.9203332075078301</v>
      </c>
      <c r="AI129">
        <f t="shared" si="11"/>
        <v>8.1935154270491495</v>
      </c>
      <c r="AJ129" s="64">
        <v>196.64437024917959</v>
      </c>
      <c r="AK129">
        <f t="shared" si="7"/>
        <v>8.1935154270491495</v>
      </c>
      <c r="AM129" s="56">
        <v>98</v>
      </c>
      <c r="AN129" s="56">
        <f t="shared" si="8"/>
        <v>0.24596574598098186</v>
      </c>
    </row>
    <row r="130" spans="1:40" x14ac:dyDescent="0.25">
      <c r="A130" s="14">
        <v>485</v>
      </c>
      <c r="B130" s="14">
        <v>363.202</v>
      </c>
      <c r="C130" s="14">
        <v>68.508099999999999</v>
      </c>
      <c r="D130" s="14">
        <v>86.683499999999995</v>
      </c>
      <c r="E130" s="14">
        <v>404.71199999999999</v>
      </c>
      <c r="F130" s="14">
        <v>0.351609</v>
      </c>
      <c r="G130" s="14">
        <v>17.8325</v>
      </c>
      <c r="H130" s="14">
        <v>52.524700000000003</v>
      </c>
      <c r="I130" s="14">
        <v>59.345300000000002</v>
      </c>
      <c r="J130" s="7"/>
      <c r="M130" s="14"/>
      <c r="N130" s="14">
        <v>32.666699999999999</v>
      </c>
      <c r="O130" s="14">
        <v>2.82099E-2</v>
      </c>
      <c r="P130">
        <v>0</v>
      </c>
      <c r="Q130" s="57"/>
      <c r="R130" s="56">
        <f>N326</f>
        <v>98</v>
      </c>
      <c r="S130" s="56">
        <f>P326</f>
        <v>0.24916935300000001</v>
      </c>
      <c r="W130">
        <f t="shared" si="9"/>
        <v>490</v>
      </c>
      <c r="X130" s="14">
        <f t="shared" si="10"/>
        <v>104.2</v>
      </c>
      <c r="Z130">
        <v>98</v>
      </c>
      <c r="AA130" s="58">
        <v>401.156644318161</v>
      </c>
      <c r="AB130" s="59">
        <v>19.837539483362487</v>
      </c>
      <c r="AC130" s="59">
        <v>420.99418380152349</v>
      </c>
      <c r="AD130" s="60">
        <v>381.31910483479851</v>
      </c>
      <c r="AE130" s="61">
        <v>0.95599396864259378</v>
      </c>
      <c r="AF130" s="62">
        <v>3.6632672237966152E-2</v>
      </c>
      <c r="AG130" s="62">
        <v>0.99262664088055996</v>
      </c>
      <c r="AH130" s="63">
        <v>0.9193612964046276</v>
      </c>
      <c r="AI130">
        <f t="shared" si="11"/>
        <v>6.2097049416846426</v>
      </c>
      <c r="AJ130" s="64">
        <v>149.03291860043143</v>
      </c>
      <c r="AK130">
        <f t="shared" si="7"/>
        <v>6.2097049416846426</v>
      </c>
      <c r="AM130" s="56">
        <v>99</v>
      </c>
      <c r="AN130" s="56">
        <f t="shared" si="8"/>
        <v>0.24615702425950303</v>
      </c>
    </row>
    <row r="131" spans="1:40" x14ac:dyDescent="0.25">
      <c r="A131" s="14">
        <v>490</v>
      </c>
      <c r="B131" s="14">
        <v>150.75200000000001</v>
      </c>
      <c r="C131" s="14">
        <v>67.691400000000002</v>
      </c>
      <c r="D131" s="14">
        <v>85.328599999999994</v>
      </c>
      <c r="E131" s="14">
        <v>404.71199999999999</v>
      </c>
      <c r="F131" s="14">
        <v>0.35240300000000002</v>
      </c>
      <c r="G131" s="14">
        <v>19.3658</v>
      </c>
      <c r="H131" s="14">
        <v>52.304400000000001</v>
      </c>
      <c r="I131" s="14">
        <v>58.975900000000003</v>
      </c>
      <c r="J131" s="7"/>
      <c r="M131" s="14"/>
      <c r="N131" s="14">
        <v>33</v>
      </c>
      <c r="O131" s="14">
        <v>4.0689200000000002E-2</v>
      </c>
      <c r="P131" s="14">
        <f>O131+O130+O129</f>
        <v>0.1098259</v>
      </c>
      <c r="Q131" s="57"/>
      <c r="R131" s="56">
        <f>N329</f>
        <v>99</v>
      </c>
      <c r="S131" s="56">
        <f>P329</f>
        <v>0.24817952400000001</v>
      </c>
      <c r="W131">
        <f t="shared" si="9"/>
        <v>495</v>
      </c>
      <c r="X131" s="14">
        <f t="shared" si="10"/>
        <v>102.6</v>
      </c>
      <c r="Z131">
        <v>99</v>
      </c>
      <c r="AA131" s="58">
        <v>400.91067857218002</v>
      </c>
      <c r="AB131" s="59">
        <v>19.7918650045596</v>
      </c>
      <c r="AC131" s="59">
        <v>420.70254357673963</v>
      </c>
      <c r="AD131" s="60">
        <v>381.11881356762041</v>
      </c>
      <c r="AE131" s="61">
        <v>0.95542748388183751</v>
      </c>
      <c r="AF131" s="62">
        <v>3.7054351046231018E-2</v>
      </c>
      <c r="AG131" s="62">
        <v>0.99248183492806852</v>
      </c>
      <c r="AH131" s="63">
        <v>0.91837313283560651</v>
      </c>
      <c r="AI131">
        <f t="shared" si="11"/>
        <v>5.9017947444887513</v>
      </c>
      <c r="AJ131" s="64">
        <v>141.64307386773004</v>
      </c>
      <c r="AK131">
        <f t="shared" si="7"/>
        <v>5.9017947444887513</v>
      </c>
      <c r="AM131" s="56">
        <v>100</v>
      </c>
      <c r="AN131" s="56">
        <f t="shared" si="8"/>
        <v>0.24615702425955988</v>
      </c>
    </row>
    <row r="132" spans="1:40" x14ac:dyDescent="0.25">
      <c r="A132" s="14">
        <v>495</v>
      </c>
      <c r="B132" s="14">
        <v>395.09500000000003</v>
      </c>
      <c r="C132" s="14">
        <v>66.906099999999995</v>
      </c>
      <c r="D132" s="14">
        <v>84.018600000000006</v>
      </c>
      <c r="E132" s="14">
        <v>404.71199999999999</v>
      </c>
      <c r="F132" s="14">
        <v>1.7324800000000001E-4</v>
      </c>
      <c r="G132" s="14">
        <v>20.902899999999999</v>
      </c>
      <c r="H132" s="14">
        <v>52.091500000000003</v>
      </c>
      <c r="I132" s="14">
        <v>58.617400000000004</v>
      </c>
      <c r="J132" s="7"/>
      <c r="M132" s="14"/>
      <c r="N132" s="14">
        <v>33.333300000000001</v>
      </c>
      <c r="O132" s="14">
        <v>2.8770199999999999E-2</v>
      </c>
      <c r="P132">
        <v>0</v>
      </c>
      <c r="Q132" s="57"/>
      <c r="R132" s="56">
        <f>N332</f>
        <v>100</v>
      </c>
      <c r="S132" s="56">
        <f>P332</f>
        <v>0.248168641</v>
      </c>
      <c r="W132">
        <f t="shared" si="9"/>
        <v>500</v>
      </c>
      <c r="X132" s="14">
        <f t="shared" si="10"/>
        <v>101.2</v>
      </c>
      <c r="Z132">
        <v>100</v>
      </c>
      <c r="AA132" s="58">
        <v>400.66452154792051</v>
      </c>
      <c r="AB132" s="59">
        <v>19.747892771192362</v>
      </c>
      <c r="AC132" s="59">
        <v>420.41241431911288</v>
      </c>
      <c r="AD132" s="60">
        <v>380.91662877672815</v>
      </c>
      <c r="AE132" s="61">
        <v>0.95486056860911772</v>
      </c>
      <c r="AF132" s="62">
        <v>3.7476490184978679E-2</v>
      </c>
      <c r="AG132" s="62">
        <v>0.99233705879409639</v>
      </c>
      <c r="AH132" s="63">
        <v>0.91738407842413905</v>
      </c>
      <c r="AI132">
        <f t="shared" si="11"/>
        <v>10.069851673184884</v>
      </c>
      <c r="AJ132" s="64">
        <v>241.67644015643722</v>
      </c>
      <c r="AK132">
        <f t="shared" si="7"/>
        <v>10.069851673184884</v>
      </c>
      <c r="AM132" s="56">
        <v>101</v>
      </c>
      <c r="AN132" s="56">
        <f t="shared" si="8"/>
        <v>0.24615702425955988</v>
      </c>
    </row>
    <row r="133" spans="1:40" x14ac:dyDescent="0.25">
      <c r="A133" s="14">
        <v>500</v>
      </c>
      <c r="B133" s="14" t="s">
        <v>98</v>
      </c>
      <c r="C133" s="14">
        <v>66.592600000000004</v>
      </c>
      <c r="D133" s="14">
        <v>83.881699999999995</v>
      </c>
      <c r="E133" s="14">
        <v>404.71199999999999</v>
      </c>
      <c r="F133" s="14" t="s">
        <v>98</v>
      </c>
      <c r="G133" s="14" t="s">
        <v>98</v>
      </c>
      <c r="H133" s="14" t="s">
        <v>98</v>
      </c>
      <c r="I133" s="14" t="s">
        <v>98</v>
      </c>
      <c r="J133" s="7"/>
      <c r="M133" s="14"/>
      <c r="N133" s="14">
        <v>33.666699999999999</v>
      </c>
      <c r="O133" s="14">
        <v>3.9967000000000003E-2</v>
      </c>
      <c r="P133">
        <v>0</v>
      </c>
      <c r="Q133" s="57"/>
      <c r="R133" s="56">
        <f>N335</f>
        <v>101</v>
      </c>
      <c r="S133" s="56">
        <f>P335</f>
        <v>0.39255397300000006</v>
      </c>
      <c r="Z133">
        <v>101</v>
      </c>
      <c r="AA133" s="58">
        <v>400.41836452366096</v>
      </c>
      <c r="AB133" s="59">
        <v>19.705944988149255</v>
      </c>
      <c r="AC133" s="59">
        <v>420.12430951181022</v>
      </c>
      <c r="AD133" s="60">
        <v>380.71241953551169</v>
      </c>
      <c r="AE133" s="61">
        <v>0.95429365333639793</v>
      </c>
      <c r="AF133" s="62">
        <v>3.7899203480964753E-2</v>
      </c>
      <c r="AG133" s="62">
        <v>0.99219285681736269</v>
      </c>
      <c r="AH133" s="63">
        <v>0.91639444985543317</v>
      </c>
      <c r="AI133">
        <f t="shared" si="11"/>
        <v>10.380515353523508</v>
      </c>
      <c r="AJ133" s="64">
        <v>249.13236848456418</v>
      </c>
      <c r="AK133">
        <f t="shared" si="7"/>
        <v>10.380515353523508</v>
      </c>
      <c r="AM133" s="56">
        <v>102</v>
      </c>
      <c r="AN133" s="56">
        <f t="shared" si="8"/>
        <v>0.24615702425950303</v>
      </c>
    </row>
    <row r="134" spans="1:40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7"/>
      <c r="M134" s="14"/>
      <c r="N134" s="14">
        <v>34</v>
      </c>
      <c r="O134" s="14">
        <v>2.89623E-2</v>
      </c>
      <c r="P134" s="14">
        <f>O134+O133+O132</f>
        <v>9.7699499999999995E-2</v>
      </c>
      <c r="Q134" s="57"/>
      <c r="R134" s="56">
        <f>N338</f>
        <v>102</v>
      </c>
      <c r="S134" s="56">
        <f>P338</f>
        <v>0.15318522999999998</v>
      </c>
      <c r="Z134">
        <v>102</v>
      </c>
      <c r="AA134" s="58">
        <v>400.1722074994014</v>
      </c>
      <c r="AB134" s="59">
        <v>19.666034609932709</v>
      </c>
      <c r="AC134" s="59">
        <v>419.83824210933409</v>
      </c>
      <c r="AD134" s="60">
        <v>380.5061728894687</v>
      </c>
      <c r="AE134" s="61">
        <v>0.95372673806367825</v>
      </c>
      <c r="AF134" s="62">
        <v>3.8322471934592324E-2</v>
      </c>
      <c r="AG134" s="62">
        <v>0.99204920999827062</v>
      </c>
      <c r="AH134" s="63">
        <v>0.91540426612908588</v>
      </c>
      <c r="AI134">
        <f t="shared" si="11"/>
        <v>10.60902700085307</v>
      </c>
      <c r="AJ134" s="64">
        <v>254.61664802047369</v>
      </c>
      <c r="AK134">
        <f t="shared" si="7"/>
        <v>10.60902700085307</v>
      </c>
      <c r="AM134" s="56">
        <v>103</v>
      </c>
      <c r="AN134" s="56">
        <f t="shared" si="8"/>
        <v>0.24615702425955988</v>
      </c>
    </row>
    <row r="135" spans="1:40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7"/>
      <c r="M135" s="14"/>
      <c r="N135" s="14">
        <v>34.333300000000001</v>
      </c>
      <c r="O135" s="14">
        <v>4.0261199999999997E-2</v>
      </c>
      <c r="P135">
        <v>0</v>
      </c>
      <c r="Q135" s="57"/>
      <c r="R135" s="56">
        <f>N341</f>
        <v>103</v>
      </c>
      <c r="S135" s="56">
        <f>P341</f>
        <v>0.29992764</v>
      </c>
      <c r="Z135">
        <v>103</v>
      </c>
      <c r="AA135" s="58">
        <v>399.92605047514189</v>
      </c>
      <c r="AB135" s="59">
        <v>19.628174064640547</v>
      </c>
      <c r="AC135" s="59">
        <v>419.55422453978247</v>
      </c>
      <c r="AD135" s="60">
        <v>380.29787641050132</v>
      </c>
      <c r="AE135" s="61">
        <v>0.95315982279095857</v>
      </c>
      <c r="AF135" s="62">
        <v>3.8746277352062493E-2</v>
      </c>
      <c r="AG135" s="62">
        <v>0.99190610014302105</v>
      </c>
      <c r="AH135" s="63">
        <v>0.91441354543889608</v>
      </c>
      <c r="AI135">
        <f t="shared" si="11"/>
        <v>10.837538648182635</v>
      </c>
      <c r="AJ135" s="64">
        <v>260.10092755638323</v>
      </c>
      <c r="AK135">
        <f t="shared" si="7"/>
        <v>10.837538648182635</v>
      </c>
      <c r="AM135" s="56">
        <v>104</v>
      </c>
      <c r="AN135" s="56">
        <f t="shared" si="8"/>
        <v>0.2475800094390479</v>
      </c>
    </row>
    <row r="136" spans="1:40" x14ac:dyDescent="0.25">
      <c r="A136" s="14" t="s">
        <v>75</v>
      </c>
      <c r="B136" s="14" t="s">
        <v>74</v>
      </c>
      <c r="C136" s="14" t="s">
        <v>76</v>
      </c>
      <c r="D136" s="14" t="s">
        <v>74</v>
      </c>
      <c r="E136" s="14" t="s">
        <v>77</v>
      </c>
      <c r="F136" s="14" t="s">
        <v>78</v>
      </c>
      <c r="G136" s="14" t="s">
        <v>13</v>
      </c>
      <c r="H136" s="14">
        <v>33.232500000000002</v>
      </c>
      <c r="I136" s="14"/>
      <c r="J136" s="7"/>
      <c r="M136" s="14"/>
      <c r="N136" s="14">
        <v>34.666699999999999</v>
      </c>
      <c r="O136" s="14">
        <v>2.8797900000000001E-2</v>
      </c>
      <c r="P136">
        <v>0</v>
      </c>
      <c r="Q136" s="57"/>
      <c r="R136" s="56">
        <f>N344</f>
        <v>104</v>
      </c>
      <c r="S136" s="56">
        <f>P344</f>
        <v>0.16228974999999998</v>
      </c>
      <c r="Z136">
        <v>104</v>
      </c>
      <c r="AA136" s="58">
        <v>399.67989345088233</v>
      </c>
      <c r="AB136" s="59">
        <v>19.592375235643033</v>
      </c>
      <c r="AC136" s="59">
        <v>419.27226868652536</v>
      </c>
      <c r="AD136" s="60">
        <v>380.0875182152393</v>
      </c>
      <c r="AE136" s="61">
        <v>0.952592907518239</v>
      </c>
      <c r="AF136" s="62">
        <v>3.9170602304375739E-2</v>
      </c>
      <c r="AG136" s="62">
        <v>0.99176350982261474</v>
      </c>
      <c r="AH136" s="63">
        <v>0.91342230521386325</v>
      </c>
      <c r="AI136">
        <f t="shared" si="11"/>
        <v>11.066050295512198</v>
      </c>
      <c r="AJ136" s="64">
        <v>265.58520709229276</v>
      </c>
      <c r="AK136">
        <f t="shared" si="7"/>
        <v>11.066050295512198</v>
      </c>
      <c r="AM136" s="56">
        <v>105</v>
      </c>
      <c r="AN136" s="56">
        <f t="shared" si="8"/>
        <v>0.25027938311893649</v>
      </c>
    </row>
    <row r="137" spans="1:40" x14ac:dyDescent="0.25">
      <c r="A137" s="14" t="s">
        <v>79</v>
      </c>
      <c r="B137" s="14" t="s">
        <v>80</v>
      </c>
      <c r="C137" s="14" t="s">
        <v>81</v>
      </c>
      <c r="D137" s="14" t="s">
        <v>82</v>
      </c>
      <c r="E137" s="14" t="s">
        <v>13</v>
      </c>
      <c r="F137" s="14">
        <v>302495</v>
      </c>
      <c r="G137" s="14"/>
      <c r="H137" s="14"/>
      <c r="I137" s="14"/>
      <c r="J137" s="7"/>
      <c r="M137" s="14"/>
      <c r="N137" s="14">
        <v>35</v>
      </c>
      <c r="O137" s="14">
        <v>3.9900600000000001E-2</v>
      </c>
      <c r="P137" s="14">
        <f>O137+O136+O135</f>
        <v>0.10895969999999999</v>
      </c>
      <c r="Q137" s="57"/>
      <c r="R137" s="56">
        <f>N347</f>
        <v>105</v>
      </c>
      <c r="S137" s="56">
        <f>P347</f>
        <v>0.32886567999999999</v>
      </c>
      <c r="Z137">
        <v>105</v>
      </c>
      <c r="AA137" s="58">
        <v>399.43231344144328</v>
      </c>
      <c r="AB137" s="59">
        <v>19.560718810094297</v>
      </c>
      <c r="AC137" s="59">
        <v>418.99303225153756</v>
      </c>
      <c r="AD137" s="60">
        <v>379.87159463134901</v>
      </c>
      <c r="AE137" s="61">
        <v>0.95202226608850649</v>
      </c>
      <c r="AF137" s="62">
        <v>3.9592339213746872E-2</v>
      </c>
      <c r="AG137" s="62">
        <v>0.99161460530225332</v>
      </c>
      <c r="AH137" s="63">
        <v>0.91242992687475966</v>
      </c>
      <c r="AI137">
        <f t="shared" si="11"/>
        <v>10.967893509410166</v>
      </c>
      <c r="AJ137" s="64">
        <v>263.22944422584396</v>
      </c>
      <c r="AK137">
        <f t="shared" si="7"/>
        <v>10.967893509410166</v>
      </c>
      <c r="AM137" s="56">
        <v>106</v>
      </c>
      <c r="AN137" s="56">
        <f t="shared" si="8"/>
        <v>0.25034388919357298</v>
      </c>
    </row>
    <row r="138" spans="1:40" x14ac:dyDescent="0.25">
      <c r="A138" s="14" t="s">
        <v>83</v>
      </c>
      <c r="B138" s="14" t="s">
        <v>80</v>
      </c>
      <c r="C138" s="14" t="s">
        <v>84</v>
      </c>
      <c r="D138" s="14" t="s">
        <v>82</v>
      </c>
      <c r="E138" s="14" t="s">
        <v>13</v>
      </c>
      <c r="F138" s="14">
        <v>34706.1</v>
      </c>
      <c r="G138" s="14"/>
      <c r="H138" s="14"/>
      <c r="I138" s="14"/>
      <c r="J138" s="7"/>
      <c r="M138" s="14"/>
      <c r="N138" s="14">
        <v>35.333300000000001</v>
      </c>
      <c r="O138" s="14">
        <v>2.9347700000000001E-2</v>
      </c>
      <c r="P138">
        <v>0</v>
      </c>
      <c r="Q138" s="57"/>
      <c r="R138" s="56">
        <f>N350</f>
        <v>106</v>
      </c>
      <c r="S138" s="56">
        <f>P350</f>
        <v>0.18225374999999999</v>
      </c>
      <c r="Z138">
        <v>106</v>
      </c>
      <c r="AA138" s="58">
        <v>399.18203405832435</v>
      </c>
      <c r="AB138" s="59">
        <v>19.535030594513223</v>
      </c>
      <c r="AC138" s="59">
        <v>418.71706465283756</v>
      </c>
      <c r="AD138" s="60">
        <v>379.64700346381113</v>
      </c>
      <c r="AE138" s="61">
        <v>0.95144455621539792</v>
      </c>
      <c r="AF138" s="62">
        <v>4.0008681288966369E-2</v>
      </c>
      <c r="AG138" s="62">
        <v>0.99145323750436432</v>
      </c>
      <c r="AH138" s="63">
        <v>0.91143587492643152</v>
      </c>
      <c r="AI138">
        <f t="shared" si="11"/>
        <v>10.255561048257348</v>
      </c>
      <c r="AJ138" s="64">
        <v>246.13346515817636</v>
      </c>
      <c r="AK138">
        <f t="shared" si="7"/>
        <v>10.255561048257348</v>
      </c>
      <c r="AM138" s="56">
        <v>107</v>
      </c>
      <c r="AN138" s="56">
        <f t="shared" si="8"/>
        <v>0.2650765153803718</v>
      </c>
    </row>
    <row r="139" spans="1:40" x14ac:dyDescent="0.25">
      <c r="A139" s="14" t="s">
        <v>79</v>
      </c>
      <c r="B139" s="14" t="s">
        <v>85</v>
      </c>
      <c r="C139" s="14" t="s">
        <v>86</v>
      </c>
      <c r="D139" s="14" t="s">
        <v>87</v>
      </c>
      <c r="E139" s="14" t="s">
        <v>82</v>
      </c>
      <c r="F139" s="14" t="s">
        <v>13</v>
      </c>
      <c r="G139" s="14" t="s">
        <v>98</v>
      </c>
      <c r="H139" s="14"/>
      <c r="I139" s="14"/>
      <c r="J139" s="7"/>
      <c r="M139" s="14"/>
      <c r="N139" s="14">
        <v>35.666699999999999</v>
      </c>
      <c r="O139" s="14">
        <v>3.9434900000000002E-2</v>
      </c>
      <c r="P139">
        <v>0</v>
      </c>
      <c r="Q139" s="57"/>
      <c r="R139" s="56">
        <f>N353</f>
        <v>107</v>
      </c>
      <c r="S139" s="56">
        <f>P353</f>
        <v>0.40241723000000001</v>
      </c>
      <c r="Z139">
        <v>107</v>
      </c>
      <c r="AA139" s="58">
        <v>398.93169016913077</v>
      </c>
      <c r="AB139" s="59">
        <v>19.511466428172287</v>
      </c>
      <c r="AC139" s="59">
        <v>418.44315659730307</v>
      </c>
      <c r="AD139" s="60">
        <v>379.42022374095848</v>
      </c>
      <c r="AE139" s="61">
        <v>0.95086667742994468</v>
      </c>
      <c r="AF139" s="62">
        <v>4.0425328336322501E-2</v>
      </c>
      <c r="AG139" s="62">
        <v>0.99129200576626719</v>
      </c>
      <c r="AH139" s="63">
        <v>0.91044134909362218</v>
      </c>
      <c r="AI139">
        <f t="shared" si="11"/>
        <v>9.5289458291818043</v>
      </c>
      <c r="AJ139" s="64">
        <v>228.6946999003633</v>
      </c>
      <c r="AK139">
        <f t="shared" si="7"/>
        <v>9.5289458291818043</v>
      </c>
      <c r="AM139" s="56">
        <v>108</v>
      </c>
      <c r="AN139" s="56">
        <f t="shared" si="8"/>
        <v>0.29235303601666374</v>
      </c>
    </row>
    <row r="140" spans="1:40" x14ac:dyDescent="0.25">
      <c r="A140" s="14" t="s">
        <v>88</v>
      </c>
      <c r="B140" s="14" t="s">
        <v>82</v>
      </c>
      <c r="C140" s="14" t="s">
        <v>13</v>
      </c>
      <c r="D140" s="14" t="s">
        <v>98</v>
      </c>
      <c r="E140" s="14"/>
      <c r="F140" s="14"/>
      <c r="G140" s="14"/>
      <c r="H140" s="14"/>
      <c r="I140" s="14"/>
      <c r="J140" s="7"/>
      <c r="M140" s="14"/>
      <c r="N140" s="14">
        <v>36</v>
      </c>
      <c r="O140" s="14">
        <v>2.9341699999999998E-2</v>
      </c>
      <c r="P140" s="14">
        <f>O140+O139+O138</f>
        <v>9.8124299999999998E-2</v>
      </c>
      <c r="Q140" s="57"/>
      <c r="R140" s="56">
        <f>N356</f>
        <v>108</v>
      </c>
      <c r="S140" s="56">
        <f>P356</f>
        <v>0.32676892400000002</v>
      </c>
      <c r="Z140">
        <v>108</v>
      </c>
      <c r="AA140" s="58">
        <v>398.6666136537504</v>
      </c>
      <c r="AB140" s="59">
        <v>19.479916957660741</v>
      </c>
      <c r="AC140" s="59">
        <v>418.14653061141115</v>
      </c>
      <c r="AD140" s="60">
        <v>379.18669669608965</v>
      </c>
      <c r="AE140" s="61">
        <v>0.95025388702120328</v>
      </c>
      <c r="AF140" s="62">
        <v>4.0820963385185254E-2</v>
      </c>
      <c r="AG140" s="62">
        <v>0.99107485040638854</v>
      </c>
      <c r="AH140" s="63">
        <v>0.90943292363601802</v>
      </c>
      <c r="AI140">
        <f t="shared" si="11"/>
        <v>9.480778499832347</v>
      </c>
      <c r="AJ140" s="64">
        <v>227.53868399597633</v>
      </c>
      <c r="AK140">
        <f t="shared" si="7"/>
        <v>9.480778499832347</v>
      </c>
      <c r="AM140" s="56">
        <v>109</v>
      </c>
      <c r="AN140" s="56">
        <f t="shared" si="8"/>
        <v>0.29295774857149581</v>
      </c>
    </row>
    <row r="141" spans="1:40" x14ac:dyDescent="0.25">
      <c r="A141" s="14" t="s">
        <v>89</v>
      </c>
      <c r="B141" s="14" t="s">
        <v>90</v>
      </c>
      <c r="C141" s="14" t="s">
        <v>13</v>
      </c>
      <c r="D141" s="14" t="s">
        <v>98</v>
      </c>
      <c r="E141" s="14"/>
      <c r="F141" s="14"/>
      <c r="G141" s="14"/>
      <c r="H141" s="14"/>
      <c r="I141" s="14"/>
      <c r="J141" s="7"/>
      <c r="M141" s="14"/>
      <c r="N141" s="14">
        <v>36.333300000000001</v>
      </c>
      <c r="O141" s="14">
        <v>3.9731599999999999E-2</v>
      </c>
      <c r="P141">
        <v>0</v>
      </c>
      <c r="Q141" s="57"/>
      <c r="R141" s="56">
        <f>N359</f>
        <v>109</v>
      </c>
      <c r="S141" s="56">
        <f>P359</f>
        <v>0.262489627</v>
      </c>
      <c r="Z141">
        <v>109</v>
      </c>
      <c r="AA141" s="58">
        <v>398.37426061773374</v>
      </c>
      <c r="AB141" s="59">
        <v>19.431828582102145</v>
      </c>
      <c r="AC141" s="59">
        <v>417.80608919983587</v>
      </c>
      <c r="AD141" s="60">
        <v>378.94243203563161</v>
      </c>
      <c r="AE141" s="61">
        <v>0.94957645996173823</v>
      </c>
      <c r="AF141" s="62">
        <v>4.1178256553085921E-2</v>
      </c>
      <c r="AG141" s="62">
        <v>0.99075471651482416</v>
      </c>
      <c r="AH141" s="63">
        <v>0.90839820340865229</v>
      </c>
      <c r="AI141">
        <f t="shared" si="11"/>
        <v>10.66521102923253</v>
      </c>
      <c r="AJ141" s="64">
        <v>255.96506470158073</v>
      </c>
      <c r="AK141">
        <f t="shared" si="7"/>
        <v>10.66521102923253</v>
      </c>
      <c r="AM141" s="56">
        <v>110</v>
      </c>
      <c r="AN141" s="56">
        <f t="shared" si="8"/>
        <v>0.29295774857143897</v>
      </c>
    </row>
    <row r="142" spans="1:40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7"/>
      <c r="M142" s="14"/>
      <c r="N142" s="14">
        <v>36.666699999999999</v>
      </c>
      <c r="O142" s="14">
        <v>2.9317099999999999E-2</v>
      </c>
      <c r="P142">
        <v>0</v>
      </c>
      <c r="Q142" s="57"/>
      <c r="R142" s="56">
        <f>N362</f>
        <v>110</v>
      </c>
      <c r="S142" s="56">
        <f>P362</f>
        <v>0.25545384699999996</v>
      </c>
      <c r="Z142">
        <v>110</v>
      </c>
      <c r="AA142" s="58">
        <v>398.08130286916224</v>
      </c>
      <c r="AB142" s="59">
        <v>19.385358105349074</v>
      </c>
      <c r="AC142" s="59">
        <v>417.46666097451134</v>
      </c>
      <c r="AD142" s="60">
        <v>378.69594476381315</v>
      </c>
      <c r="AE142" s="61">
        <v>0.9488975999264655</v>
      </c>
      <c r="AF142" s="62">
        <v>4.1536492619363333E-2</v>
      </c>
      <c r="AG142" s="62">
        <v>0.99043409254582881</v>
      </c>
      <c r="AH142" s="63">
        <v>0.90736110730710218</v>
      </c>
      <c r="AI142">
        <f t="shared" si="11"/>
        <v>11.875367375809128</v>
      </c>
      <c r="AJ142" s="64">
        <v>285.0088170194191</v>
      </c>
      <c r="AK142">
        <f t="shared" si="7"/>
        <v>11.875367375809128</v>
      </c>
      <c r="AM142" s="56">
        <v>111</v>
      </c>
      <c r="AN142" s="56">
        <f t="shared" si="8"/>
        <v>0.29295774857149581</v>
      </c>
    </row>
    <row r="143" spans="1:40" x14ac:dyDescent="0.25">
      <c r="A143" s="14" t="s">
        <v>91</v>
      </c>
      <c r="B143" s="14">
        <v>391</v>
      </c>
      <c r="C143" s="14" t="s">
        <v>26</v>
      </c>
      <c r="D143" s="14"/>
      <c r="E143" s="14"/>
      <c r="F143" s="14"/>
      <c r="G143" s="14"/>
      <c r="H143" s="14"/>
      <c r="I143" s="14"/>
      <c r="J143" s="7"/>
      <c r="M143" s="14"/>
      <c r="N143" s="14">
        <v>37</v>
      </c>
      <c r="O143" s="14">
        <v>3.9241699999999997E-2</v>
      </c>
      <c r="P143" s="14">
        <f>O143+O142+O141</f>
        <v>0.10829040000000001</v>
      </c>
      <c r="Q143" s="57"/>
      <c r="R143" s="56">
        <f>N365</f>
        <v>111</v>
      </c>
      <c r="S143" s="56">
        <f>P365</f>
        <v>0.26299889399999998</v>
      </c>
      <c r="Z143">
        <v>111</v>
      </c>
      <c r="AA143" s="58">
        <v>397.7883451205908</v>
      </c>
      <c r="AB143" s="59">
        <v>19.340929888015211</v>
      </c>
      <c r="AC143" s="59">
        <v>417.12927500860599</v>
      </c>
      <c r="AD143" s="60">
        <v>378.44741523257562</v>
      </c>
      <c r="AE143" s="61">
        <v>0.94821873989119265</v>
      </c>
      <c r="AF143" s="62">
        <v>4.1896500617637965E-2</v>
      </c>
      <c r="AG143" s="62">
        <v>0.9901152405088306</v>
      </c>
      <c r="AH143" s="63">
        <v>0.90632223927355471</v>
      </c>
      <c r="AI143">
        <f t="shared" si="11"/>
        <v>13.085523722385725</v>
      </c>
      <c r="AJ143" s="64">
        <v>314.05256933725741</v>
      </c>
      <c r="AK143">
        <f t="shared" si="7"/>
        <v>13.085523722385725</v>
      </c>
      <c r="AM143" s="56">
        <v>112</v>
      </c>
      <c r="AN143" s="56">
        <f t="shared" si="8"/>
        <v>0.29295774857149581</v>
      </c>
    </row>
    <row r="144" spans="1:40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7"/>
      <c r="M144" s="14"/>
      <c r="N144" s="14">
        <v>37.333300000000001</v>
      </c>
      <c r="O144" s="14">
        <v>2.9777600000000001E-2</v>
      </c>
      <c r="P144">
        <v>0</v>
      </c>
      <c r="Q144" s="57"/>
      <c r="R144" s="56">
        <f>N368</f>
        <v>112</v>
      </c>
      <c r="S144" s="56">
        <f>P368</f>
        <v>0.26271211999999999</v>
      </c>
      <c r="Z144">
        <v>112</v>
      </c>
      <c r="AA144" s="58">
        <v>397.49538737201931</v>
      </c>
      <c r="AB144" s="59">
        <v>19.298558034881559</v>
      </c>
      <c r="AC144" s="59">
        <v>416.79394540690089</v>
      </c>
      <c r="AD144" s="60">
        <v>378.19682933713773</v>
      </c>
      <c r="AE144" s="61">
        <v>0.94753987985591992</v>
      </c>
      <c r="AF144" s="62">
        <v>4.2258235261398519E-2</v>
      </c>
      <c r="AG144" s="62">
        <v>0.98979811511731841</v>
      </c>
      <c r="AH144" s="63">
        <v>0.90528164459452143</v>
      </c>
      <c r="AI144">
        <f t="shared" si="11"/>
        <v>13.918911912363169</v>
      </c>
      <c r="AJ144" s="64">
        <v>334.05388589671605</v>
      </c>
      <c r="AK144">
        <f t="shared" si="7"/>
        <v>13.918911912363169</v>
      </c>
      <c r="AM144" s="56">
        <v>113</v>
      </c>
      <c r="AN144" s="56">
        <f t="shared" si="8"/>
        <v>0.29295774857149581</v>
      </c>
    </row>
    <row r="145" spans="1:40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7"/>
      <c r="M145" s="14"/>
      <c r="N145" s="14">
        <v>37.666699999999999</v>
      </c>
      <c r="O145" s="14">
        <v>3.9116600000000001E-2</v>
      </c>
      <c r="P145">
        <v>0</v>
      </c>
      <c r="Q145" s="57"/>
      <c r="R145" s="56">
        <f>N371</f>
        <v>113</v>
      </c>
      <c r="S145" s="56">
        <f>P371</f>
        <v>0.26262159200000001</v>
      </c>
      <c r="Z145">
        <v>113</v>
      </c>
      <c r="AA145" s="58">
        <v>397.20242962344781</v>
      </c>
      <c r="AB145" s="59">
        <v>19.258256119138569</v>
      </c>
      <c r="AC145" s="59">
        <v>416.46068574258641</v>
      </c>
      <c r="AD145" s="60">
        <v>377.94417350430922</v>
      </c>
      <c r="AE145" s="61">
        <v>0.94686101982064708</v>
      </c>
      <c r="AF145" s="62">
        <v>4.2621652587978252E-2</v>
      </c>
      <c r="AG145" s="62">
        <v>0.98948267240862531</v>
      </c>
      <c r="AH145" s="63">
        <v>0.90423936723266884</v>
      </c>
      <c r="AI145">
        <f t="shared" si="11"/>
        <v>14.08386008704556</v>
      </c>
      <c r="AJ145" s="64">
        <v>338.01264208909345</v>
      </c>
      <c r="AK145">
        <f t="shared" si="7"/>
        <v>14.08386008704556</v>
      </c>
      <c r="AM145" s="56">
        <v>114</v>
      </c>
      <c r="AN145" s="56">
        <f t="shared" si="8"/>
        <v>0.29295774857143897</v>
      </c>
    </row>
    <row r="146" spans="1:40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M146" s="14"/>
      <c r="N146" s="14">
        <v>38</v>
      </c>
      <c r="O146" s="14">
        <v>2.9566499999999999E-2</v>
      </c>
      <c r="P146" s="14">
        <f>O146+O145+O144</f>
        <v>9.8460699999999998E-2</v>
      </c>
      <c r="Q146" s="57"/>
      <c r="R146" s="56">
        <f>N374</f>
        <v>114</v>
      </c>
      <c r="S146" s="56">
        <f>P374</f>
        <v>0.26252214499999998</v>
      </c>
      <c r="Z146">
        <v>114</v>
      </c>
      <c r="AA146" s="58">
        <v>396.90947187487632</v>
      </c>
      <c r="AB146" s="59">
        <v>19.220037161958359</v>
      </c>
      <c r="AC146" s="59">
        <v>416.12950903683469</v>
      </c>
      <c r="AD146" s="60">
        <v>377.68943471291794</v>
      </c>
      <c r="AE146" s="61">
        <v>0.94618215978537434</v>
      </c>
      <c r="AF146" s="62">
        <v>4.2986709920294977E-2</v>
      </c>
      <c r="AG146" s="62">
        <v>0.98916886970566931</v>
      </c>
      <c r="AH146" s="63">
        <v>0.90319544986507938</v>
      </c>
      <c r="AI146">
        <f t="shared" si="11"/>
        <v>13.334664647219938</v>
      </c>
      <c r="AJ146" s="64">
        <v>320.03195153327852</v>
      </c>
      <c r="AK146">
        <f t="shared" si="7"/>
        <v>13.334664647219938</v>
      </c>
      <c r="AM146" s="56">
        <v>115</v>
      </c>
      <c r="AN146" s="56">
        <f t="shared" si="8"/>
        <v>0.29295774857155266</v>
      </c>
    </row>
    <row r="147" spans="1:40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M147" s="14"/>
      <c r="N147" s="14">
        <v>38.333300000000001</v>
      </c>
      <c r="O147" s="14">
        <v>3.9376000000000001E-2</v>
      </c>
      <c r="P147">
        <v>0</v>
      </c>
      <c r="Q147" s="57"/>
      <c r="R147" s="56">
        <f>N377</f>
        <v>115</v>
      </c>
      <c r="S147" s="56">
        <f>P377</f>
        <v>0.262429633</v>
      </c>
      <c r="Z147">
        <v>115</v>
      </c>
      <c r="AA147" s="58">
        <v>396.61651412630488</v>
      </c>
      <c r="AB147" s="59">
        <v>19.183913612604151</v>
      </c>
      <c r="AC147" s="59">
        <v>415.80042773890904</v>
      </c>
      <c r="AD147" s="60">
        <v>377.43260051370072</v>
      </c>
      <c r="AE147" s="61">
        <v>0.9455032997501015</v>
      </c>
      <c r="AF147" s="62">
        <v>4.3353365829327611E-2</v>
      </c>
      <c r="AG147" s="62">
        <v>0.98885666557942908</v>
      </c>
      <c r="AH147" s="63">
        <v>0.90214993392077392</v>
      </c>
      <c r="AI147">
        <f t="shared" si="11"/>
        <v>11.649113000077051</v>
      </c>
      <c r="AJ147" s="64">
        <v>279.57871200184923</v>
      </c>
      <c r="AK147">
        <f t="shared" si="7"/>
        <v>11.649113000077051</v>
      </c>
      <c r="AM147" s="56">
        <v>116</v>
      </c>
      <c r="AN147" s="56">
        <f t="shared" si="8"/>
        <v>0.30693259511599535</v>
      </c>
    </row>
    <row r="148" spans="1:40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M148" s="14"/>
      <c r="N148" s="14">
        <v>38.666699999999999</v>
      </c>
      <c r="O148" s="14">
        <v>2.9671199999999998E-2</v>
      </c>
      <c r="P148">
        <v>0</v>
      </c>
      <c r="Q148" s="57"/>
      <c r="R148" s="56">
        <f>N380</f>
        <v>116</v>
      </c>
      <c r="S148" s="56">
        <f>P380</f>
        <v>0.262337127</v>
      </c>
      <c r="Z148">
        <v>116</v>
      </c>
      <c r="AA148" s="58">
        <v>396.32355637773333</v>
      </c>
      <c r="AB148" s="59">
        <v>19.14989732914335</v>
      </c>
      <c r="AC148" s="59">
        <v>415.47345370687668</v>
      </c>
      <c r="AD148" s="60">
        <v>377.17365904858997</v>
      </c>
      <c r="AE148" s="61">
        <v>0.94482443971482866</v>
      </c>
      <c r="AF148" s="62">
        <v>4.3721580097362496E-2</v>
      </c>
      <c r="AG148" s="62">
        <v>0.98854601981219115</v>
      </c>
      <c r="AH148" s="63">
        <v>0.90110285961746617</v>
      </c>
      <c r="AI148">
        <f t="shared" si="11"/>
        <v>11.216659069490442</v>
      </c>
      <c r="AJ148" s="64">
        <v>269.19981766777062</v>
      </c>
      <c r="AK148">
        <f t="shared" si="7"/>
        <v>11.216659069490442</v>
      </c>
      <c r="AM148" s="56">
        <v>117</v>
      </c>
      <c r="AN148" s="56">
        <f t="shared" si="8"/>
        <v>0.3329806863762883</v>
      </c>
    </row>
    <row r="149" spans="1:40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M149" s="14"/>
      <c r="N149" s="14">
        <v>39</v>
      </c>
      <c r="O149" s="14">
        <v>3.8690700000000001E-2</v>
      </c>
      <c r="P149" s="14">
        <f>O149+O148+O147</f>
        <v>0.1077379</v>
      </c>
      <c r="Q149" s="57"/>
      <c r="R149" s="56">
        <f>N383</f>
        <v>117</v>
      </c>
      <c r="S149" s="56">
        <f>P383</f>
        <v>0.26224361900000004</v>
      </c>
      <c r="Z149">
        <v>117</v>
      </c>
      <c r="AA149" s="58">
        <v>396.01662378261733</v>
      </c>
      <c r="AB149" s="59">
        <v>19.115135807621794</v>
      </c>
      <c r="AC149" s="59">
        <v>415.13175959023914</v>
      </c>
      <c r="AD149" s="60">
        <v>376.90148797499552</v>
      </c>
      <c r="AE149" s="61">
        <v>0.9441116245370883</v>
      </c>
      <c r="AF149" s="62">
        <v>4.4068044597556026E-2</v>
      </c>
      <c r="AG149" s="62">
        <v>0.98817966913464428</v>
      </c>
      <c r="AH149" s="63">
        <v>0.90004357993953232</v>
      </c>
      <c r="AI149">
        <f t="shared" si="11"/>
        <v>10.81057259839733</v>
      </c>
      <c r="AJ149" s="64">
        <v>259.45374236153594</v>
      </c>
      <c r="AK149">
        <f t="shared" si="7"/>
        <v>10.81057259839733</v>
      </c>
      <c r="AM149" s="56">
        <v>118</v>
      </c>
      <c r="AN149" s="56">
        <f t="shared" si="8"/>
        <v>0.33357045259469942</v>
      </c>
    </row>
    <row r="150" spans="1:40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M150" s="14"/>
      <c r="N150" s="14">
        <v>39.333300000000001</v>
      </c>
      <c r="O150" s="14">
        <v>3.0228000000000001E-2</v>
      </c>
      <c r="P150">
        <v>0</v>
      </c>
      <c r="Q150" s="57"/>
      <c r="R150" s="56">
        <f>N386</f>
        <v>118</v>
      </c>
      <c r="S150" s="56">
        <f>P386</f>
        <v>0.26214813800000003</v>
      </c>
      <c r="Z150">
        <v>118</v>
      </c>
      <c r="AA150" s="58">
        <v>395.68364309624104</v>
      </c>
      <c r="AB150" s="59">
        <v>19.077054827511681</v>
      </c>
      <c r="AC150" s="59">
        <v>414.76069792375273</v>
      </c>
      <c r="AD150" s="60">
        <v>376.60658826872935</v>
      </c>
      <c r="AE150" s="61">
        <v>0.94333551945867333</v>
      </c>
      <c r="AF150" s="62">
        <v>4.4373183354139298E-2</v>
      </c>
      <c r="AG150" s="62">
        <v>0.98770870281281264</v>
      </c>
      <c r="AH150" s="63">
        <v>0.89896233610453402</v>
      </c>
      <c r="AI150">
        <f t="shared" si="11"/>
        <v>10.404486127304219</v>
      </c>
      <c r="AJ150" s="64">
        <v>249.70766705530124</v>
      </c>
      <c r="AK150">
        <f t="shared" si="7"/>
        <v>10.404486127304219</v>
      </c>
      <c r="AM150" s="56">
        <v>119</v>
      </c>
      <c r="AN150" s="56">
        <f t="shared" si="8"/>
        <v>0.33357045259464257</v>
      </c>
    </row>
    <row r="151" spans="1:40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M151" s="14"/>
      <c r="N151" s="14">
        <v>39.666699999999999</v>
      </c>
      <c r="O151" s="14">
        <v>3.8619100000000003E-2</v>
      </c>
      <c r="P151">
        <v>0</v>
      </c>
      <c r="Q151" s="57"/>
      <c r="R151" s="56">
        <f>N389</f>
        <v>119</v>
      </c>
      <c r="S151" s="56">
        <f>P389</f>
        <v>0.26205068300000001</v>
      </c>
      <c r="Z151">
        <v>119</v>
      </c>
      <c r="AA151" s="58">
        <v>395.35007264364634</v>
      </c>
      <c r="AB151" s="59">
        <v>19.040838582127833</v>
      </c>
      <c r="AC151" s="59">
        <v>414.39091122577418</v>
      </c>
      <c r="AD151" s="60">
        <v>376.30923406151851</v>
      </c>
      <c r="AE151" s="61">
        <v>0.94255798140595681</v>
      </c>
      <c r="AF151" s="62">
        <v>4.4679653499817902E-2</v>
      </c>
      <c r="AG151" s="62">
        <v>0.98723763490577476</v>
      </c>
      <c r="AH151" s="63">
        <v>0.89787832790613886</v>
      </c>
      <c r="AI151">
        <f t="shared" si="11"/>
        <v>9.9983996562111077</v>
      </c>
      <c r="AJ151" s="64">
        <v>239.9615917490666</v>
      </c>
      <c r="AK151">
        <f t="shared" si="7"/>
        <v>9.9983996562111077</v>
      </c>
      <c r="AM151" s="56">
        <v>120</v>
      </c>
      <c r="AN151" s="56">
        <f t="shared" si="8"/>
        <v>0.33449986226059991</v>
      </c>
    </row>
    <row r="152" spans="1:40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M152" s="14"/>
      <c r="N152" s="14">
        <v>40</v>
      </c>
      <c r="O152" s="14">
        <v>2.9925299999999998E-2</v>
      </c>
      <c r="P152" s="14">
        <f>O152+O151+O150</f>
        <v>9.877240000000001E-2</v>
      </c>
      <c r="Q152" s="57"/>
      <c r="R152" s="56">
        <f>N392</f>
        <v>120</v>
      </c>
      <c r="S152" s="56">
        <f>P392</f>
        <v>0.25677617400000002</v>
      </c>
      <c r="Z152">
        <v>120</v>
      </c>
      <c r="AA152" s="58">
        <v>395.0165021910517</v>
      </c>
      <c r="AB152" s="59">
        <v>19.00661762523978</v>
      </c>
      <c r="AC152" s="59">
        <v>414.02311981629146</v>
      </c>
      <c r="AD152" s="60">
        <v>376.00988456581194</v>
      </c>
      <c r="AE152" s="61">
        <v>0.94178044335324007</v>
      </c>
      <c r="AF152" s="62">
        <v>4.4988385857863585E-2</v>
      </c>
      <c r="AG152" s="62">
        <v>0.98676882921110365</v>
      </c>
      <c r="AH152" s="63">
        <v>0.89679205749537649</v>
      </c>
      <c r="AI152">
        <f t="shared" si="11"/>
        <v>10.187926284787533</v>
      </c>
      <c r="AJ152" s="64">
        <v>244.5102308349008</v>
      </c>
      <c r="AK152">
        <f t="shared" si="7"/>
        <v>10.187926284787533</v>
      </c>
      <c r="AM152" s="56">
        <v>121</v>
      </c>
      <c r="AN152" s="56">
        <f t="shared" si="8"/>
        <v>0.33623280930976307</v>
      </c>
    </row>
    <row r="153" spans="1:40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M153" s="14"/>
      <c r="N153" s="14">
        <v>40.333300000000001</v>
      </c>
      <c r="O153" s="14">
        <v>3.8925399999999999E-2</v>
      </c>
      <c r="P153">
        <v>0</v>
      </c>
      <c r="Q153" s="57"/>
      <c r="R153" s="56">
        <f>N395</f>
        <v>121</v>
      </c>
      <c r="S153" s="56">
        <f>P395</f>
        <v>0.26154105899999996</v>
      </c>
      <c r="Z153">
        <v>121</v>
      </c>
      <c r="AA153" s="58">
        <v>394.6820023287911</v>
      </c>
      <c r="AB153" s="59">
        <v>18.975692145437286</v>
      </c>
      <c r="AC153" s="59">
        <v>413.65769447422838</v>
      </c>
      <c r="AD153" s="60">
        <v>375.70631018335382</v>
      </c>
      <c r="AE153" s="61">
        <v>0.94100046225035849</v>
      </c>
      <c r="AF153" s="62">
        <v>4.5297120467877525E-2</v>
      </c>
      <c r="AG153" s="62">
        <v>0.98629758271823598</v>
      </c>
      <c r="AH153" s="63">
        <v>0.89570334178248101</v>
      </c>
      <c r="AI153">
        <f t="shared" si="11"/>
        <v>11.50402702432693</v>
      </c>
      <c r="AJ153" s="64">
        <v>276.09664858384633</v>
      </c>
      <c r="AK153">
        <f t="shared" si="7"/>
        <v>11.50402702432693</v>
      </c>
      <c r="AM153" s="56">
        <v>122</v>
      </c>
      <c r="AN153" s="56">
        <f t="shared" si="8"/>
        <v>0.34900413486718662</v>
      </c>
    </row>
    <row r="154" spans="1:40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N154" s="14">
        <v>40.666699999999999</v>
      </c>
      <c r="O154" s="14">
        <v>3.0039099999999999E-2</v>
      </c>
      <c r="P154">
        <v>0</v>
      </c>
      <c r="Q154" s="57"/>
      <c r="R154" s="56">
        <f>N398</f>
        <v>122</v>
      </c>
      <c r="S154" s="56">
        <f>P398</f>
        <v>0.25587168399999999</v>
      </c>
      <c r="Z154">
        <v>122</v>
      </c>
      <c r="AA154" s="58">
        <v>394.34576951948134</v>
      </c>
      <c r="AB154" s="59">
        <v>18.949141866509827</v>
      </c>
      <c r="AC154" s="59">
        <v>413.29491138599116</v>
      </c>
      <c r="AD154" s="60">
        <v>375.39662765297152</v>
      </c>
      <c r="AE154" s="61">
        <v>0.94021592591555903</v>
      </c>
      <c r="AF154" s="62">
        <v>4.5603828348902503E-2</v>
      </c>
      <c r="AG154" s="62">
        <v>0.98581975426446156</v>
      </c>
      <c r="AH154" s="63">
        <v>0.89461209756665649</v>
      </c>
      <c r="AI154">
        <f t="shared" si="11"/>
        <v>12.225319722837179</v>
      </c>
      <c r="AJ154" s="64">
        <v>293.40767334809232</v>
      </c>
      <c r="AK154">
        <f t="shared" si="7"/>
        <v>12.225319722837179</v>
      </c>
      <c r="AM154" s="56">
        <v>123</v>
      </c>
      <c r="AN154" s="56">
        <f t="shared" si="8"/>
        <v>0.37219154637330121</v>
      </c>
    </row>
    <row r="155" spans="1:40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M155" s="7"/>
      <c r="N155" s="14">
        <v>41</v>
      </c>
      <c r="O155" s="14">
        <v>3.8289900000000002E-2</v>
      </c>
      <c r="P155" s="14">
        <f>O155+O154+O153</f>
        <v>0.1072544</v>
      </c>
      <c r="Q155" s="57"/>
      <c r="R155" s="56">
        <f>N401</f>
        <v>123</v>
      </c>
      <c r="S155" s="56">
        <f>P401</f>
        <v>0.25562019400000002</v>
      </c>
      <c r="Z155">
        <v>123</v>
      </c>
      <c r="AA155" s="58">
        <v>393.99676538461415</v>
      </c>
      <c r="AB155" s="59">
        <v>18.910878625111398</v>
      </c>
      <c r="AC155" s="59">
        <v>412.90764400972557</v>
      </c>
      <c r="AD155" s="60">
        <v>375.08588675950273</v>
      </c>
      <c r="AE155" s="61">
        <v>0.93940268853147968</v>
      </c>
      <c r="AF155" s="62">
        <v>4.5922686290416709E-2</v>
      </c>
      <c r="AG155" s="62">
        <v>0.98532537482189642</v>
      </c>
      <c r="AH155" s="63">
        <v>0.89348000224106294</v>
      </c>
      <c r="AI155">
        <f t="shared" si="11"/>
        <v>11.803525312640824</v>
      </c>
      <c r="AJ155" s="64">
        <v>283.28460750337979</v>
      </c>
      <c r="AK155">
        <f t="shared" si="7"/>
        <v>11.803525312640824</v>
      </c>
      <c r="AM155" s="56">
        <v>124</v>
      </c>
      <c r="AN155" s="56">
        <f t="shared" si="8"/>
        <v>0.37267926257089812</v>
      </c>
    </row>
    <row r="156" spans="1:40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N156" s="14">
        <v>41.333300000000001</v>
      </c>
      <c r="O156" s="14">
        <v>3.0550000000000001E-2</v>
      </c>
      <c r="P156">
        <v>0</v>
      </c>
      <c r="Q156" s="57"/>
      <c r="R156" s="56">
        <f>N404</f>
        <v>124</v>
      </c>
      <c r="S156" s="56">
        <f>P404</f>
        <v>0.25373611700000004</v>
      </c>
      <c r="Z156">
        <v>124</v>
      </c>
      <c r="AA156" s="58">
        <v>393.62457383824085</v>
      </c>
      <c r="AB156" s="59">
        <v>18.849589322571777</v>
      </c>
      <c r="AC156" s="59">
        <v>412.47416316081262</v>
      </c>
      <c r="AD156" s="60">
        <v>374.77498451566908</v>
      </c>
      <c r="AE156" s="61">
        <v>0.93853736926356657</v>
      </c>
      <c r="AF156" s="62">
        <v>4.6262033951901503E-2</v>
      </c>
      <c r="AG156" s="62">
        <v>0.98479940321546811</v>
      </c>
      <c r="AH156" s="63">
        <v>0.89227533531166503</v>
      </c>
      <c r="AI156">
        <f t="shared" si="11"/>
        <v>11.356912886234928</v>
      </c>
      <c r="AJ156" s="64">
        <v>272.56590926963827</v>
      </c>
      <c r="AK156">
        <f t="shared" si="7"/>
        <v>11.356912886234928</v>
      </c>
      <c r="AM156" s="56">
        <v>125</v>
      </c>
      <c r="AN156" s="56">
        <f t="shared" si="8"/>
        <v>0.37267926257089812</v>
      </c>
    </row>
    <row r="157" spans="1:40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N157" s="14">
        <v>41.666699999999999</v>
      </c>
      <c r="O157" s="14">
        <v>3.8216800000000002E-2</v>
      </c>
      <c r="P157">
        <v>0</v>
      </c>
      <c r="Q157" s="57"/>
      <c r="R157" s="56">
        <f>N407</f>
        <v>125</v>
      </c>
      <c r="S157" s="56">
        <f>P407</f>
        <v>0.247058784</v>
      </c>
      <c r="Z157">
        <v>125</v>
      </c>
      <c r="AA157" s="58">
        <v>393.25189457566995</v>
      </c>
      <c r="AB157" s="59">
        <v>18.789768763975022</v>
      </c>
      <c r="AC157" s="59">
        <v>412.04166333964497</v>
      </c>
      <c r="AD157" s="60">
        <v>374.46212581169493</v>
      </c>
      <c r="AE157" s="61">
        <v>0.93767095452286509</v>
      </c>
      <c r="AF157" s="62">
        <v>4.6603575905027297E-2</v>
      </c>
      <c r="AG157" s="62">
        <v>0.98427453042789237</v>
      </c>
      <c r="AH157" s="63">
        <v>0.8910673786178378</v>
      </c>
      <c r="AI157">
        <f t="shared" si="11"/>
        <v>10.910300459829026</v>
      </c>
      <c r="AJ157" s="64">
        <v>261.84721103589663</v>
      </c>
      <c r="AK157">
        <f t="shared" si="7"/>
        <v>10.910300459829026</v>
      </c>
      <c r="AM157" s="56">
        <v>126</v>
      </c>
      <c r="AN157" s="56">
        <f t="shared" si="8"/>
        <v>0.37267926257072759</v>
      </c>
    </row>
    <row r="158" spans="1:40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M158" s="7"/>
      <c r="N158" s="14">
        <v>42</v>
      </c>
      <c r="O158" s="14">
        <v>3.0244199999999999E-2</v>
      </c>
      <c r="P158" s="14">
        <f>O158+O157+O156</f>
        <v>9.9010999999999988E-2</v>
      </c>
      <c r="Q158" s="57"/>
      <c r="R158" s="56">
        <f>N410</f>
        <v>126</v>
      </c>
      <c r="S158" s="56">
        <f>P410</f>
        <v>0.25239790499999998</v>
      </c>
      <c r="Z158">
        <v>126</v>
      </c>
      <c r="AA158" s="58">
        <v>392.87921531309905</v>
      </c>
      <c r="AB158" s="59">
        <v>18.731960689747396</v>
      </c>
      <c r="AC158" s="59">
        <v>411.61117600284643</v>
      </c>
      <c r="AD158" s="60">
        <v>374.14725462335167</v>
      </c>
      <c r="AE158" s="61">
        <v>0.93680453978216349</v>
      </c>
      <c r="AF158" s="62">
        <v>4.694687879371677E-2</v>
      </c>
      <c r="AG158" s="62">
        <v>0.98375141857588022</v>
      </c>
      <c r="AH158" s="63">
        <v>0.88985766098844676</v>
      </c>
      <c r="AI158">
        <f t="shared" si="11"/>
        <v>10.463688033423127</v>
      </c>
      <c r="AJ158" s="64">
        <v>251.12851280215506</v>
      </c>
      <c r="AK158">
        <f t="shared" si="7"/>
        <v>10.463688033423127</v>
      </c>
      <c r="AM158" s="56">
        <v>127</v>
      </c>
      <c r="AN158" s="56">
        <f t="shared" si="8"/>
        <v>0.37267926257095496</v>
      </c>
    </row>
    <row r="159" spans="1:40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N159" s="14">
        <v>42.333300000000001</v>
      </c>
      <c r="O159" s="14">
        <v>3.8533299999999999E-2</v>
      </c>
      <c r="P159">
        <v>0</v>
      </c>
      <c r="Q159" s="57"/>
      <c r="R159" s="56">
        <f>N413</f>
        <v>127</v>
      </c>
      <c r="S159" s="56">
        <f>P413</f>
        <v>0.242487539</v>
      </c>
      <c r="Z159">
        <v>127</v>
      </c>
      <c r="AA159" s="58">
        <v>392.50653605052833</v>
      </c>
      <c r="AB159" s="59">
        <v>18.676183787524131</v>
      </c>
      <c r="AC159" s="59">
        <v>411.18271983805244</v>
      </c>
      <c r="AD159" s="60">
        <v>373.83035226300422</v>
      </c>
      <c r="AE159" s="61">
        <v>0.93593812504146201</v>
      </c>
      <c r="AF159" s="62">
        <v>4.7291904268867979E-2</v>
      </c>
      <c r="AG159" s="62">
        <v>0.98323002931032999</v>
      </c>
      <c r="AH159" s="63">
        <v>0.88864622077259403</v>
      </c>
      <c r="AI159">
        <f t="shared" si="11"/>
        <v>10.017075607017228</v>
      </c>
      <c r="AJ159" s="64">
        <v>240.40981456841348</v>
      </c>
      <c r="AK159">
        <f t="shared" si="7"/>
        <v>10.017075607017228</v>
      </c>
      <c r="AM159" s="56">
        <v>128</v>
      </c>
      <c r="AN159" s="56">
        <f t="shared" si="8"/>
        <v>0.37267926257078443</v>
      </c>
    </row>
    <row r="160" spans="1:40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N160" s="14">
        <v>42.666699999999999</v>
      </c>
      <c r="O160" s="14">
        <v>3.0290299999999999E-2</v>
      </c>
      <c r="P160">
        <v>0</v>
      </c>
      <c r="Q160" s="57"/>
      <c r="R160" s="56">
        <f>N416</f>
        <v>128</v>
      </c>
      <c r="S160" s="56">
        <f>P416</f>
        <v>0.25179955700000001</v>
      </c>
      <c r="Z160">
        <v>128</v>
      </c>
      <c r="AA160" s="58">
        <v>392.13385678795737</v>
      </c>
      <c r="AB160" s="59">
        <v>18.622456308260396</v>
      </c>
      <c r="AC160" s="59">
        <v>410.75631309621775</v>
      </c>
      <c r="AD160" s="60">
        <v>373.51140047969699</v>
      </c>
      <c r="AE160" s="61">
        <v>0.93507171030076053</v>
      </c>
      <c r="AF160" s="62">
        <v>4.7638614902693679E-2</v>
      </c>
      <c r="AG160" s="62">
        <v>0.98271032520345425</v>
      </c>
      <c r="AH160" s="63">
        <v>0.88743309539806681</v>
      </c>
      <c r="AI160">
        <f t="shared" si="11"/>
        <v>9.5704631806113287</v>
      </c>
      <c r="AJ160" s="64">
        <v>229.6911163346719</v>
      </c>
      <c r="AK160">
        <f t="shared" si="7"/>
        <v>9.5704631806113287</v>
      </c>
      <c r="AM160" s="56">
        <v>129</v>
      </c>
      <c r="AN160" s="56">
        <f t="shared" si="8"/>
        <v>0.37267926257084127</v>
      </c>
    </row>
    <row r="161" spans="1:40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N161" s="14">
        <v>43</v>
      </c>
      <c r="O161" s="14">
        <v>3.8136200000000002E-2</v>
      </c>
      <c r="P161" s="14">
        <f>O161+O160+O159</f>
        <v>0.10695979999999999</v>
      </c>
      <c r="Q161" s="57"/>
      <c r="R161" s="56">
        <f>N419</f>
        <v>129</v>
      </c>
      <c r="S161" s="56">
        <f>P419</f>
        <v>0.24729204699999999</v>
      </c>
      <c r="Z161">
        <v>129</v>
      </c>
      <c r="AA161" s="58">
        <v>391.76117752538659</v>
      </c>
      <c r="AB161" s="59">
        <v>18.570796039623712</v>
      </c>
      <c r="AC161" s="59">
        <v>410.33197356501029</v>
      </c>
      <c r="AD161" s="60">
        <v>373.19038148576288</v>
      </c>
      <c r="AE161" s="61">
        <v>0.93420529556005905</v>
      </c>
      <c r="AF161" s="62">
        <v>4.7986974168893741E-2</v>
      </c>
      <c r="AG161" s="62">
        <v>0.98219226972895279</v>
      </c>
      <c r="AH161" s="63">
        <v>0.8862183213911653</v>
      </c>
      <c r="AI161">
        <f t="shared" si="11"/>
        <v>9.5033670193964586</v>
      </c>
      <c r="AJ161" s="64">
        <v>228.08080846551499</v>
      </c>
      <c r="AK161">
        <f t="shared" ref="AK161:AK224" si="12">IF(Z161&lt;=$R$12,AI161," ")</f>
        <v>9.5033670193964586</v>
      </c>
      <c r="AM161" s="56">
        <v>130</v>
      </c>
      <c r="AN161" s="56">
        <f t="shared" ref="AN161:AN224" si="13">AA162-AA163</f>
        <v>0.37267926257089812</v>
      </c>
    </row>
    <row r="162" spans="1:40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N162" s="14">
        <v>43.333300000000001</v>
      </c>
      <c r="O162" s="14">
        <v>3.0600200000000001E-2</v>
      </c>
      <c r="P162">
        <v>0</v>
      </c>
      <c r="Q162" s="57"/>
      <c r="R162" s="56">
        <f>N422</f>
        <v>130</v>
      </c>
      <c r="S162" s="56">
        <f>P422</f>
        <v>0.25154232799999998</v>
      </c>
      <c r="Z162">
        <v>130</v>
      </c>
      <c r="AA162" s="58">
        <v>391.38849826281574</v>
      </c>
      <c r="AB162" s="59">
        <v>18.521220279508857</v>
      </c>
      <c r="AC162" s="59">
        <v>409.90971854232458</v>
      </c>
      <c r="AD162" s="60">
        <v>372.86727798330691</v>
      </c>
      <c r="AE162" s="61">
        <v>0.93333888081935745</v>
      </c>
      <c r="AF162" s="62">
        <v>4.8336946422923278E-2</v>
      </c>
      <c r="AG162" s="62">
        <v>0.98167582724228075</v>
      </c>
      <c r="AH162" s="63">
        <v>0.88500193439643415</v>
      </c>
      <c r="AI162">
        <f t="shared" ref="AI162:AI225" si="14">AJ162/24</f>
        <v>10.129547566525362</v>
      </c>
      <c r="AJ162" s="64">
        <v>243.10914159660871</v>
      </c>
      <c r="AK162">
        <f t="shared" si="12"/>
        <v>10.129547566525362</v>
      </c>
      <c r="AM162" s="56">
        <v>131</v>
      </c>
      <c r="AN162" s="56">
        <f t="shared" si="13"/>
        <v>0.37267926257084127</v>
      </c>
    </row>
    <row r="163" spans="1:40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N163" s="14">
        <v>43.666699999999999</v>
      </c>
      <c r="O163" s="14">
        <v>3.8138600000000002E-2</v>
      </c>
      <c r="P163">
        <v>0</v>
      </c>
      <c r="Q163" s="57"/>
      <c r="R163" s="56">
        <f>N425</f>
        <v>131</v>
      </c>
      <c r="S163" s="56">
        <f>P425</f>
        <v>0.25186798500000002</v>
      </c>
      <c r="Z163">
        <v>131</v>
      </c>
      <c r="AA163" s="58">
        <v>391.01581900024485</v>
      </c>
      <c r="AB163" s="59">
        <v>18.473745809754607</v>
      </c>
      <c r="AC163" s="59">
        <v>409.48956480999948</v>
      </c>
      <c r="AD163" s="60">
        <v>372.54207319049021</v>
      </c>
      <c r="AE163" s="61">
        <v>0.93247246607865597</v>
      </c>
      <c r="AF163" s="62">
        <v>4.8688496882390658E-2</v>
      </c>
      <c r="AG163" s="62">
        <v>0.9811609629610466</v>
      </c>
      <c r="AH163" s="63">
        <v>0.88378396919626534</v>
      </c>
      <c r="AI163">
        <f t="shared" si="14"/>
        <v>10.770454337609104</v>
      </c>
      <c r="AJ163" s="64">
        <v>258.49090410261852</v>
      </c>
      <c r="AK163">
        <f t="shared" si="12"/>
        <v>10.770454337609104</v>
      </c>
      <c r="AM163" s="56">
        <v>132</v>
      </c>
      <c r="AN163" s="56">
        <f t="shared" si="13"/>
        <v>0.37267926257089812</v>
      </c>
    </row>
    <row r="164" spans="1:40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N164" s="14">
        <v>44</v>
      </c>
      <c r="O164" s="14">
        <v>3.0350499999999999E-2</v>
      </c>
      <c r="P164" s="14">
        <f>O164+O163+O162</f>
        <v>9.9089299999999991E-2</v>
      </c>
      <c r="Q164" s="57"/>
      <c r="R164" s="56">
        <f>N428</f>
        <v>132</v>
      </c>
      <c r="S164" s="56">
        <f>P428</f>
        <v>0.25182691099999999</v>
      </c>
      <c r="Z164">
        <v>132</v>
      </c>
      <c r="AA164" s="58">
        <v>390.64313973767401</v>
      </c>
      <c r="AB164" s="59">
        <v>18.428388870145721</v>
      </c>
      <c r="AC164" s="59">
        <v>409.07152860781974</v>
      </c>
      <c r="AD164" s="60">
        <v>372.21475086752827</v>
      </c>
      <c r="AE164" s="61">
        <v>0.9316060513379546</v>
      </c>
      <c r="AF164" s="62">
        <v>4.9041591607615322E-2</v>
      </c>
      <c r="AG164" s="62">
        <v>0.98064764294556994</v>
      </c>
      <c r="AH164" s="63">
        <v>0.88256445973033926</v>
      </c>
      <c r="AI164">
        <f t="shared" si="14"/>
        <v>11.41136110869285</v>
      </c>
      <c r="AJ164" s="64">
        <v>273.87266660862838</v>
      </c>
      <c r="AK164">
        <f t="shared" si="12"/>
        <v>11.41136110869285</v>
      </c>
      <c r="AM164" s="56">
        <v>133</v>
      </c>
      <c r="AN164" s="56">
        <f t="shared" si="13"/>
        <v>0.37267926257084127</v>
      </c>
    </row>
    <row r="165" spans="1:40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N165" s="14">
        <v>44.333300000000001</v>
      </c>
      <c r="O165" s="14">
        <v>3.8392700000000002E-2</v>
      </c>
      <c r="P165">
        <v>0</v>
      </c>
      <c r="Q165" s="57"/>
      <c r="R165" s="56">
        <f>N431</f>
        <v>133</v>
      </c>
      <c r="S165" s="56">
        <f>P431</f>
        <v>0.251737394</v>
      </c>
      <c r="Z165">
        <v>133</v>
      </c>
      <c r="AA165" s="58">
        <v>390.27046047510311</v>
      </c>
      <c r="AB165" s="59">
        <v>18.385165132784227</v>
      </c>
      <c r="AC165" s="59">
        <v>408.65562560788732</v>
      </c>
      <c r="AD165" s="60">
        <v>371.8852953423189</v>
      </c>
      <c r="AE165" s="61">
        <v>0.9307396365972529</v>
      </c>
      <c r="AF165" s="62">
        <v>4.9396197482369293E-2</v>
      </c>
      <c r="AG165" s="62">
        <v>0.98013583407962224</v>
      </c>
      <c r="AH165" s="63">
        <v>0.88134343911488355</v>
      </c>
      <c r="AI165">
        <f t="shared" si="14"/>
        <v>11.633494976169551</v>
      </c>
      <c r="AJ165" s="64">
        <v>279.20387942806923</v>
      </c>
      <c r="AK165">
        <f t="shared" si="12"/>
        <v>11.633494976169551</v>
      </c>
      <c r="AM165" s="56">
        <v>134</v>
      </c>
      <c r="AN165" s="56">
        <f t="shared" si="13"/>
        <v>0.40610241428396421</v>
      </c>
    </row>
    <row r="166" spans="1:40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N166" s="14">
        <v>44.666699999999999</v>
      </c>
      <c r="O166" s="14">
        <v>3.0390500000000001E-2</v>
      </c>
      <c r="P166">
        <v>0</v>
      </c>
      <c r="Q166" s="57"/>
      <c r="R166" s="56">
        <f>N434</f>
        <v>134</v>
      </c>
      <c r="S166" s="56">
        <f>P434</f>
        <v>0.251648855</v>
      </c>
      <c r="Z166">
        <v>134</v>
      </c>
      <c r="AA166" s="58">
        <v>389.89778121253227</v>
      </c>
      <c r="AB166" s="59">
        <v>18.344089676915775</v>
      </c>
      <c r="AC166" s="59">
        <v>408.24187088944802</v>
      </c>
      <c r="AD166" s="60">
        <v>371.55369153561651</v>
      </c>
      <c r="AE166" s="61">
        <v>0.92987322185655152</v>
      </c>
      <c r="AF166" s="62">
        <v>4.9752282194828717E-2</v>
      </c>
      <c r="AG166" s="62">
        <v>0.97962550405138027</v>
      </c>
      <c r="AH166" s="63">
        <v>0.88012093966172278</v>
      </c>
      <c r="AI166">
        <f t="shared" si="14"/>
        <v>11.116895880191436</v>
      </c>
      <c r="AJ166" s="64">
        <v>266.80550112459446</v>
      </c>
      <c r="AK166">
        <f t="shared" si="12"/>
        <v>11.116895880191436</v>
      </c>
      <c r="AM166" s="56">
        <v>135</v>
      </c>
      <c r="AN166" s="56">
        <f t="shared" si="13"/>
        <v>0.46384115295609263</v>
      </c>
    </row>
    <row r="167" spans="1:40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N167" s="14">
        <v>45</v>
      </c>
      <c r="O167" s="14">
        <v>3.8004900000000001E-2</v>
      </c>
      <c r="P167" s="14">
        <f>O167+O166+O165</f>
        <v>0.1067881</v>
      </c>
      <c r="Q167" s="57"/>
      <c r="R167" s="56">
        <f>N437</f>
        <v>135</v>
      </c>
      <c r="S167" s="56">
        <f>P437</f>
        <v>0.25156030300000004</v>
      </c>
      <c r="Z167">
        <v>135</v>
      </c>
      <c r="AA167" s="58">
        <v>389.4916787982483</v>
      </c>
      <c r="AB167" s="59">
        <v>18.292420831033006</v>
      </c>
      <c r="AC167" s="59">
        <v>407.78409962928129</v>
      </c>
      <c r="AD167" s="60">
        <v>371.19925796721532</v>
      </c>
      <c r="AE167" s="61">
        <v>0.92892860034996261</v>
      </c>
      <c r="AF167" s="62">
        <v>5.011562687012195E-2</v>
      </c>
      <c r="AG167" s="62">
        <v>0.97904422722008455</v>
      </c>
      <c r="AH167" s="63">
        <v>0.87881297347984066</v>
      </c>
      <c r="AI167">
        <f t="shared" si="14"/>
        <v>10.586323256300139</v>
      </c>
      <c r="AJ167" s="64">
        <v>254.07175815120334</v>
      </c>
      <c r="AK167">
        <f t="shared" si="12"/>
        <v>10.586323256300139</v>
      </c>
      <c r="AM167" s="56">
        <v>136</v>
      </c>
      <c r="AN167" s="56">
        <f t="shared" si="13"/>
        <v>0.46485636859949864</v>
      </c>
    </row>
    <row r="168" spans="1:40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N168" s="14">
        <v>45.333300000000001</v>
      </c>
      <c r="O168" s="14">
        <v>3.06933E-2</v>
      </c>
      <c r="P168">
        <v>0</v>
      </c>
      <c r="Q168" s="57"/>
      <c r="R168" s="56">
        <f>N440</f>
        <v>136</v>
      </c>
      <c r="S168" s="56">
        <f>P440</f>
        <v>0.258980565</v>
      </c>
      <c r="Z168">
        <v>136</v>
      </c>
      <c r="AA168" s="58">
        <v>389.02783764529221</v>
      </c>
      <c r="AB168" s="59">
        <v>18.222884692524492</v>
      </c>
      <c r="AC168" s="59">
        <v>407.25072233781668</v>
      </c>
      <c r="AD168" s="60">
        <v>370.80495295276774</v>
      </c>
      <c r="AE168" s="61">
        <v>0.92784887608416289</v>
      </c>
      <c r="AF168" s="62">
        <v>5.0494525084322166E-2</v>
      </c>
      <c r="AG168" s="62">
        <v>0.97834340116848506</v>
      </c>
      <c r="AH168" s="63">
        <v>0.87735435099984072</v>
      </c>
      <c r="AI168">
        <f t="shared" si="14"/>
        <v>10.207863291487833</v>
      </c>
      <c r="AJ168" s="64">
        <v>244.98871899570798</v>
      </c>
      <c r="AK168">
        <f t="shared" si="12"/>
        <v>10.207863291487833</v>
      </c>
      <c r="AM168" s="56">
        <v>137</v>
      </c>
      <c r="AN168" s="56">
        <f t="shared" si="13"/>
        <v>0.46485636859927126</v>
      </c>
    </row>
    <row r="169" spans="1:40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N169" s="14">
        <v>45.666699999999999</v>
      </c>
      <c r="O169" s="14">
        <v>3.8015100000000003E-2</v>
      </c>
      <c r="P169">
        <v>0</v>
      </c>
      <c r="Q169" s="57"/>
      <c r="R169" s="56">
        <f>N443</f>
        <v>137</v>
      </c>
      <c r="S169" s="56">
        <f>P443</f>
        <v>0.25399772600000003</v>
      </c>
      <c r="Z169">
        <v>137</v>
      </c>
      <c r="AA169" s="58">
        <v>388.56298127669271</v>
      </c>
      <c r="AB169" s="59">
        <v>18.158182390972208</v>
      </c>
      <c r="AC169" s="59">
        <v>406.72116366766494</v>
      </c>
      <c r="AD169" s="60">
        <v>370.40479888572048</v>
      </c>
      <c r="AE169" s="61">
        <v>0.92676677631730875</v>
      </c>
      <c r="AF169" s="62">
        <v>5.0881033614311927E-2</v>
      </c>
      <c r="AG169" s="62">
        <v>0.9776478099316207</v>
      </c>
      <c r="AH169" s="63">
        <v>0.87588574270299679</v>
      </c>
      <c r="AI169">
        <f t="shared" si="14"/>
        <v>10.090043168769153</v>
      </c>
      <c r="AJ169" s="64">
        <v>242.16103605045967</v>
      </c>
      <c r="AK169">
        <f t="shared" si="12"/>
        <v>10.090043168769153</v>
      </c>
      <c r="AM169" s="56">
        <v>138</v>
      </c>
      <c r="AN169" s="56">
        <f t="shared" si="13"/>
        <v>0.46485636859938495</v>
      </c>
    </row>
    <row r="170" spans="1:40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N170" s="14">
        <v>46</v>
      </c>
      <c r="O170" s="14">
        <v>3.0435799999999999E-2</v>
      </c>
      <c r="P170" s="14">
        <f>O170+O169+O168</f>
        <v>9.9144200000000016E-2</v>
      </c>
      <c r="Q170" s="57"/>
      <c r="R170" s="56">
        <f>N446</f>
        <v>138</v>
      </c>
      <c r="S170" s="56">
        <f>P446</f>
        <v>0.258765884</v>
      </c>
      <c r="Z170">
        <v>138</v>
      </c>
      <c r="AA170" s="58">
        <v>388.09812490809344</v>
      </c>
      <c r="AB170" s="59">
        <v>18.098750247936824</v>
      </c>
      <c r="AC170" s="59">
        <v>406.19687515603027</v>
      </c>
      <c r="AD170" s="60">
        <v>369.9993746601566</v>
      </c>
      <c r="AE170" s="61">
        <v>0.92568467655045472</v>
      </c>
      <c r="AF170" s="62">
        <v>5.1274793753685696E-2</v>
      </c>
      <c r="AG170" s="62">
        <v>0.97695947030414043</v>
      </c>
      <c r="AH170" s="63">
        <v>0.87440988279676901</v>
      </c>
      <c r="AI170">
        <f t="shared" si="14"/>
        <v>9.9766736663097291</v>
      </c>
      <c r="AJ170" s="64">
        <v>239.4401679914335</v>
      </c>
      <c r="AK170">
        <f t="shared" si="12"/>
        <v>9.9766736663097291</v>
      </c>
      <c r="AM170" s="56">
        <v>139</v>
      </c>
      <c r="AN170" s="56">
        <f t="shared" si="13"/>
        <v>0.46485636859932811</v>
      </c>
    </row>
    <row r="171" spans="1:40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N171" s="14">
        <v>46.333300000000001</v>
      </c>
      <c r="O171" s="14">
        <v>3.8277400000000003E-2</v>
      </c>
      <c r="P171">
        <v>0</v>
      </c>
      <c r="Q171" s="57"/>
      <c r="R171" s="56">
        <f>N449</f>
        <v>139</v>
      </c>
      <c r="S171" s="56">
        <f>P449</f>
        <v>0.25930183000000001</v>
      </c>
      <c r="Z171">
        <v>139</v>
      </c>
      <c r="AA171" s="58">
        <v>387.63326853949405</v>
      </c>
      <c r="AB171" s="59">
        <v>18.044640337152284</v>
      </c>
      <c r="AC171" s="59">
        <v>405.67790887664631</v>
      </c>
      <c r="AD171" s="60">
        <v>369.58862820234179</v>
      </c>
      <c r="AE171" s="61">
        <v>0.92460257678360047</v>
      </c>
      <c r="AF171" s="62">
        <v>5.1675639734385687E-2</v>
      </c>
      <c r="AG171" s="62">
        <v>0.97627821651798619</v>
      </c>
      <c r="AH171" s="63">
        <v>0.87292693704921476</v>
      </c>
      <c r="AI171">
        <f t="shared" si="14"/>
        <v>6.4049938336493932</v>
      </c>
      <c r="AJ171" s="64">
        <v>153.71985200758544</v>
      </c>
      <c r="AK171">
        <f t="shared" si="12"/>
        <v>6.4049938336493932</v>
      </c>
      <c r="AM171" s="56">
        <v>140</v>
      </c>
      <c r="AN171" s="56">
        <f t="shared" si="13"/>
        <v>0.46485636859938495</v>
      </c>
    </row>
    <row r="172" spans="1:40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N172" s="14">
        <v>46.666699999999999</v>
      </c>
      <c r="O172" s="14">
        <v>3.0467000000000001E-2</v>
      </c>
      <c r="P172">
        <v>0</v>
      </c>
      <c r="Q172" s="57"/>
      <c r="R172" s="56">
        <f>N452</f>
        <v>140</v>
      </c>
      <c r="S172" s="56">
        <f>P452</f>
        <v>0.25993569099999997</v>
      </c>
      <c r="Z172">
        <v>140</v>
      </c>
      <c r="AA172" s="58">
        <v>387.16841217089473</v>
      </c>
      <c r="AB172" s="59">
        <v>17.995900667201578</v>
      </c>
      <c r="AC172" s="59">
        <v>405.16431283809629</v>
      </c>
      <c r="AD172" s="60">
        <v>369.17251150369316</v>
      </c>
      <c r="AE172" s="61">
        <v>0.92352047701674644</v>
      </c>
      <c r="AF172" s="62">
        <v>5.2083407953836931E-2</v>
      </c>
      <c r="AG172" s="62">
        <v>0.97560388497058337</v>
      </c>
      <c r="AH172" s="63">
        <v>0.87143706906290952</v>
      </c>
      <c r="AI172">
        <f t="shared" si="14"/>
        <v>1.3408106726821121</v>
      </c>
      <c r="AJ172" s="64">
        <v>32.17945614437069</v>
      </c>
      <c r="AK172">
        <f t="shared" si="12"/>
        <v>1.3408106726821121</v>
      </c>
      <c r="AM172" s="56">
        <v>141</v>
      </c>
      <c r="AN172" s="56">
        <f t="shared" si="13"/>
        <v>0.46485636859949864</v>
      </c>
    </row>
    <row r="173" spans="1:40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N173" s="14">
        <v>47</v>
      </c>
      <c r="O173" s="14">
        <v>3.7901299999999999E-2</v>
      </c>
      <c r="P173" s="14">
        <f>O173+O172+O171</f>
        <v>0.1066457</v>
      </c>
      <c r="Q173" s="57"/>
      <c r="R173" s="56">
        <f>N455</f>
        <v>141</v>
      </c>
      <c r="S173" s="56">
        <f>P455</f>
        <v>0</v>
      </c>
      <c r="Z173">
        <v>141</v>
      </c>
      <c r="AA173" s="58">
        <v>386.70355580229534</v>
      </c>
      <c r="AB173" s="59">
        <v>17.952574977339577</v>
      </c>
      <c r="AC173" s="59">
        <v>404.65613077963491</v>
      </c>
      <c r="AD173" s="60">
        <v>368.75098082495578</v>
      </c>
      <c r="AE173" s="61">
        <v>0.92243837724989231</v>
      </c>
      <c r="AF173" s="62">
        <v>5.249793711057929E-2</v>
      </c>
      <c r="AG173" s="62">
        <v>0.97493631436047157</v>
      </c>
      <c r="AH173" s="63">
        <v>0.86994044013931304</v>
      </c>
      <c r="AI173">
        <f t="shared" si="14"/>
        <v>4.6049825644998785</v>
      </c>
      <c r="AJ173" s="64">
        <v>110.51958154799709</v>
      </c>
      <c r="AK173">
        <f t="shared" si="12"/>
        <v>4.6049825644998785</v>
      </c>
      <c r="AM173" s="56">
        <v>142</v>
      </c>
      <c r="AN173" s="56">
        <f t="shared" si="13"/>
        <v>0.46485636859921442</v>
      </c>
    </row>
    <row r="174" spans="1:40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N174" s="14">
        <v>47.333300000000001</v>
      </c>
      <c r="O174" s="14">
        <v>3.0759000000000002E-2</v>
      </c>
      <c r="P174">
        <v>0</v>
      </c>
      <c r="Q174" s="57"/>
      <c r="R174" s="56">
        <f>N458</f>
        <v>142</v>
      </c>
      <c r="S174" s="56">
        <f>P458</f>
        <v>0</v>
      </c>
      <c r="Z174">
        <v>142</v>
      </c>
      <c r="AA174" s="58">
        <v>386.23869943369584</v>
      </c>
      <c r="AB174" s="59">
        <v>17.914702547818717</v>
      </c>
      <c r="AC174" s="59">
        <v>404.15340198151455</v>
      </c>
      <c r="AD174" s="60">
        <v>368.32399688587714</v>
      </c>
      <c r="AE174" s="61">
        <v>0.92135627748303817</v>
      </c>
      <c r="AF174" s="62">
        <v>5.2919068324183832E-2</v>
      </c>
      <c r="AG174" s="62">
        <v>0.97427534580722197</v>
      </c>
      <c r="AH174" s="63">
        <v>0.86843720915885436</v>
      </c>
      <c r="AI174">
        <f t="shared" si="14"/>
        <v>6.08141648188787</v>
      </c>
      <c r="AJ174" s="64">
        <v>145.95399556530887</v>
      </c>
      <c r="AK174">
        <f t="shared" si="12"/>
        <v>6.08141648188787</v>
      </c>
      <c r="AM174" s="56">
        <v>143</v>
      </c>
      <c r="AN174" s="56">
        <f t="shared" si="13"/>
        <v>0.46485636859944179</v>
      </c>
    </row>
    <row r="175" spans="1:40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N175" s="14">
        <v>47.666699999999999</v>
      </c>
      <c r="O175" s="14">
        <v>3.7923600000000002E-2</v>
      </c>
      <c r="P175">
        <v>0</v>
      </c>
      <c r="Q175" s="57"/>
      <c r="R175" s="56">
        <f>N461</f>
        <v>143</v>
      </c>
      <c r="S175" s="56">
        <f>P461</f>
        <v>0</v>
      </c>
      <c r="Z175">
        <v>143</v>
      </c>
      <c r="AA175" s="58">
        <v>385.77384306509663</v>
      </c>
      <c r="AB175" s="59">
        <v>17.882318026566264</v>
      </c>
      <c r="AC175" s="59">
        <v>403.65616109166291</v>
      </c>
      <c r="AD175" s="60">
        <v>367.89152503853035</v>
      </c>
      <c r="AE175" s="61">
        <v>0.92027417771618403</v>
      </c>
      <c r="AF175" s="62">
        <v>5.3346645240218135E-2</v>
      </c>
      <c r="AG175" s="62">
        <v>0.97362082295640218</v>
      </c>
      <c r="AH175" s="63">
        <v>0.86692753247596588</v>
      </c>
      <c r="AI175">
        <f t="shared" si="14"/>
        <v>5.131264363883731</v>
      </c>
      <c r="AJ175" s="64">
        <v>123.15034473320954</v>
      </c>
      <c r="AK175">
        <f t="shared" si="12"/>
        <v>5.131264363883731</v>
      </c>
      <c r="AM175" s="56">
        <v>144</v>
      </c>
      <c r="AN175" s="56">
        <f t="shared" si="13"/>
        <v>0.46485636859938495</v>
      </c>
    </row>
    <row r="176" spans="1:40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N176" s="14">
        <v>48</v>
      </c>
      <c r="O176" s="14">
        <v>3.0488700000000001E-2</v>
      </c>
      <c r="P176" s="14">
        <f>O176+O175+O174</f>
        <v>9.9171300000000018E-2</v>
      </c>
      <c r="Q176" s="57"/>
      <c r="R176" s="56">
        <f>N464</f>
        <v>144</v>
      </c>
      <c r="S176" s="56">
        <f>P464</f>
        <v>0</v>
      </c>
      <c r="Z176">
        <v>144</v>
      </c>
      <c r="AA176" s="58">
        <v>385.30898669649719</v>
      </c>
      <c r="AB176" s="59">
        <v>17.855451273947185</v>
      </c>
      <c r="AC176" s="59">
        <v>403.1644379704444</v>
      </c>
      <c r="AD176" s="60">
        <v>367.45353542254998</v>
      </c>
      <c r="AE176" s="61">
        <v>0.91919207794932989</v>
      </c>
      <c r="AF176" s="62">
        <v>5.3780514121050331E-2</v>
      </c>
      <c r="AG176" s="62">
        <v>0.97297259207038023</v>
      </c>
      <c r="AH176" s="63">
        <v>0.86541156382827955</v>
      </c>
      <c r="AI176">
        <f t="shared" si="14"/>
        <v>7.2450326629696455</v>
      </c>
      <c r="AJ176" s="64">
        <v>173.88078391127149</v>
      </c>
      <c r="AK176">
        <f t="shared" si="12"/>
        <v>7.2450326629696455</v>
      </c>
      <c r="AM176" s="56">
        <v>145</v>
      </c>
      <c r="AN176" s="56">
        <f t="shared" si="13"/>
        <v>0.46485636859944179</v>
      </c>
    </row>
    <row r="177" spans="1:40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N177" s="14">
        <v>48.333300000000001</v>
      </c>
      <c r="O177" s="14">
        <v>3.8199999999999998E-2</v>
      </c>
      <c r="P177">
        <v>0</v>
      </c>
      <c r="Q177" s="57"/>
      <c r="R177" s="56">
        <f>N467</f>
        <v>145</v>
      </c>
      <c r="S177" s="56">
        <f>P467</f>
        <v>0</v>
      </c>
      <c r="Z177">
        <v>145</v>
      </c>
      <c r="AA177" s="58">
        <v>384.8441303278978</v>
      </c>
      <c r="AB177" s="59">
        <v>17.834127227200046</v>
      </c>
      <c r="AC177" s="59">
        <v>402.67825755509784</v>
      </c>
      <c r="AD177" s="60">
        <v>367.01000310069776</v>
      </c>
      <c r="AE177" s="61">
        <v>0.91810997818247597</v>
      </c>
      <c r="AF177" s="62">
        <v>5.4220523923290034E-2</v>
      </c>
      <c r="AG177" s="62">
        <v>0.97233050210576599</v>
      </c>
      <c r="AH177" s="63">
        <v>0.86388945425918595</v>
      </c>
      <c r="AI177">
        <f t="shared" si="14"/>
        <v>10.319047527925694</v>
      </c>
      <c r="AJ177" s="64">
        <v>247.65714067021665</v>
      </c>
      <c r="AK177">
        <f t="shared" si="12"/>
        <v>10.319047527925694</v>
      </c>
      <c r="AM177" s="56">
        <v>146</v>
      </c>
      <c r="AN177" s="56">
        <f t="shared" si="13"/>
        <v>0.46485636859932811</v>
      </c>
    </row>
    <row r="178" spans="1:40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N178" s="14">
        <v>48.666699999999999</v>
      </c>
      <c r="O178" s="14">
        <v>3.0501400000000001E-2</v>
      </c>
      <c r="P178">
        <v>0</v>
      </c>
      <c r="Q178" s="57"/>
      <c r="R178" s="56">
        <f>N470</f>
        <v>146</v>
      </c>
      <c r="S178" s="56">
        <f>P470</f>
        <v>0</v>
      </c>
      <c r="Z178">
        <v>146</v>
      </c>
      <c r="AA178" s="58">
        <v>384.37927395929836</v>
      </c>
      <c r="AB178" s="59">
        <v>17.818365785958729</v>
      </c>
      <c r="AC178" s="59">
        <v>402.19763974525711</v>
      </c>
      <c r="AD178" s="60">
        <v>366.56090817333961</v>
      </c>
      <c r="AE178" s="61">
        <v>0.91702787841562161</v>
      </c>
      <c r="AF178" s="62">
        <v>5.4666526362668992E-2</v>
      </c>
      <c r="AG178" s="62">
        <v>0.97169440477829061</v>
      </c>
      <c r="AH178" s="63">
        <v>0.86236135205295261</v>
      </c>
      <c r="AI178">
        <f t="shared" si="14"/>
        <v>8.8993007061407603</v>
      </c>
      <c r="AJ178" s="64">
        <v>213.58321694737825</v>
      </c>
      <c r="AK178">
        <f t="shared" si="12"/>
        <v>8.8993007061407603</v>
      </c>
      <c r="AM178" s="56">
        <v>147</v>
      </c>
      <c r="AN178" s="56">
        <f t="shared" si="13"/>
        <v>0.46485636859938495</v>
      </c>
    </row>
    <row r="179" spans="1:40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N179" s="14">
        <v>49</v>
      </c>
      <c r="O179" s="14">
        <v>3.7846400000000002E-2</v>
      </c>
      <c r="P179" s="14">
        <f>O179+O178+O177</f>
        <v>0.1065478</v>
      </c>
      <c r="Q179" s="57"/>
      <c r="R179" s="56">
        <f>N473</f>
        <v>147</v>
      </c>
      <c r="S179" s="56">
        <f>P473</f>
        <v>0</v>
      </c>
      <c r="Z179">
        <v>147</v>
      </c>
      <c r="AA179" s="58">
        <v>383.91441759069903</v>
      </c>
      <c r="AB179" s="59">
        <v>17.808181720071889</v>
      </c>
      <c r="AC179" s="59">
        <v>401.72259931077093</v>
      </c>
      <c r="AD179" s="60">
        <v>366.10623587062713</v>
      </c>
      <c r="AE179" s="61">
        <v>0.91594577864876758</v>
      </c>
      <c r="AF179" s="62">
        <v>5.5118375967162493E-2</v>
      </c>
      <c r="AG179" s="62">
        <v>0.9710641546159301</v>
      </c>
      <c r="AH179" s="63">
        <v>0.86082740268160507</v>
      </c>
      <c r="AI179">
        <f t="shared" si="14"/>
        <v>5.733895350236871</v>
      </c>
      <c r="AJ179" s="64">
        <v>137.6134884056849</v>
      </c>
      <c r="AK179">
        <f t="shared" si="12"/>
        <v>5.733895350236871</v>
      </c>
      <c r="AM179" s="56">
        <v>148</v>
      </c>
      <c r="AN179" s="56">
        <f t="shared" si="13"/>
        <v>0.46485636859932811</v>
      </c>
    </row>
    <row r="180" spans="1:40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N180" s="14">
        <v>49.333300000000001</v>
      </c>
      <c r="O180" s="14">
        <v>3.0760300000000001E-2</v>
      </c>
      <c r="P180">
        <v>0</v>
      </c>
      <c r="Q180" s="57"/>
      <c r="R180" s="56">
        <f>N476</f>
        <v>148</v>
      </c>
      <c r="S180" s="56">
        <f>P476</f>
        <v>0</v>
      </c>
      <c r="Z180">
        <v>148</v>
      </c>
      <c r="AA180" s="58">
        <v>383.44956122209965</v>
      </c>
      <c r="AB180" s="59">
        <v>17.803584600708664</v>
      </c>
      <c r="AC180" s="59">
        <v>401.25314582280834</v>
      </c>
      <c r="AD180" s="60">
        <v>365.64597662139096</v>
      </c>
      <c r="AE180" s="61">
        <v>0.91486367888191344</v>
      </c>
      <c r="AF180" s="62">
        <v>5.5575930119138021E-2</v>
      </c>
      <c r="AG180" s="62">
        <v>0.97043960900105142</v>
      </c>
      <c r="AH180" s="63">
        <v>0.85928774876277547</v>
      </c>
      <c r="AI180">
        <f t="shared" si="14"/>
        <v>6.7424736523425013</v>
      </c>
      <c r="AJ180" s="64">
        <v>161.81936765622004</v>
      </c>
      <c r="AK180">
        <f t="shared" si="12"/>
        <v>6.7424736523425013</v>
      </c>
      <c r="AM180" s="56">
        <v>149</v>
      </c>
      <c r="AN180" s="56">
        <f t="shared" si="13"/>
        <v>0.46485636859938495</v>
      </c>
    </row>
    <row r="181" spans="1:40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N181" s="14">
        <v>49.666699999999999</v>
      </c>
      <c r="O181" s="14">
        <v>3.7906299999999997E-2</v>
      </c>
      <c r="P181">
        <v>0</v>
      </c>
      <c r="Q181" s="57"/>
      <c r="R181" s="56">
        <f>N479</f>
        <v>149</v>
      </c>
      <c r="S181" s="56">
        <f>P479</f>
        <v>0</v>
      </c>
      <c r="Z181">
        <v>149</v>
      </c>
      <c r="AA181" s="58">
        <v>382.98470485350032</v>
      </c>
      <c r="AB181" s="59">
        <v>17.804578755496845</v>
      </c>
      <c r="AC181" s="59">
        <v>400.78928360899715</v>
      </c>
      <c r="AD181" s="60">
        <v>365.18012609800348</v>
      </c>
      <c r="AE181" s="61">
        <v>0.91378157911505942</v>
      </c>
      <c r="AF181" s="62">
        <v>5.6039049087309785E-2</v>
      </c>
      <c r="AG181" s="62">
        <v>0.96982062820236925</v>
      </c>
      <c r="AH181" s="63">
        <v>0.85774253002774958</v>
      </c>
      <c r="AI181">
        <f t="shared" si="14"/>
        <v>9.2719156530819014</v>
      </c>
      <c r="AJ181" s="64">
        <v>222.52597567396563</v>
      </c>
      <c r="AK181">
        <f t="shared" si="12"/>
        <v>9.2719156530819014</v>
      </c>
      <c r="AM181" s="56">
        <v>150</v>
      </c>
      <c r="AN181" s="56">
        <f t="shared" si="13"/>
        <v>0.46485636859938495</v>
      </c>
    </row>
    <row r="182" spans="1:40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N182" s="14">
        <v>50</v>
      </c>
      <c r="O182" s="14">
        <v>3.0576599999999999E-2</v>
      </c>
      <c r="P182" s="14">
        <f>O182+O181+O180</f>
        <v>9.9243200000000004E-2</v>
      </c>
      <c r="Q182" s="57"/>
      <c r="R182" s="56">
        <f>N482</f>
        <v>150</v>
      </c>
      <c r="S182" s="56">
        <f>P482</f>
        <v>0</v>
      </c>
      <c r="Z182">
        <v>150</v>
      </c>
      <c r="AA182" s="58">
        <v>382.51984848490093</v>
      </c>
      <c r="AB182" s="59">
        <v>17.811163248182304</v>
      </c>
      <c r="AC182" s="59">
        <v>400.33101173308324</v>
      </c>
      <c r="AD182" s="60">
        <v>364.70868523671862</v>
      </c>
      <c r="AE182" s="61">
        <v>0.91269947934820517</v>
      </c>
      <c r="AF182" s="62">
        <v>5.6507596049250486E-2</v>
      </c>
      <c r="AG182" s="62">
        <v>0.96920707539745565</v>
      </c>
      <c r="AH182" s="63">
        <v>0.85619188329895468</v>
      </c>
      <c r="AI182">
        <f t="shared" si="14"/>
        <v>12.617149363541152</v>
      </c>
      <c r="AJ182" s="64">
        <v>302.81158472498765</v>
      </c>
      <c r="AK182">
        <f t="shared" si="12"/>
        <v>12.617149363541152</v>
      </c>
      <c r="AM182" s="56">
        <v>151</v>
      </c>
      <c r="AN182" s="56">
        <f t="shared" si="13"/>
        <v>0.50413779619941579</v>
      </c>
    </row>
    <row r="183" spans="1:40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N183" s="14">
        <v>50.333300000000001</v>
      </c>
      <c r="O183" s="14">
        <v>0</v>
      </c>
      <c r="P183">
        <v>0</v>
      </c>
      <c r="Q183" s="57"/>
      <c r="R183" s="56">
        <f>N485</f>
        <v>151</v>
      </c>
      <c r="S183" s="56">
        <f>P485</f>
        <v>0</v>
      </c>
      <c r="Z183">
        <v>151</v>
      </c>
      <c r="AA183" s="58">
        <v>382.05499211630155</v>
      </c>
      <c r="AB183" s="59">
        <v>17.823331883032456</v>
      </c>
      <c r="AC183" s="59">
        <v>399.87832399933399</v>
      </c>
      <c r="AD183" s="60">
        <v>364.23166023326911</v>
      </c>
      <c r="AE183" s="61">
        <v>0.91161737958135103</v>
      </c>
      <c r="AF183" s="62">
        <v>5.6981437105195834E-2</v>
      </c>
      <c r="AG183" s="62">
        <v>0.9685988166865469</v>
      </c>
      <c r="AH183" s="63">
        <v>0.85463594247615515</v>
      </c>
      <c r="AI183">
        <f t="shared" si="14"/>
        <v>12.877571146702712</v>
      </c>
      <c r="AJ183" s="64">
        <v>309.06170752086507</v>
      </c>
      <c r="AK183">
        <f t="shared" si="12"/>
        <v>12.877571146702712</v>
      </c>
      <c r="AM183" s="56">
        <v>152</v>
      </c>
      <c r="AN183" s="56">
        <f t="shared" si="13"/>
        <v>0.57290091738070714</v>
      </c>
    </row>
    <row r="184" spans="1:40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N184" s="14">
        <v>50.666699999999999</v>
      </c>
      <c r="O184" s="14">
        <v>0</v>
      </c>
      <c r="P184">
        <v>0</v>
      </c>
      <c r="Q184" s="57"/>
      <c r="R184" s="56">
        <f>N488</f>
        <v>152</v>
      </c>
      <c r="S184" s="56">
        <f>P488</f>
        <v>0</v>
      </c>
      <c r="Z184">
        <v>152</v>
      </c>
      <c r="AA184" s="58">
        <v>381.55085432010213</v>
      </c>
      <c r="AB184" s="59">
        <v>17.907425183371206</v>
      </c>
      <c r="AC184" s="59">
        <v>399.45827950347336</v>
      </c>
      <c r="AD184" s="60">
        <v>363.6434291367309</v>
      </c>
      <c r="AE184" s="61">
        <v>0.91044783063414136</v>
      </c>
      <c r="AF184" s="62">
        <v>5.7668510497910122E-2</v>
      </c>
      <c r="AG184" s="62">
        <v>0.96811634113205147</v>
      </c>
      <c r="AH184" s="63">
        <v>0.85277932013623126</v>
      </c>
      <c r="AI184">
        <f t="shared" si="14"/>
        <v>13.079093882384663</v>
      </c>
      <c r="AJ184" s="64">
        <v>313.89825317723194</v>
      </c>
      <c r="AK184">
        <f t="shared" si="12"/>
        <v>13.079093882384663</v>
      </c>
      <c r="AM184" s="56">
        <v>153</v>
      </c>
      <c r="AN184" s="56">
        <f t="shared" si="13"/>
        <v>0.57416756089833143</v>
      </c>
    </row>
    <row r="185" spans="1:40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N185" s="14">
        <v>51</v>
      </c>
      <c r="O185" s="14">
        <v>0</v>
      </c>
      <c r="P185" s="14">
        <f>O185+O184+O183</f>
        <v>0</v>
      </c>
      <c r="Q185" s="57"/>
      <c r="R185" s="56">
        <f>N491</f>
        <v>153</v>
      </c>
      <c r="S185" s="56">
        <f>P491</f>
        <v>0</v>
      </c>
      <c r="Z185">
        <v>153</v>
      </c>
      <c r="AA185" s="58">
        <v>380.97795340272143</v>
      </c>
      <c r="AB185" s="59">
        <v>18.117187411818659</v>
      </c>
      <c r="AC185" s="59">
        <v>399.09514081454006</v>
      </c>
      <c r="AD185" s="60">
        <v>362.86076599090279</v>
      </c>
      <c r="AE185" s="61">
        <v>0.90912519971019679</v>
      </c>
      <c r="AF185" s="62">
        <v>5.872277622113254E-2</v>
      </c>
      <c r="AG185" s="62">
        <v>0.96784797593132932</v>
      </c>
      <c r="AH185" s="63">
        <v>0.85040242348906425</v>
      </c>
      <c r="AI185">
        <f t="shared" si="14"/>
        <v>13.280616618066611</v>
      </c>
      <c r="AJ185" s="64">
        <v>318.73479883359869</v>
      </c>
      <c r="AK185">
        <f t="shared" si="12"/>
        <v>13.280616618066611</v>
      </c>
      <c r="AM185" s="56">
        <v>154</v>
      </c>
      <c r="AN185" s="56">
        <f t="shared" si="13"/>
        <v>0.57416756089821774</v>
      </c>
    </row>
    <row r="186" spans="1:40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N186" s="14">
        <v>51.333300000000001</v>
      </c>
      <c r="O186" s="14">
        <v>0.35517900000000002</v>
      </c>
      <c r="P186">
        <v>0</v>
      </c>
      <c r="Q186" s="57"/>
      <c r="R186" s="56">
        <f>N494</f>
        <v>154</v>
      </c>
      <c r="S186" s="56">
        <f>P494</f>
        <v>34.37162</v>
      </c>
      <c r="Z186">
        <v>154</v>
      </c>
      <c r="AA186" s="58">
        <v>380.40378584182309</v>
      </c>
      <c r="AB186" s="59">
        <v>18.34025347806622</v>
      </c>
      <c r="AC186" s="59">
        <v>398.74403931988934</v>
      </c>
      <c r="AD186" s="60">
        <v>362.06353236375685</v>
      </c>
      <c r="AE186" s="61">
        <v>0.90779974895652127</v>
      </c>
      <c r="AF186" s="62">
        <v>5.9785633379209703E-2</v>
      </c>
      <c r="AG186" s="62">
        <v>0.96758538233573099</v>
      </c>
      <c r="AH186" s="63">
        <v>0.84801411557731154</v>
      </c>
      <c r="AI186">
        <f t="shared" si="14"/>
        <v>12.717869004847133</v>
      </c>
      <c r="AJ186" s="64">
        <v>305.2288561163312</v>
      </c>
      <c r="AK186">
        <f t="shared" si="12"/>
        <v>12.717869004847133</v>
      </c>
      <c r="AM186" s="56">
        <v>155</v>
      </c>
      <c r="AN186" s="56">
        <f t="shared" si="13"/>
        <v>0.57416756089821774</v>
      </c>
    </row>
    <row r="187" spans="1:40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N187" s="14">
        <v>51.666699999999999</v>
      </c>
      <c r="O187" s="14">
        <v>8.3206200000000003E-5</v>
      </c>
      <c r="P187">
        <v>0</v>
      </c>
      <c r="Q187" s="57"/>
      <c r="R187" s="56">
        <f>N497</f>
        <v>155</v>
      </c>
      <c r="S187" s="56">
        <f>P497</f>
        <v>3.0174300000000001</v>
      </c>
      <c r="Z187">
        <v>155</v>
      </c>
      <c r="AA187" s="58">
        <v>379.82961828092488</v>
      </c>
      <c r="AB187" s="59">
        <v>18.574074939195196</v>
      </c>
      <c r="AC187" s="59">
        <v>398.40369322012009</v>
      </c>
      <c r="AD187" s="60">
        <v>361.25554334172966</v>
      </c>
      <c r="AE187" s="61">
        <v>0.90647429820284575</v>
      </c>
      <c r="AF187" s="62">
        <v>6.0850269494436844E-2</v>
      </c>
      <c r="AG187" s="62">
        <v>0.96732456769728259</v>
      </c>
      <c r="AH187" s="63">
        <v>0.84562402870840891</v>
      </c>
      <c r="AI187">
        <f t="shared" si="14"/>
        <v>11.67385630743316</v>
      </c>
      <c r="AJ187" s="64">
        <v>280.17255137839584</v>
      </c>
      <c r="AK187">
        <f t="shared" si="12"/>
        <v>11.67385630743316</v>
      </c>
      <c r="AM187" s="56">
        <v>156</v>
      </c>
      <c r="AN187" s="56">
        <f t="shared" si="13"/>
        <v>0.63554082351873831</v>
      </c>
    </row>
    <row r="188" spans="1:40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N188" s="14">
        <v>52</v>
      </c>
      <c r="O188" s="14">
        <v>0</v>
      </c>
      <c r="P188" s="14">
        <f>O188+O187+O186</f>
        <v>0.35526220620000004</v>
      </c>
      <c r="Q188" s="57"/>
      <c r="R188" s="56">
        <f>N500</f>
        <v>156</v>
      </c>
      <c r="S188" s="56">
        <f>P500</f>
        <v>6.2824600000000004</v>
      </c>
      <c r="Z188">
        <v>156</v>
      </c>
      <c r="AA188" s="58">
        <v>379.25545072002666</v>
      </c>
      <c r="AB188" s="59">
        <v>18.818250884083636</v>
      </c>
      <c r="AC188" s="59">
        <v>398.07370160411028</v>
      </c>
      <c r="AD188" s="60">
        <v>360.43719983594303</v>
      </c>
      <c r="AE188" s="61">
        <v>0.90514884744917035</v>
      </c>
      <c r="AF188" s="62">
        <v>6.1916592801075386E-2</v>
      </c>
      <c r="AG188" s="62">
        <v>0.96706544025024577</v>
      </c>
      <c r="AH188" s="63">
        <v>0.84323225464809493</v>
      </c>
      <c r="AI188">
        <f t="shared" si="14"/>
        <v>12.208899062629156</v>
      </c>
      <c r="AJ188" s="64">
        <v>293.01357750309973</v>
      </c>
      <c r="AK188">
        <f t="shared" si="12"/>
        <v>12.208899062629156</v>
      </c>
      <c r="AM188" s="56">
        <v>157</v>
      </c>
      <c r="AN188" s="56">
        <f t="shared" si="13"/>
        <v>0.74694084218526768</v>
      </c>
    </row>
    <row r="189" spans="1:40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N189" s="14">
        <v>52.333300000000001</v>
      </c>
      <c r="O189" s="14">
        <v>0.48719899999999999</v>
      </c>
      <c r="P189">
        <v>0</v>
      </c>
      <c r="Q189" s="57"/>
      <c r="R189" s="56">
        <f>N503</f>
        <v>157</v>
      </c>
      <c r="S189" s="56">
        <f>P503</f>
        <v>3.36443</v>
      </c>
      <c r="Z189">
        <v>157</v>
      </c>
      <c r="AA189" s="58">
        <v>378.61990989650792</v>
      </c>
      <c r="AB189" s="59">
        <v>18.956408168509515</v>
      </c>
      <c r="AC189" s="59">
        <v>397.57631806501746</v>
      </c>
      <c r="AD189" s="60">
        <v>359.66350172799838</v>
      </c>
      <c r="AE189" s="61">
        <v>0.90368526327028276</v>
      </c>
      <c r="AF189" s="62">
        <v>6.29362754913666E-2</v>
      </c>
      <c r="AG189" s="62">
        <v>0.96662153876164936</v>
      </c>
      <c r="AH189" s="63">
        <v>0.84074898777891616</v>
      </c>
      <c r="AI189">
        <f t="shared" si="14"/>
        <v>12.775951461487351</v>
      </c>
      <c r="AJ189" s="64">
        <v>306.6228350756964</v>
      </c>
      <c r="AK189">
        <f t="shared" si="12"/>
        <v>12.775951461487351</v>
      </c>
      <c r="AM189" s="56">
        <v>158</v>
      </c>
      <c r="AN189" s="56">
        <f t="shared" si="13"/>
        <v>0.81195225634854751</v>
      </c>
    </row>
    <row r="190" spans="1:40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N190" s="14">
        <v>52.666699999999999</v>
      </c>
      <c r="O190" s="14">
        <v>5.0998900000000002E-6</v>
      </c>
      <c r="P190">
        <v>0</v>
      </c>
      <c r="Q190" s="57"/>
      <c r="R190" s="56">
        <f>N506</f>
        <v>158</v>
      </c>
      <c r="S190" s="56">
        <f>P506</f>
        <v>7.1911399999999999</v>
      </c>
      <c r="Z190">
        <v>158</v>
      </c>
      <c r="AA190" s="58">
        <v>377.87296905432265</v>
      </c>
      <c r="AB190" s="59">
        <v>18.900926065051681</v>
      </c>
      <c r="AC190" s="59">
        <v>396.77389511937434</v>
      </c>
      <c r="AD190" s="60">
        <v>358.97204298927096</v>
      </c>
      <c r="AE190" s="61">
        <v>0.9019709499385028</v>
      </c>
      <c r="AF190" s="62">
        <v>6.3879911886909488E-2</v>
      </c>
      <c r="AG190" s="62">
        <v>0.96585086182541224</v>
      </c>
      <c r="AH190" s="63">
        <v>0.83809103805159335</v>
      </c>
      <c r="AI190">
        <f t="shared" si="14"/>
        <v>13.343003860345545</v>
      </c>
      <c r="AJ190" s="64">
        <v>320.23209264829308</v>
      </c>
      <c r="AK190">
        <f t="shared" si="12"/>
        <v>13.343003860345545</v>
      </c>
      <c r="AM190" s="56">
        <v>159</v>
      </c>
      <c r="AN190" s="56">
        <f t="shared" si="13"/>
        <v>0.92605654296170314</v>
      </c>
    </row>
    <row r="191" spans="1:40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N191" s="14">
        <v>53</v>
      </c>
      <c r="O191" s="14">
        <v>0</v>
      </c>
      <c r="P191" s="14">
        <f>O191+O190+O189</f>
        <v>0.48720409989000002</v>
      </c>
      <c r="Q191" s="57"/>
      <c r="R191" s="56">
        <f>N509</f>
        <v>159</v>
      </c>
      <c r="S191" s="56">
        <f>P509</f>
        <v>3.8338399999999999</v>
      </c>
      <c r="Z191">
        <v>159</v>
      </c>
      <c r="AA191" s="58">
        <v>377.0610167979741</v>
      </c>
      <c r="AB191" s="59">
        <v>18.825219970434375</v>
      </c>
      <c r="AC191" s="59">
        <v>395.88623676840848</v>
      </c>
      <c r="AD191" s="60">
        <v>358.23579682753973</v>
      </c>
      <c r="AE191" s="61">
        <v>0.90010285606324769</v>
      </c>
      <c r="AF191" s="62">
        <v>6.4795581955949269E-2</v>
      </c>
      <c r="AG191" s="62">
        <v>0.96489843801919695</v>
      </c>
      <c r="AH191" s="63">
        <v>0.83530727410729844</v>
      </c>
      <c r="AI191">
        <f t="shared" si="14"/>
        <v>13.91005625920374</v>
      </c>
      <c r="AJ191" s="64">
        <v>333.84135022088975</v>
      </c>
      <c r="AK191">
        <f t="shared" si="12"/>
        <v>13.91005625920374</v>
      </c>
      <c r="AM191" s="56">
        <v>160</v>
      </c>
      <c r="AN191" s="56">
        <f t="shared" si="13"/>
        <v>1.0065376333996596</v>
      </c>
    </row>
    <row r="192" spans="1:40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N192" s="14">
        <v>53.333300000000001</v>
      </c>
      <c r="O192" s="14">
        <v>0.32974399999999998</v>
      </c>
      <c r="P192">
        <v>0</v>
      </c>
      <c r="Q192" s="57"/>
      <c r="R192" s="56">
        <f>N512</f>
        <v>160</v>
      </c>
      <c r="S192" s="56">
        <f>P512</f>
        <v>8.1777200000000008</v>
      </c>
      <c r="Z192">
        <v>160</v>
      </c>
      <c r="AA192" s="58">
        <v>376.1349602550124</v>
      </c>
      <c r="AB192" s="59">
        <v>18.708096982388259</v>
      </c>
      <c r="AC192" s="59">
        <v>394.84305723740067</v>
      </c>
      <c r="AD192" s="60">
        <v>357.42686327262413</v>
      </c>
      <c r="AE192" s="61">
        <v>0.89796437143624663</v>
      </c>
      <c r="AF192" s="62">
        <v>6.5660078499132996E-2</v>
      </c>
      <c r="AG192" s="62">
        <v>0.96362444993537966</v>
      </c>
      <c r="AH192" s="63">
        <v>0.83230429293711361</v>
      </c>
      <c r="AI192">
        <f t="shared" si="14"/>
        <v>14.477108658061937</v>
      </c>
      <c r="AJ192" s="64">
        <v>347.45060779348648</v>
      </c>
      <c r="AK192">
        <f t="shared" si="12"/>
        <v>14.477108658061937</v>
      </c>
      <c r="AM192" s="56">
        <v>161</v>
      </c>
      <c r="AN192" s="56">
        <f t="shared" si="13"/>
        <v>1.1447333989283948</v>
      </c>
    </row>
    <row r="193" spans="1:40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N193" s="14">
        <v>53.666699999999999</v>
      </c>
      <c r="O193" s="14">
        <v>1.3776000000000001E-4</v>
      </c>
      <c r="P193">
        <v>0</v>
      </c>
      <c r="Q193" s="57"/>
      <c r="R193" s="56">
        <f>N515</f>
        <v>161</v>
      </c>
      <c r="S193" s="56">
        <f>P515</f>
        <v>4.3524500000000002</v>
      </c>
      <c r="Z193">
        <v>161</v>
      </c>
      <c r="AA193" s="58">
        <v>375.12842262161274</v>
      </c>
      <c r="AB193" s="59">
        <v>18.598720733771653</v>
      </c>
      <c r="AC193" s="59">
        <v>393.72714335538438</v>
      </c>
      <c r="AD193" s="60">
        <v>356.5297018878411</v>
      </c>
      <c r="AE193" s="61">
        <v>0.89563010920481367</v>
      </c>
      <c r="AF193" s="62">
        <v>6.6464700064790105E-2</v>
      </c>
      <c r="AG193" s="62">
        <v>0.96209480926960378</v>
      </c>
      <c r="AH193" s="63">
        <v>0.82916540914002357</v>
      </c>
      <c r="AI193">
        <f t="shared" si="14"/>
        <v>14.707542923804256</v>
      </c>
      <c r="AJ193" s="64">
        <v>352.98103017130217</v>
      </c>
      <c r="AK193">
        <f t="shared" si="12"/>
        <v>14.707542923804256</v>
      </c>
      <c r="AM193" s="56">
        <v>162</v>
      </c>
      <c r="AN193" s="56">
        <f t="shared" si="13"/>
        <v>1.1473768046122359</v>
      </c>
    </row>
    <row r="194" spans="1:40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N194" s="14">
        <v>54</v>
      </c>
      <c r="O194" s="14">
        <v>0</v>
      </c>
      <c r="P194" s="14">
        <f>O194+O193+O192</f>
        <v>0.32988175999999997</v>
      </c>
      <c r="Q194" s="57"/>
      <c r="R194" s="56">
        <f>N518</f>
        <v>162</v>
      </c>
      <c r="S194" s="56">
        <f>P518</f>
        <v>9.2749199999999998</v>
      </c>
      <c r="Z194">
        <v>162</v>
      </c>
      <c r="AA194" s="58">
        <v>373.98368922268435</v>
      </c>
      <c r="AB194" s="59">
        <v>18.488370409247334</v>
      </c>
      <c r="AC194" s="59">
        <v>392.4720596319317</v>
      </c>
      <c r="AD194" s="60">
        <v>355.495318813437</v>
      </c>
      <c r="AE194" s="61">
        <v>0.89295939123482082</v>
      </c>
      <c r="AF194" s="62">
        <v>6.7153451056596578E-2</v>
      </c>
      <c r="AG194" s="62">
        <v>0.96011284229141736</v>
      </c>
      <c r="AH194" s="63">
        <v>0.82580594017822428</v>
      </c>
      <c r="AI194">
        <f t="shared" si="14"/>
        <v>14.339907490260218</v>
      </c>
      <c r="AJ194" s="64">
        <v>344.15777976624526</v>
      </c>
      <c r="AK194">
        <f t="shared" si="12"/>
        <v>14.339907490260218</v>
      </c>
      <c r="AM194" s="56">
        <v>163</v>
      </c>
      <c r="AN194" s="56">
        <f t="shared" si="13"/>
        <v>1.1473768046123496</v>
      </c>
    </row>
    <row r="195" spans="1:40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N195" s="14">
        <v>54.333300000000001</v>
      </c>
      <c r="O195" s="14">
        <v>0.32383499999999998</v>
      </c>
      <c r="P195">
        <v>0</v>
      </c>
      <c r="Q195" s="57"/>
      <c r="R195" s="56">
        <f>N521</f>
        <v>163</v>
      </c>
      <c r="S195" s="56">
        <f>P521</f>
        <v>4.9340099999999998</v>
      </c>
      <c r="Z195">
        <v>163</v>
      </c>
      <c r="AA195" s="58">
        <v>372.83631241807211</v>
      </c>
      <c r="AB195" s="59">
        <v>18.411938714592949</v>
      </c>
      <c r="AC195" s="59">
        <v>391.24825113266508</v>
      </c>
      <c r="AD195" s="60">
        <v>354.42437370347915</v>
      </c>
      <c r="AE195" s="61">
        <v>0.89028223652487548</v>
      </c>
      <c r="AF195" s="62">
        <v>6.7885086064424532E-2</v>
      </c>
      <c r="AG195" s="62">
        <v>0.95816732258930004</v>
      </c>
      <c r="AH195" s="63">
        <v>0.82239715046045092</v>
      </c>
      <c r="AI195">
        <f t="shared" si="14"/>
        <v>13.960680640441312</v>
      </c>
      <c r="AJ195" s="64">
        <v>335.05633537059151</v>
      </c>
      <c r="AK195">
        <f t="shared" si="12"/>
        <v>13.960680640441312</v>
      </c>
      <c r="AM195" s="56">
        <v>164</v>
      </c>
      <c r="AN195" s="56">
        <f t="shared" si="13"/>
        <v>1.1473768046122927</v>
      </c>
    </row>
    <row r="196" spans="1:40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N196" s="14">
        <v>54.666699999999999</v>
      </c>
      <c r="O196" s="14">
        <v>1.5510200000000001E-4</v>
      </c>
      <c r="P196">
        <v>0</v>
      </c>
      <c r="Q196" s="57"/>
      <c r="R196" s="56">
        <f>N524</f>
        <v>164</v>
      </c>
      <c r="S196" s="56">
        <f>P524</f>
        <v>10.513640000000001</v>
      </c>
      <c r="Z196">
        <v>164</v>
      </c>
      <c r="AA196" s="58">
        <v>371.68893561345976</v>
      </c>
      <c r="AB196" s="59">
        <v>18.370441595926494</v>
      </c>
      <c r="AC196" s="59">
        <v>390.05937720938624</v>
      </c>
      <c r="AD196" s="60">
        <v>353.31849401753328</v>
      </c>
      <c r="AE196" s="61">
        <v>0.88760508181493003</v>
      </c>
      <c r="AF196" s="62">
        <v>6.8661087367178936E-2</v>
      </c>
      <c r="AG196" s="62">
        <v>0.95626616918210894</v>
      </c>
      <c r="AH196" s="63">
        <v>0.81894399444775112</v>
      </c>
      <c r="AI196">
        <f t="shared" si="14"/>
        <v>13.581453790622406</v>
      </c>
      <c r="AJ196" s="64">
        <v>325.95489097493777</v>
      </c>
      <c r="AK196">
        <f t="shared" si="12"/>
        <v>13.581453790622406</v>
      </c>
      <c r="AM196" s="56">
        <v>165</v>
      </c>
      <c r="AN196" s="56">
        <f t="shared" si="13"/>
        <v>1.1473768046122927</v>
      </c>
    </row>
    <row r="197" spans="1:40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N197" s="14">
        <v>55</v>
      </c>
      <c r="O197" s="14">
        <v>0</v>
      </c>
      <c r="P197" s="14">
        <f>O197+O196+O195</f>
        <v>0.323990102</v>
      </c>
      <c r="Q197" s="57"/>
      <c r="R197" s="56">
        <f>N527</f>
        <v>165</v>
      </c>
      <c r="S197" s="56">
        <f>P527</f>
        <v>5.5953099999999996</v>
      </c>
      <c r="Z197">
        <v>165</v>
      </c>
      <c r="AA197" s="58">
        <v>370.54155880884747</v>
      </c>
      <c r="AB197" s="59">
        <v>18.364115878195424</v>
      </c>
      <c r="AC197" s="59">
        <v>388.9056746870429</v>
      </c>
      <c r="AD197" s="60">
        <v>352.17744293065203</v>
      </c>
      <c r="AE197" s="61">
        <v>0.8849279271049848</v>
      </c>
      <c r="AF197" s="62">
        <v>6.9479968438520931E-2</v>
      </c>
      <c r="AG197" s="62">
        <v>0.95440789554350569</v>
      </c>
      <c r="AH197" s="63">
        <v>0.81544795866646391</v>
      </c>
      <c r="AI197">
        <f t="shared" si="14"/>
        <v>13.202226940803499</v>
      </c>
      <c r="AJ197" s="64">
        <v>316.85344657928397</v>
      </c>
      <c r="AK197">
        <f t="shared" si="12"/>
        <v>13.202226940803499</v>
      </c>
      <c r="AM197" s="56">
        <v>166</v>
      </c>
      <c r="AN197" s="56">
        <f t="shared" si="13"/>
        <v>1.1473768046122927</v>
      </c>
    </row>
    <row r="198" spans="1:40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N198" s="14">
        <v>55.333300000000001</v>
      </c>
      <c r="O198" s="14">
        <v>0.342555</v>
      </c>
      <c r="P198">
        <v>0</v>
      </c>
      <c r="Q198" s="57"/>
      <c r="R198" s="56">
        <f>N530</f>
        <v>166</v>
      </c>
      <c r="S198" s="56">
        <f>P530</f>
        <v>11.93469</v>
      </c>
      <c r="Z198">
        <v>166</v>
      </c>
      <c r="AA198" s="58">
        <v>369.39418200423518</v>
      </c>
      <c r="AB198" s="59">
        <v>18.392997849868241</v>
      </c>
      <c r="AC198" s="59">
        <v>387.78717985410344</v>
      </c>
      <c r="AD198" s="60">
        <v>351.00118415436691</v>
      </c>
      <c r="AE198" s="61">
        <v>0.88225077239503946</v>
      </c>
      <c r="AF198" s="62">
        <v>7.0340231711999587E-2</v>
      </c>
      <c r="AG198" s="62">
        <v>0.95259100410703901</v>
      </c>
      <c r="AH198" s="63">
        <v>0.81191054068303992</v>
      </c>
      <c r="AI198">
        <f t="shared" si="14"/>
        <v>13.039944839765814</v>
      </c>
      <c r="AJ198" s="64">
        <v>312.95867615437953</v>
      </c>
      <c r="AK198">
        <f t="shared" si="12"/>
        <v>13.039944839765814</v>
      </c>
      <c r="AM198" s="56">
        <v>167</v>
      </c>
      <c r="AN198" s="56">
        <f t="shared" si="13"/>
        <v>1.1473768046122927</v>
      </c>
    </row>
    <row r="199" spans="1:40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N199" s="14">
        <v>55.666699999999999</v>
      </c>
      <c r="O199" s="14">
        <v>1.0532299999999999E-4</v>
      </c>
      <c r="P199">
        <v>0</v>
      </c>
      <c r="Q199" s="57"/>
      <c r="R199" s="56">
        <f>N533</f>
        <v>167</v>
      </c>
      <c r="S199" s="56">
        <f>P533</f>
        <v>6.3604700000000003</v>
      </c>
      <c r="Z199">
        <v>167</v>
      </c>
      <c r="AA199" s="58">
        <v>368.24680519962288</v>
      </c>
      <c r="AB199" s="59">
        <v>18.456922229390013</v>
      </c>
      <c r="AC199" s="59">
        <v>386.70372742901287</v>
      </c>
      <c r="AD199" s="60">
        <v>349.7898829702329</v>
      </c>
      <c r="AE199" s="61">
        <v>0.87957361768509412</v>
      </c>
      <c r="AF199" s="62">
        <v>7.1240378070888705E-2</v>
      </c>
      <c r="AG199" s="62">
        <v>0.9508139957559828</v>
      </c>
      <c r="AH199" s="63">
        <v>0.80833323961420545</v>
      </c>
      <c r="AI199">
        <f t="shared" si="14"/>
        <v>13.251397144314003</v>
      </c>
      <c r="AJ199" s="64">
        <v>318.03353146353606</v>
      </c>
      <c r="AK199">
        <f t="shared" si="12"/>
        <v>13.251397144314003</v>
      </c>
      <c r="AM199" s="56">
        <v>168</v>
      </c>
      <c r="AN199" s="56">
        <f t="shared" si="13"/>
        <v>1.1473768046122927</v>
      </c>
    </row>
    <row r="200" spans="1:40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N200" s="14">
        <v>56</v>
      </c>
      <c r="O200" s="14">
        <v>0</v>
      </c>
      <c r="P200" s="14">
        <f>O200+O199+O198</f>
        <v>0.34266032299999999</v>
      </c>
      <c r="Q200" s="57"/>
      <c r="R200" s="56">
        <f>N536</f>
        <v>168</v>
      </c>
      <c r="S200" s="56">
        <f>P536</f>
        <v>13.59122</v>
      </c>
      <c r="Z200">
        <v>168</v>
      </c>
      <c r="AA200" s="58">
        <v>367.09942839501059</v>
      </c>
      <c r="AB200" s="59">
        <v>18.555526853669985</v>
      </c>
      <c r="AC200" s="59">
        <v>385.65495524868055</v>
      </c>
      <c r="AD200" s="60">
        <v>348.54390154134063</v>
      </c>
      <c r="AE200" s="61">
        <v>0.87689646297514856</v>
      </c>
      <c r="AF200" s="62">
        <v>7.2178915379589606E-2</v>
      </c>
      <c r="AG200" s="62">
        <v>0.94907537835473821</v>
      </c>
      <c r="AH200" s="63">
        <v>0.80471754759555891</v>
      </c>
      <c r="AI200">
        <f t="shared" si="14"/>
        <v>13.469356004829804</v>
      </c>
      <c r="AJ200" s="64">
        <v>323.26454411591527</v>
      </c>
      <c r="AK200">
        <f t="shared" si="12"/>
        <v>13.469356004829804</v>
      </c>
      <c r="AM200" s="56">
        <v>169</v>
      </c>
      <c r="AN200" s="56">
        <f t="shared" si="13"/>
        <v>1.1473768046123496</v>
      </c>
    </row>
    <row r="201" spans="1:40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N201" s="14">
        <v>56.333300000000001</v>
      </c>
      <c r="O201" s="14">
        <v>0.34266400000000002</v>
      </c>
      <c r="P201">
        <v>0</v>
      </c>
      <c r="Q201" s="57"/>
      <c r="R201" s="56">
        <f>N539</f>
        <v>169</v>
      </c>
      <c r="S201" s="56">
        <f>P539</f>
        <v>7.2581699999999998</v>
      </c>
      <c r="Z201">
        <v>169</v>
      </c>
      <c r="AA201" s="58">
        <v>365.9520515903983</v>
      </c>
      <c r="AB201" s="59">
        <v>18.688262782072901</v>
      </c>
      <c r="AC201" s="59">
        <v>384.64031437247121</v>
      </c>
      <c r="AD201" s="60">
        <v>347.26378880832539</v>
      </c>
      <c r="AE201" s="61">
        <v>0.87421930826520322</v>
      </c>
      <c r="AF201" s="62">
        <v>7.3154366037648105E-2</v>
      </c>
      <c r="AG201" s="62">
        <v>0.94737367430285135</v>
      </c>
      <c r="AH201" s="63">
        <v>0.80106494222755509</v>
      </c>
      <c r="AI201">
        <f t="shared" si="14"/>
        <v>13.687314865345606</v>
      </c>
      <c r="AJ201" s="64">
        <v>328.49555676829453</v>
      </c>
      <c r="AK201">
        <f t="shared" si="12"/>
        <v>13.687314865345606</v>
      </c>
      <c r="AM201" s="56">
        <v>170</v>
      </c>
      <c r="AN201" s="56">
        <f t="shared" si="13"/>
        <v>1.1473768046122927</v>
      </c>
    </row>
    <row r="202" spans="1:40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N202" s="14">
        <v>56.666699999999999</v>
      </c>
      <c r="O202" s="14">
        <v>1.04633E-4</v>
      </c>
      <c r="P202">
        <v>0</v>
      </c>
      <c r="Q202" s="57"/>
      <c r="R202" s="56">
        <f>N542</f>
        <v>170</v>
      </c>
      <c r="S202" s="56">
        <f>P542</f>
        <v>7.5970199999999997</v>
      </c>
      <c r="Z202">
        <v>170</v>
      </c>
      <c r="AA202" s="58">
        <v>364.80467478578595</v>
      </c>
      <c r="AB202" s="59">
        <v>18.854409170413646</v>
      </c>
      <c r="AC202" s="59">
        <v>383.65908395619959</v>
      </c>
      <c r="AD202" s="60">
        <v>345.9502656153723</v>
      </c>
      <c r="AE202" s="61">
        <v>0.87154215355525777</v>
      </c>
      <c r="AF202" s="62">
        <v>7.4165273562981485E-2</v>
      </c>
      <c r="AG202" s="62">
        <v>0.9457074271182393</v>
      </c>
      <c r="AH202" s="63">
        <v>0.79737687999227624</v>
      </c>
      <c r="AI202">
        <f t="shared" si="14"/>
        <v>13.905273725861408</v>
      </c>
      <c r="AJ202" s="64">
        <v>333.7265694206738</v>
      </c>
      <c r="AK202">
        <f t="shared" si="12"/>
        <v>13.905273725861408</v>
      </c>
      <c r="AM202" s="56">
        <v>171</v>
      </c>
      <c r="AN202" s="56">
        <f t="shared" si="13"/>
        <v>1.1473768046122359</v>
      </c>
    </row>
    <row r="203" spans="1:40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N203" s="14">
        <v>57</v>
      </c>
      <c r="O203" s="14">
        <v>0</v>
      </c>
      <c r="P203" s="14">
        <f>O203+O202+O201</f>
        <v>0.34276863300000004</v>
      </c>
      <c r="Q203" s="57"/>
      <c r="R203" s="56">
        <f>N545</f>
        <v>171</v>
      </c>
      <c r="S203" s="56">
        <f>P545</f>
        <v>2.1279020000000002</v>
      </c>
      <c r="Z203">
        <v>171</v>
      </c>
      <c r="AA203" s="58">
        <v>363.65729798117366</v>
      </c>
      <c r="AB203" s="59">
        <v>19.053092003083648</v>
      </c>
      <c r="AC203" s="59">
        <v>382.71038998425729</v>
      </c>
      <c r="AD203" s="60">
        <v>344.60420597809002</v>
      </c>
      <c r="AE203" s="61">
        <v>0.86886499884531232</v>
      </c>
      <c r="AF203" s="62">
        <v>7.5210208231855064E-2</v>
      </c>
      <c r="AG203" s="62">
        <v>0.94407520707716741</v>
      </c>
      <c r="AH203" s="63">
        <v>0.79365479061345723</v>
      </c>
      <c r="AI203">
        <f t="shared" si="14"/>
        <v>14.123232586377208</v>
      </c>
      <c r="AJ203" s="64">
        <v>338.957582073053</v>
      </c>
      <c r="AK203">
        <f t="shared" si="12"/>
        <v>14.123232586377208</v>
      </c>
      <c r="AM203" s="56">
        <v>172</v>
      </c>
      <c r="AN203" s="56">
        <f t="shared" si="13"/>
        <v>1.1473768046123496</v>
      </c>
    </row>
    <row r="204" spans="1:40" x14ac:dyDescent="0.25">
      <c r="N204" s="14">
        <v>57.333300000000001</v>
      </c>
      <c r="O204" s="14">
        <v>0.32141599999999998</v>
      </c>
      <c r="P204">
        <v>0</v>
      </c>
      <c r="Q204" s="57"/>
      <c r="R204" s="56">
        <f>N548</f>
        <v>172</v>
      </c>
      <c r="S204" s="56">
        <f>P548</f>
        <v>3.1960550000000003</v>
      </c>
      <c r="Z204">
        <v>172</v>
      </c>
      <c r="AA204" s="58">
        <v>362.50992117656142</v>
      </c>
      <c r="AB204" s="59">
        <v>19.28330560224536</v>
      </c>
      <c r="AC204" s="59">
        <v>381.7932267788068</v>
      </c>
      <c r="AD204" s="60">
        <v>343.22661557431604</v>
      </c>
      <c r="AE204" s="61">
        <v>0.86618784413536709</v>
      </c>
      <c r="AF204" s="62">
        <v>7.6287771819548919E-2</v>
      </c>
      <c r="AG204" s="62">
        <v>0.94247561595491602</v>
      </c>
      <c r="AH204" s="63">
        <v>0.78990007231581816</v>
      </c>
      <c r="AI204">
        <f t="shared" si="14"/>
        <v>14.341191446893012</v>
      </c>
      <c r="AJ204" s="64">
        <v>344.18859472543227</v>
      </c>
      <c r="AK204">
        <f t="shared" si="12"/>
        <v>14.341191446893012</v>
      </c>
      <c r="AM204" s="56">
        <v>173</v>
      </c>
      <c r="AN204" s="56">
        <f t="shared" si="13"/>
        <v>1.183343614100238</v>
      </c>
    </row>
    <row r="205" spans="1:40" x14ac:dyDescent="0.25">
      <c r="N205" s="14">
        <v>57.666699999999999</v>
      </c>
      <c r="O205" s="14">
        <v>1.61349E-4</v>
      </c>
      <c r="P205">
        <v>0</v>
      </c>
      <c r="Q205" s="57"/>
      <c r="R205" s="56">
        <f>N551</f>
        <v>173</v>
      </c>
      <c r="S205" s="56">
        <f>P551</f>
        <v>3.3405200000000002</v>
      </c>
      <c r="Z205">
        <v>173</v>
      </c>
      <c r="AA205" s="58">
        <v>361.36254437194907</v>
      </c>
      <c r="AB205" s="59">
        <v>19.543935769957596</v>
      </c>
      <c r="AC205" s="59">
        <v>380.90648014190668</v>
      </c>
      <c r="AD205" s="60">
        <v>341.81860860199146</v>
      </c>
      <c r="AE205" s="61">
        <v>0.86351068942542153</v>
      </c>
      <c r="AF205" s="62">
        <v>7.7396601497801906E-2</v>
      </c>
      <c r="AG205" s="62">
        <v>0.94090729092322345</v>
      </c>
      <c r="AH205" s="63">
        <v>0.78611408792761961</v>
      </c>
      <c r="AI205">
        <f t="shared" si="14"/>
        <v>13.5487322953931</v>
      </c>
      <c r="AJ205" s="64">
        <v>325.16957508943437</v>
      </c>
      <c r="AK205">
        <f t="shared" si="12"/>
        <v>13.5487322953931</v>
      </c>
      <c r="AM205" s="56">
        <v>174</v>
      </c>
      <c r="AN205" s="56">
        <f t="shared" si="13"/>
        <v>1.2495477986021797</v>
      </c>
    </row>
    <row r="206" spans="1:40" x14ac:dyDescent="0.25">
      <c r="N206" s="14">
        <v>58</v>
      </c>
      <c r="O206" s="14">
        <v>0</v>
      </c>
      <c r="P206" s="14">
        <f>O206+O205+O204</f>
        <v>0.32157734899999996</v>
      </c>
      <c r="Q206" s="57"/>
      <c r="R206" s="56">
        <f>N554</f>
        <v>174</v>
      </c>
      <c r="S206" s="56">
        <f>P554</f>
        <v>3.3058000000000001</v>
      </c>
      <c r="Z206">
        <v>174</v>
      </c>
      <c r="AA206" s="58">
        <v>360.17920075784883</v>
      </c>
      <c r="AB206" s="59">
        <v>19.846933447518964</v>
      </c>
      <c r="AC206" s="59">
        <v>380.02613420536778</v>
      </c>
      <c r="AD206" s="60">
        <v>340.33226731032988</v>
      </c>
      <c r="AE206" s="61">
        <v>0.86074937604984569</v>
      </c>
      <c r="AF206" s="62">
        <v>7.8575555158217777E-2</v>
      </c>
      <c r="AG206" s="62">
        <v>0.93932493120806348</v>
      </c>
      <c r="AH206" s="63">
        <v>0.7821738208916279</v>
      </c>
      <c r="AI206">
        <f t="shared" si="14"/>
        <v>11.905065743880238</v>
      </c>
      <c r="AJ206" s="64">
        <v>285.72157785312572</v>
      </c>
      <c r="AK206">
        <f t="shared" si="12"/>
        <v>11.905065743880238</v>
      </c>
      <c r="AM206" s="56">
        <v>175</v>
      </c>
      <c r="AN206" s="56">
        <f t="shared" si="13"/>
        <v>1.2538538943786648</v>
      </c>
    </row>
    <row r="207" spans="1:40" x14ac:dyDescent="0.25">
      <c r="N207" s="14">
        <v>58.333300000000001</v>
      </c>
      <c r="O207" s="14">
        <v>0.34137099999999998</v>
      </c>
      <c r="P207">
        <v>0</v>
      </c>
      <c r="Q207" s="57"/>
      <c r="R207" s="56">
        <f>N557</f>
        <v>175</v>
      </c>
      <c r="S207" s="56">
        <f>P557</f>
        <v>3.3207800000000001</v>
      </c>
      <c r="Z207">
        <v>175</v>
      </c>
      <c r="AA207" s="58">
        <v>358.92965295924665</v>
      </c>
      <c r="AB207" s="59">
        <v>20.202017484772057</v>
      </c>
      <c r="AC207" s="59">
        <v>379.13167044401871</v>
      </c>
      <c r="AD207" s="60">
        <v>338.7276354744746</v>
      </c>
      <c r="AE207" s="61">
        <v>0.85783265893511773</v>
      </c>
      <c r="AF207" s="62">
        <v>7.9849081928684881E-2</v>
      </c>
      <c r="AG207" s="62">
        <v>0.93768174086380263</v>
      </c>
      <c r="AH207" s="63">
        <v>0.77798357700643284</v>
      </c>
      <c r="AI207">
        <f t="shared" si="14"/>
        <v>11.989091378392837</v>
      </c>
      <c r="AJ207" s="64">
        <v>287.73819308142811</v>
      </c>
      <c r="AK207">
        <f t="shared" si="12"/>
        <v>11.989091378392837</v>
      </c>
      <c r="AM207" s="56">
        <v>176</v>
      </c>
      <c r="AN207" s="56">
        <f t="shared" si="13"/>
        <v>1.2539113494227649</v>
      </c>
    </row>
    <row r="208" spans="1:40" x14ac:dyDescent="0.25">
      <c r="N208" s="14">
        <v>58.666699999999999</v>
      </c>
      <c r="O208" s="14">
        <v>1.0676899999999999E-4</v>
      </c>
      <c r="P208">
        <v>0</v>
      </c>
      <c r="Q208" s="57"/>
      <c r="R208" s="56">
        <f>N560</f>
        <v>176</v>
      </c>
      <c r="S208" s="56">
        <f>P560</f>
        <v>3.3055099999999999</v>
      </c>
      <c r="Z208">
        <v>176</v>
      </c>
      <c r="AA208" s="58">
        <v>357.67579906486799</v>
      </c>
      <c r="AB208" s="59">
        <v>20.58436650616553</v>
      </c>
      <c r="AC208" s="59">
        <v>378.2601655710335</v>
      </c>
      <c r="AD208" s="60">
        <v>337.09143255870248</v>
      </c>
      <c r="AE208" s="61">
        <v>0.85490499509514895</v>
      </c>
      <c r="AF208" s="62">
        <v>8.1140197735808633E-2</v>
      </c>
      <c r="AG208" s="62">
        <v>0.93604519283095755</v>
      </c>
      <c r="AH208" s="63">
        <v>0.77376479735934034</v>
      </c>
      <c r="AI208">
        <f t="shared" si="14"/>
        <v>12.106779395700455</v>
      </c>
      <c r="AJ208" s="64">
        <v>290.56270549681091</v>
      </c>
      <c r="AK208">
        <f t="shared" si="12"/>
        <v>12.106779395700455</v>
      </c>
      <c r="AM208" s="56">
        <v>177</v>
      </c>
      <c r="AN208" s="56">
        <f t="shared" si="13"/>
        <v>1.2539113494225944</v>
      </c>
    </row>
    <row r="209" spans="14:40" x14ac:dyDescent="0.25">
      <c r="N209" s="14">
        <v>59</v>
      </c>
      <c r="O209" s="14">
        <v>0</v>
      </c>
      <c r="P209" s="14">
        <f>O209+O208+O207</f>
        <v>0.34147776899999999</v>
      </c>
      <c r="Q209" s="57"/>
      <c r="R209" s="56">
        <f>N563</f>
        <v>177</v>
      </c>
      <c r="S209" s="56">
        <f>P563</f>
        <v>3.3010700000000002</v>
      </c>
      <c r="Z209">
        <v>177</v>
      </c>
      <c r="AA209" s="58">
        <v>356.42188771544522</v>
      </c>
      <c r="AB209" s="59">
        <v>20.99300017801389</v>
      </c>
      <c r="AC209" s="59">
        <v>377.41488789345914</v>
      </c>
      <c r="AD209" s="60">
        <v>335.42888753743131</v>
      </c>
      <c r="AE209" s="61">
        <v>0.85197718022860969</v>
      </c>
      <c r="AF209" s="62">
        <v>8.2457663170405385E-2</v>
      </c>
      <c r="AG209" s="62">
        <v>0.93443484339901506</v>
      </c>
      <c r="AH209" s="63">
        <v>0.76951951705820432</v>
      </c>
      <c r="AI209">
        <f t="shared" si="14"/>
        <v>12.224467413008073</v>
      </c>
      <c r="AJ209" s="64">
        <v>293.38721791219376</v>
      </c>
      <c r="AK209">
        <f t="shared" si="12"/>
        <v>12.224467413008073</v>
      </c>
      <c r="AM209" s="56">
        <v>178</v>
      </c>
      <c r="AN209" s="56">
        <f t="shared" si="13"/>
        <v>1.2539113494225944</v>
      </c>
    </row>
    <row r="210" spans="14:40" x14ac:dyDescent="0.25">
      <c r="N210" s="14">
        <v>59.333300000000001</v>
      </c>
      <c r="O210" s="14">
        <v>0.34102100000000002</v>
      </c>
      <c r="P210">
        <v>0</v>
      </c>
      <c r="Q210" s="57"/>
      <c r="R210" s="56">
        <f>N566</f>
        <v>178</v>
      </c>
      <c r="S210" s="56">
        <f>P566</f>
        <v>3.2984400000000003</v>
      </c>
      <c r="Z210">
        <v>178</v>
      </c>
      <c r="AA210" s="58">
        <v>355.16797636602263</v>
      </c>
      <c r="AB210" s="59">
        <v>21.426436664984362</v>
      </c>
      <c r="AC210" s="59">
        <v>376.59441303100698</v>
      </c>
      <c r="AD210" s="60">
        <v>333.74153970103828</v>
      </c>
      <c r="AE210" s="61">
        <v>0.84904936536207032</v>
      </c>
      <c r="AF210" s="62">
        <v>8.3800450710158764E-2</v>
      </c>
      <c r="AG210" s="62">
        <v>0.93284981607222905</v>
      </c>
      <c r="AH210" s="63">
        <v>0.76524891465191158</v>
      </c>
      <c r="AI210">
        <f t="shared" si="14"/>
        <v>12.342155430315692</v>
      </c>
      <c r="AJ210" s="64">
        <v>296.21173032757662</v>
      </c>
      <c r="AK210">
        <f t="shared" si="12"/>
        <v>12.342155430315692</v>
      </c>
      <c r="AM210" s="56">
        <v>179</v>
      </c>
      <c r="AN210" s="56">
        <f t="shared" si="13"/>
        <v>1.2942008986859719</v>
      </c>
    </row>
    <row r="211" spans="14:40" x14ac:dyDescent="0.25">
      <c r="N211" s="14">
        <v>59.666699999999999</v>
      </c>
      <c r="O211" s="14">
        <v>1.07042E-4</v>
      </c>
      <c r="P211">
        <v>0</v>
      </c>
      <c r="Q211" s="57"/>
      <c r="R211" s="56">
        <f>N569</f>
        <v>179</v>
      </c>
      <c r="S211" s="56">
        <f>P569</f>
        <v>3.2776300000000003</v>
      </c>
      <c r="Z211">
        <v>179</v>
      </c>
      <c r="AA211" s="58">
        <v>353.91406501660003</v>
      </c>
      <c r="AB211" s="59">
        <v>21.883202222564101</v>
      </c>
      <c r="AC211" s="59">
        <v>375.79726723916411</v>
      </c>
      <c r="AD211" s="60">
        <v>332.03086279403595</v>
      </c>
      <c r="AE211" s="61">
        <v>0.84612155049553106</v>
      </c>
      <c r="AF211" s="62">
        <v>8.5167362643863043E-2</v>
      </c>
      <c r="AG211" s="62">
        <v>0.9312889131393941</v>
      </c>
      <c r="AH211" s="63">
        <v>0.76095418785166802</v>
      </c>
      <c r="AI211">
        <f t="shared" si="14"/>
        <v>12.459843447623312</v>
      </c>
      <c r="AJ211" s="64">
        <v>299.03624274295947</v>
      </c>
      <c r="AK211">
        <f t="shared" si="12"/>
        <v>12.459843447623312</v>
      </c>
      <c r="AM211" s="56">
        <v>180</v>
      </c>
      <c r="AN211" s="56">
        <f t="shared" si="13"/>
        <v>1.3650430146468011</v>
      </c>
    </row>
    <row r="212" spans="14:40" x14ac:dyDescent="0.25">
      <c r="N212" s="14">
        <v>60</v>
      </c>
      <c r="O212" s="14">
        <v>0</v>
      </c>
      <c r="P212" s="14">
        <f>O212+O211+O210</f>
        <v>0.34112804200000002</v>
      </c>
      <c r="Q212" s="57"/>
      <c r="R212" s="56">
        <f>N572</f>
        <v>180</v>
      </c>
      <c r="S212" s="56">
        <f>P572</f>
        <v>3.2619899999999999</v>
      </c>
      <c r="Z212">
        <v>180</v>
      </c>
      <c r="AA212" s="58">
        <v>352.61986411791406</v>
      </c>
      <c r="AB212" s="59">
        <v>22.304004165540015</v>
      </c>
      <c r="AC212" s="59">
        <v>374.92386828345406</v>
      </c>
      <c r="AD212" s="60">
        <v>330.31585995237407</v>
      </c>
      <c r="AE212" s="61">
        <v>0.84310324016235161</v>
      </c>
      <c r="AF212" s="62">
        <v>8.654296044713948E-2</v>
      </c>
      <c r="AG212" s="62">
        <v>0.9296462006094911</v>
      </c>
      <c r="AH212" s="63">
        <v>0.75656027971521211</v>
      </c>
      <c r="AI212">
        <f t="shared" si="14"/>
        <v>12.57753146493093</v>
      </c>
      <c r="AJ212" s="64">
        <v>301.86075515834233</v>
      </c>
      <c r="AK212">
        <f t="shared" si="12"/>
        <v>12.57753146493093</v>
      </c>
      <c r="AM212" s="56">
        <v>181</v>
      </c>
      <c r="AN212" s="56">
        <f t="shared" si="13"/>
        <v>1.3663681742436893</v>
      </c>
    </row>
    <row r="213" spans="14:40" x14ac:dyDescent="0.25">
      <c r="N213" s="14">
        <v>60.333300000000001</v>
      </c>
      <c r="O213" s="14">
        <v>0.340586</v>
      </c>
      <c r="P213">
        <v>0</v>
      </c>
      <c r="Q213" s="57"/>
      <c r="R213" s="56">
        <f>N575</f>
        <v>181</v>
      </c>
      <c r="S213" s="56">
        <f>P575</f>
        <v>3.27216</v>
      </c>
      <c r="Z213">
        <v>181</v>
      </c>
      <c r="AA213" s="58">
        <v>351.25482110326726</v>
      </c>
      <c r="AB213" s="59">
        <v>22.645152671893417</v>
      </c>
      <c r="AC213" s="59">
        <v>373.89997377516067</v>
      </c>
      <c r="AD213" s="60">
        <v>328.60966843137385</v>
      </c>
      <c r="AE213" s="61">
        <v>0.83992580940070227</v>
      </c>
      <c r="AF213" s="62">
        <v>8.7912472029915742E-2</v>
      </c>
      <c r="AG213" s="62">
        <v>0.92783828143061797</v>
      </c>
      <c r="AH213" s="63">
        <v>0.75201333737078657</v>
      </c>
      <c r="AI213">
        <f t="shared" si="14"/>
        <v>12.695219482238549</v>
      </c>
      <c r="AJ213" s="64">
        <v>304.68526757372518</v>
      </c>
      <c r="AK213">
        <f t="shared" si="12"/>
        <v>12.695219482238549</v>
      </c>
      <c r="AM213" s="56">
        <v>182</v>
      </c>
      <c r="AN213" s="56">
        <f t="shared" si="13"/>
        <v>1.366368174243803</v>
      </c>
    </row>
    <row r="214" spans="14:40" x14ac:dyDescent="0.25">
      <c r="N214" s="14">
        <v>60.666699999999999</v>
      </c>
      <c r="O214" s="14">
        <v>1.07487E-4</v>
      </c>
      <c r="P214">
        <v>0</v>
      </c>
      <c r="Q214" s="57"/>
      <c r="R214" s="56">
        <f>N578</f>
        <v>182</v>
      </c>
      <c r="S214" s="56">
        <f>P578</f>
        <v>3.2498699999999996</v>
      </c>
      <c r="Z214">
        <v>182</v>
      </c>
      <c r="AA214" s="58">
        <v>349.88845292902357</v>
      </c>
      <c r="AB214" s="59">
        <v>23.006208161764157</v>
      </c>
      <c r="AC214" s="59">
        <v>372.89466109078774</v>
      </c>
      <c r="AD214" s="60">
        <v>326.88224476725941</v>
      </c>
      <c r="AE214" s="61">
        <v>0.83674540216157178</v>
      </c>
      <c r="AF214" s="62">
        <v>8.9298401751135736E-2</v>
      </c>
      <c r="AG214" s="62">
        <v>0.92604380391270746</v>
      </c>
      <c r="AH214" s="63">
        <v>0.7474470004104361</v>
      </c>
      <c r="AI214">
        <f t="shared" si="14"/>
        <v>12.812907499546169</v>
      </c>
      <c r="AJ214" s="64">
        <v>307.50977998910804</v>
      </c>
      <c r="AK214">
        <f t="shared" si="12"/>
        <v>12.812907499546169</v>
      </c>
      <c r="AM214" s="56">
        <v>183</v>
      </c>
      <c r="AN214" s="56">
        <f t="shared" si="13"/>
        <v>1.3663681742436893</v>
      </c>
    </row>
    <row r="215" spans="14:40" x14ac:dyDescent="0.25">
      <c r="N215" s="14">
        <v>61</v>
      </c>
      <c r="O215" s="14">
        <v>0</v>
      </c>
      <c r="P215" s="14">
        <f>O215+O214+O213</f>
        <v>0.34069348700000002</v>
      </c>
      <c r="Q215" s="57"/>
      <c r="R215" s="56">
        <f>N581</f>
        <v>183</v>
      </c>
      <c r="S215" s="56">
        <f>P581</f>
        <v>3.2356699999999998</v>
      </c>
      <c r="Z215">
        <v>183</v>
      </c>
      <c r="AA215" s="58">
        <v>348.52208475477977</v>
      </c>
      <c r="AB215" s="59">
        <v>23.388057185521024</v>
      </c>
      <c r="AC215" s="59">
        <v>371.91014194030078</v>
      </c>
      <c r="AD215" s="60">
        <v>325.13402756925876</v>
      </c>
      <c r="AE215" s="61">
        <v>0.83356499492244129</v>
      </c>
      <c r="AF215" s="62">
        <v>9.0700434181038778E-2</v>
      </c>
      <c r="AG215" s="62">
        <v>0.92426542910348009</v>
      </c>
      <c r="AH215" s="63">
        <v>0.7428645607414025</v>
      </c>
      <c r="AI215">
        <f t="shared" si="14"/>
        <v>12.912032398189417</v>
      </c>
      <c r="AJ215" s="64">
        <v>309.88877755654602</v>
      </c>
      <c r="AK215">
        <f t="shared" si="12"/>
        <v>12.912032398189417</v>
      </c>
      <c r="AM215" s="56">
        <v>184</v>
      </c>
      <c r="AN215" s="56">
        <f t="shared" si="13"/>
        <v>1.3663681742437461</v>
      </c>
    </row>
    <row r="216" spans="14:40" x14ac:dyDescent="0.25">
      <c r="N216" s="14">
        <v>61.333300000000001</v>
      </c>
      <c r="O216" s="14">
        <v>0.34042800000000001</v>
      </c>
      <c r="P216">
        <v>0</v>
      </c>
      <c r="Q216" s="57"/>
      <c r="R216" s="56">
        <f>N584</f>
        <v>184</v>
      </c>
      <c r="S216" s="56">
        <f>P584</f>
        <v>3.2268600000000003</v>
      </c>
      <c r="Z216">
        <v>184</v>
      </c>
      <c r="AA216" s="58">
        <v>347.15571658053608</v>
      </c>
      <c r="AB216" s="59">
        <v>23.789698491693731</v>
      </c>
      <c r="AC216" s="59">
        <v>370.94541507222982</v>
      </c>
      <c r="AD216" s="60">
        <v>323.36601808884234</v>
      </c>
      <c r="AE216" s="61">
        <v>0.8303845876833108</v>
      </c>
      <c r="AF216" s="62">
        <v>9.2117834073407165E-2</v>
      </c>
      <c r="AG216" s="62">
        <v>0.92250242175671793</v>
      </c>
      <c r="AH216" s="63">
        <v>0.73826675360990368</v>
      </c>
      <c r="AI216">
        <f t="shared" si="14"/>
        <v>12.977947408468646</v>
      </c>
      <c r="AJ216" s="64">
        <v>311.47073780324752</v>
      </c>
      <c r="AK216">
        <f t="shared" si="12"/>
        <v>12.977947408468646</v>
      </c>
      <c r="AM216" s="56">
        <v>185</v>
      </c>
      <c r="AN216" s="56">
        <f t="shared" si="13"/>
        <v>1.366368174243803</v>
      </c>
    </row>
    <row r="217" spans="14:40" x14ac:dyDescent="0.25">
      <c r="N217" s="14">
        <v>61.666699999999999</v>
      </c>
      <c r="O217" s="14">
        <v>1.07322E-4</v>
      </c>
      <c r="P217">
        <v>0</v>
      </c>
      <c r="Q217" s="57"/>
      <c r="R217" s="56">
        <f>N587</f>
        <v>185</v>
      </c>
      <c r="S217" s="56">
        <f>P587</f>
        <v>3.2248700000000001</v>
      </c>
      <c r="Z217">
        <v>185</v>
      </c>
      <c r="AA217" s="58">
        <v>345.78934840629233</v>
      </c>
      <c r="AB217" s="59">
        <v>24.210147050769979</v>
      </c>
      <c r="AC217" s="59">
        <v>369.99949545706232</v>
      </c>
      <c r="AD217" s="60">
        <v>321.57920135552234</v>
      </c>
      <c r="AE217" s="61">
        <v>0.82720418044418043</v>
      </c>
      <c r="AF217" s="62">
        <v>9.3549902921101158E-2</v>
      </c>
      <c r="AG217" s="62">
        <v>0.92075408336528164</v>
      </c>
      <c r="AH217" s="63">
        <v>0.73365427752307921</v>
      </c>
      <c r="AI217">
        <f t="shared" si="14"/>
        <v>13.043203639748478</v>
      </c>
      <c r="AJ217" s="64">
        <v>313.03688735396349</v>
      </c>
      <c r="AK217">
        <f t="shared" si="12"/>
        <v>13.043203639748478</v>
      </c>
      <c r="AM217" s="56">
        <v>186</v>
      </c>
      <c r="AN217" s="56">
        <f t="shared" si="13"/>
        <v>1.3663681742436893</v>
      </c>
    </row>
    <row r="218" spans="14:40" x14ac:dyDescent="0.25">
      <c r="N218" s="14">
        <v>62</v>
      </c>
      <c r="O218" s="14">
        <v>0</v>
      </c>
      <c r="P218" s="14">
        <f>O218+O217+O216</f>
        <v>0.34053532200000003</v>
      </c>
      <c r="Q218" s="57"/>
      <c r="R218" s="56">
        <f>N590</f>
        <v>186</v>
      </c>
      <c r="S218" s="56">
        <f>P590</f>
        <v>3.1953</v>
      </c>
      <c r="Z218">
        <v>186</v>
      </c>
      <c r="AA218" s="58">
        <v>344.42298023204853</v>
      </c>
      <c r="AB218" s="59">
        <v>24.648440449566682</v>
      </c>
      <c r="AC218" s="59">
        <v>369.07142068161522</v>
      </c>
      <c r="AD218" s="60">
        <v>319.77453978248184</v>
      </c>
      <c r="AE218" s="61">
        <v>0.82402377320504994</v>
      </c>
      <c r="AF218" s="62">
        <v>9.4995977320855463E-2</v>
      </c>
      <c r="AG218" s="62">
        <v>0.91901975052590545</v>
      </c>
      <c r="AH218" s="63">
        <v>0.72902779588419442</v>
      </c>
      <c r="AI218">
        <f t="shared" si="14"/>
        <v>13.108459871028311</v>
      </c>
      <c r="AJ218" s="64">
        <v>314.60303690467947</v>
      </c>
      <c r="AK218">
        <f t="shared" si="12"/>
        <v>13.108459871028311</v>
      </c>
      <c r="AM218" s="56">
        <v>187</v>
      </c>
      <c r="AN218" s="56">
        <f t="shared" si="13"/>
        <v>1.3663681742436893</v>
      </c>
    </row>
    <row r="219" spans="14:40" x14ac:dyDescent="0.25">
      <c r="N219" s="14">
        <v>62.333300000000001</v>
      </c>
      <c r="O219" s="14">
        <v>0.31937700000000002</v>
      </c>
      <c r="P219">
        <v>0</v>
      </c>
      <c r="Q219" s="57"/>
      <c r="R219" s="56">
        <f>N593</f>
        <v>187</v>
      </c>
      <c r="S219" s="56">
        <f>P593</f>
        <v>3.2104399999999997</v>
      </c>
      <c r="Z219">
        <v>187</v>
      </c>
      <c r="AA219" s="58">
        <v>343.05661205780484</v>
      </c>
      <c r="AB219" s="59">
        <v>25.103644027381332</v>
      </c>
      <c r="AC219" s="59">
        <v>368.16025608518618</v>
      </c>
      <c r="AD219" s="60">
        <v>317.95296803042351</v>
      </c>
      <c r="AE219" s="61">
        <v>0.82084336596591956</v>
      </c>
      <c r="AF219" s="62">
        <v>9.6455427354640688E-2</v>
      </c>
      <c r="AG219" s="62">
        <v>0.9172987933205603</v>
      </c>
      <c r="AH219" s="63">
        <v>0.72438793861127881</v>
      </c>
      <c r="AI219">
        <f t="shared" si="14"/>
        <v>13.173716102308141</v>
      </c>
      <c r="AJ219" s="64">
        <v>316.16918645539539</v>
      </c>
      <c r="AK219">
        <f t="shared" si="12"/>
        <v>13.173716102308141</v>
      </c>
      <c r="AM219" s="56">
        <v>188</v>
      </c>
      <c r="AN219" s="56">
        <f t="shared" si="13"/>
        <v>1.366368174243803</v>
      </c>
    </row>
    <row r="220" spans="14:40" x14ac:dyDescent="0.25">
      <c r="N220" s="14">
        <v>62.666699999999999</v>
      </c>
      <c r="O220" s="14">
        <v>1.65021E-4</v>
      </c>
      <c r="P220">
        <v>0</v>
      </c>
      <c r="Q220" s="57"/>
      <c r="R220" s="56">
        <f>N596</f>
        <v>188</v>
      </c>
      <c r="S220" s="56">
        <f>P596</f>
        <v>3.2172400000000003</v>
      </c>
      <c r="Z220">
        <v>188</v>
      </c>
      <c r="AA220" s="58">
        <v>341.69024388356115</v>
      </c>
      <c r="AB220" s="59">
        <v>25.574854853798097</v>
      </c>
      <c r="AC220" s="59">
        <v>367.26509873735927</v>
      </c>
      <c r="AD220" s="60">
        <v>316.11538902976304</v>
      </c>
      <c r="AE220" s="61">
        <v>0.81766295872678918</v>
      </c>
      <c r="AF220" s="62">
        <v>9.7927654999051997E-2</v>
      </c>
      <c r="AG220" s="62">
        <v>0.91559061372584116</v>
      </c>
      <c r="AH220" s="63">
        <v>0.7197353037277372</v>
      </c>
      <c r="AI220">
        <f t="shared" si="14"/>
        <v>13.238972333587975</v>
      </c>
      <c r="AJ220" s="64">
        <v>317.73533600611142</v>
      </c>
      <c r="AK220">
        <f t="shared" si="12"/>
        <v>13.238972333587975</v>
      </c>
      <c r="AM220" s="56">
        <v>189</v>
      </c>
      <c r="AN220" s="56">
        <f t="shared" si="13"/>
        <v>1.3663681742437461</v>
      </c>
    </row>
    <row r="221" spans="14:40" x14ac:dyDescent="0.25">
      <c r="N221" s="14">
        <v>63</v>
      </c>
      <c r="O221" s="14">
        <v>0</v>
      </c>
      <c r="P221" s="14">
        <f>O221+O220+O219</f>
        <v>0.31954202100000001</v>
      </c>
      <c r="Q221" s="57"/>
      <c r="R221" s="56">
        <f>N599</f>
        <v>189</v>
      </c>
      <c r="S221" s="56">
        <f>P599</f>
        <v>3.2080900000000003</v>
      </c>
      <c r="Z221">
        <v>189</v>
      </c>
      <c r="AA221" s="58">
        <v>340.32387570931735</v>
      </c>
      <c r="AB221" s="59">
        <v>26.061204665439334</v>
      </c>
      <c r="AC221" s="59">
        <v>366.38508037475668</v>
      </c>
      <c r="AD221" s="60">
        <v>314.26267104387802</v>
      </c>
      <c r="AE221" s="61">
        <v>0.8144825514876588</v>
      </c>
      <c r="AF221" s="62">
        <v>9.9412092571705996E-2</v>
      </c>
      <c r="AG221" s="62">
        <v>0.91389464405936482</v>
      </c>
      <c r="AH221" s="63">
        <v>0.71507045891595278</v>
      </c>
      <c r="AI221">
        <f t="shared" si="14"/>
        <v>13.304228564867811</v>
      </c>
      <c r="AJ221" s="64">
        <v>319.30148555682746</v>
      </c>
      <c r="AK221">
        <f t="shared" si="12"/>
        <v>13.304228564867811</v>
      </c>
      <c r="AM221" s="56">
        <v>190</v>
      </c>
      <c r="AN221" s="56">
        <f t="shared" si="13"/>
        <v>1.3663681742437461</v>
      </c>
    </row>
    <row r="222" spans="14:40" x14ac:dyDescent="0.25">
      <c r="N222" s="14">
        <v>63.333300000000001</v>
      </c>
      <c r="O222" s="14">
        <v>0.29398000000000002</v>
      </c>
      <c r="P222">
        <v>0</v>
      </c>
      <c r="Q222" s="57"/>
      <c r="R222" s="56">
        <f>N602</f>
        <v>190</v>
      </c>
      <c r="S222" s="56">
        <f>P602</f>
        <v>3.1983199999999998</v>
      </c>
      <c r="Z222">
        <v>190</v>
      </c>
      <c r="AA222" s="58">
        <v>338.9575075350736</v>
      </c>
      <c r="AB222" s="59">
        <v>26.561861887238052</v>
      </c>
      <c r="AC222" s="59">
        <v>365.51936942231168</v>
      </c>
      <c r="AD222" s="60">
        <v>312.39564564783552</v>
      </c>
      <c r="AE222" s="61">
        <v>0.8113021442485282</v>
      </c>
      <c r="AF222" s="62">
        <v>0.10090820122162159</v>
      </c>
      <c r="AG222" s="62">
        <v>0.91221034547014979</v>
      </c>
      <c r="AH222" s="63">
        <v>0.71039394302690662</v>
      </c>
      <c r="AI222">
        <f t="shared" si="14"/>
        <v>13.369484796147644</v>
      </c>
      <c r="AJ222" s="64">
        <v>320.86763510754344</v>
      </c>
      <c r="AK222">
        <f t="shared" si="12"/>
        <v>13.369484796147644</v>
      </c>
      <c r="AM222" s="56">
        <v>191</v>
      </c>
      <c r="AN222" s="56">
        <f t="shared" si="13"/>
        <v>1.3663681742436893</v>
      </c>
    </row>
    <row r="223" spans="14:40" x14ac:dyDescent="0.25">
      <c r="N223" s="14">
        <v>63.666699999999999</v>
      </c>
      <c r="O223" s="14">
        <v>2.7633699999999998E-4</v>
      </c>
      <c r="P223">
        <v>0</v>
      </c>
      <c r="Q223" s="57"/>
      <c r="R223" s="56">
        <f>N605</f>
        <v>191</v>
      </c>
      <c r="S223" s="56">
        <f>P605</f>
        <v>3.1854700000000005</v>
      </c>
      <c r="Z223">
        <v>191</v>
      </c>
      <c r="AA223" s="58">
        <v>337.59113936082986</v>
      </c>
      <c r="AB223" s="59">
        <v>27.076032864901396</v>
      </c>
      <c r="AC223" s="59">
        <v>364.66717222573124</v>
      </c>
      <c r="AD223" s="60">
        <v>310.51510649592848</v>
      </c>
      <c r="AE223" s="61">
        <v>0.80812173700939782</v>
      </c>
      <c r="AF223" s="62">
        <v>0.10241546946875477</v>
      </c>
      <c r="AG223" s="62">
        <v>0.91053720647815262</v>
      </c>
      <c r="AH223" s="63">
        <v>0.70570626754064303</v>
      </c>
      <c r="AI223">
        <f t="shared" si="14"/>
        <v>13.434741027427476</v>
      </c>
      <c r="AJ223" s="64">
        <v>322.43378465825941</v>
      </c>
      <c r="AK223">
        <f t="shared" si="12"/>
        <v>13.434741027427476</v>
      </c>
      <c r="AM223" s="56">
        <v>192</v>
      </c>
      <c r="AN223" s="56">
        <f t="shared" si="13"/>
        <v>1.366368174243803</v>
      </c>
    </row>
    <row r="224" spans="14:40" x14ac:dyDescent="0.25">
      <c r="N224" s="14">
        <v>64</v>
      </c>
      <c r="O224" s="14">
        <v>0</v>
      </c>
      <c r="P224" s="14">
        <f>O224+O223+O222</f>
        <v>0.29425633700000003</v>
      </c>
      <c r="Q224" s="57"/>
      <c r="R224" s="56">
        <f>N608</f>
        <v>192</v>
      </c>
      <c r="S224" s="56">
        <f>P608</f>
        <v>3.1846399999999999</v>
      </c>
      <c r="Z224">
        <v>192</v>
      </c>
      <c r="AA224" s="58">
        <v>336.22477118658617</v>
      </c>
      <c r="AB224" s="59">
        <v>27.602962431004492</v>
      </c>
      <c r="AC224" s="59">
        <v>363.82773361759064</v>
      </c>
      <c r="AD224" s="60">
        <v>308.6218087555817</v>
      </c>
      <c r="AE224" s="61">
        <v>0.80494132977026744</v>
      </c>
      <c r="AF224" s="62">
        <v>0.10393341179646148</v>
      </c>
      <c r="AG224" s="62">
        <v>0.90887474156672887</v>
      </c>
      <c r="AH224" s="63">
        <v>0.70100791797380602</v>
      </c>
      <c r="AI224">
        <f t="shared" si="14"/>
        <v>13.478251832255291</v>
      </c>
      <c r="AJ224" s="64">
        <v>323.47804397412699</v>
      </c>
      <c r="AK224">
        <f t="shared" si="12"/>
        <v>13.478251832255291</v>
      </c>
      <c r="AM224" s="56">
        <v>193</v>
      </c>
      <c r="AN224" s="56">
        <f t="shared" si="13"/>
        <v>1.3663681742436893</v>
      </c>
    </row>
    <row r="225" spans="14:40" x14ac:dyDescent="0.25">
      <c r="N225" s="14">
        <v>64.333299999999994</v>
      </c>
      <c r="O225" s="14">
        <v>0.29627700000000001</v>
      </c>
      <c r="P225">
        <v>0</v>
      </c>
      <c r="Q225" s="57"/>
      <c r="R225" s="56">
        <f>N611</f>
        <v>193</v>
      </c>
      <c r="S225" s="56">
        <f>P611</f>
        <v>3.1619800000000002</v>
      </c>
      <c r="Z225">
        <v>193</v>
      </c>
      <c r="AA225" s="58">
        <v>334.85840301234236</v>
      </c>
      <c r="AB225" s="59">
        <v>28.141933919249208</v>
      </c>
      <c r="AC225" s="59">
        <v>363.00033693159156</v>
      </c>
      <c r="AD225" s="60">
        <v>306.71646909309317</v>
      </c>
      <c r="AE225" s="61">
        <v>0.80176092253113707</v>
      </c>
      <c r="AF225" s="62">
        <v>0.10546156729930324</v>
      </c>
      <c r="AG225" s="62">
        <v>0.90722248983044029</v>
      </c>
      <c r="AH225" s="63">
        <v>0.69629935523183384</v>
      </c>
      <c r="AI225">
        <f t="shared" si="14"/>
        <v>13.482497391955386</v>
      </c>
      <c r="AJ225" s="64">
        <v>323.57993740692928</v>
      </c>
      <c r="AK225">
        <f t="shared" ref="AK225:AK288" si="15">IF(Z225&lt;=$R$12,AI225," ")</f>
        <v>13.482497391955386</v>
      </c>
      <c r="AM225" s="56">
        <v>194</v>
      </c>
      <c r="AN225" s="56">
        <f t="shared" ref="AN225:AN288" si="16">AA226-AA227</f>
        <v>1.3663681742437461</v>
      </c>
    </row>
    <row r="226" spans="14:40" x14ac:dyDescent="0.25">
      <c r="N226" s="14">
        <v>64.666700000000006</v>
      </c>
      <c r="O226" s="14">
        <v>2.6276400000000002E-4</v>
      </c>
      <c r="P226">
        <v>0</v>
      </c>
      <c r="Q226" s="57"/>
      <c r="R226" s="56">
        <f>N614</f>
        <v>194</v>
      </c>
      <c r="S226" s="56">
        <f>P614</f>
        <v>3.17306</v>
      </c>
      <c r="Z226">
        <v>194</v>
      </c>
      <c r="AA226" s="58">
        <v>333.49203483809868</v>
      </c>
      <c r="AB226" s="59">
        <v>28.692268731228786</v>
      </c>
      <c r="AC226" s="59">
        <v>362.18430356932748</v>
      </c>
      <c r="AD226" s="60">
        <v>304.79976610686987</v>
      </c>
      <c r="AE226" s="61">
        <v>0.79858051529200647</v>
      </c>
      <c r="AF226" s="62">
        <v>0.10699949838771886</v>
      </c>
      <c r="AG226" s="62">
        <v>0.90558001367972529</v>
      </c>
      <c r="AH226" s="63">
        <v>0.69158101690428764</v>
      </c>
      <c r="AI226">
        <f t="shared" ref="AI226:AI289" si="17">AJ226/24</f>
        <v>13.485939776525599</v>
      </c>
      <c r="AJ226" s="64">
        <v>323.6625546366144</v>
      </c>
      <c r="AK226">
        <f t="shared" si="15"/>
        <v>13.485939776525599</v>
      </c>
      <c r="AM226" s="56">
        <v>195</v>
      </c>
      <c r="AN226" s="56">
        <f t="shared" si="16"/>
        <v>1.3663681742437461</v>
      </c>
    </row>
    <row r="227" spans="14:40" x14ac:dyDescent="0.25">
      <c r="N227" s="14">
        <v>65</v>
      </c>
      <c r="O227" s="14">
        <v>0</v>
      </c>
      <c r="P227" s="14">
        <f>O227+O226+O225</f>
        <v>0.29653976400000004</v>
      </c>
      <c r="Q227" s="57"/>
      <c r="R227" s="56">
        <f>N617</f>
        <v>195</v>
      </c>
      <c r="S227" s="56">
        <f>P617</f>
        <v>3.1488200000000002</v>
      </c>
      <c r="Z227">
        <v>195</v>
      </c>
      <c r="AA227" s="58">
        <v>332.12566666385493</v>
      </c>
      <c r="AB227" s="59">
        <v>29.253325548669238</v>
      </c>
      <c r="AC227" s="59">
        <v>361.37899221252417</v>
      </c>
      <c r="AD227" s="60">
        <v>302.87234111518569</v>
      </c>
      <c r="AE227" s="61">
        <v>0.79540010805287609</v>
      </c>
      <c r="AF227" s="62">
        <v>0.10854678955015681</v>
      </c>
      <c r="AG227" s="62">
        <v>0.90394689760303293</v>
      </c>
      <c r="AH227" s="63">
        <v>0.68685331850271925</v>
      </c>
      <c r="AI227">
        <f t="shared" si="17"/>
        <v>13.489382161095817</v>
      </c>
      <c r="AJ227" s="64">
        <v>323.74517186629959</v>
      </c>
      <c r="AK227">
        <f t="shared" si="15"/>
        <v>13.489382161095817</v>
      </c>
      <c r="AM227" s="56">
        <v>196</v>
      </c>
      <c r="AN227" s="56">
        <f t="shared" si="16"/>
        <v>1.3663681742437461</v>
      </c>
    </row>
    <row r="228" spans="14:40" x14ac:dyDescent="0.25">
      <c r="N228" s="14">
        <v>65.333299999999994</v>
      </c>
      <c r="O228" s="14">
        <v>0.29608800000000002</v>
      </c>
      <c r="P228">
        <v>0</v>
      </c>
      <c r="Q228" s="57"/>
      <c r="R228" s="56">
        <f>N620</f>
        <v>196</v>
      </c>
      <c r="S228" s="56">
        <f>P620</f>
        <v>3.1381999999999999</v>
      </c>
      <c r="Z228">
        <v>196</v>
      </c>
      <c r="AA228" s="58">
        <v>330.75929848961118</v>
      </c>
      <c r="AB228" s="59">
        <v>29.824499272402175</v>
      </c>
      <c r="AC228" s="59">
        <v>360.58379776201338</v>
      </c>
      <c r="AD228" s="60">
        <v>300.93479921720899</v>
      </c>
      <c r="AE228" s="61">
        <v>0.7922197008137456</v>
      </c>
      <c r="AF228" s="62">
        <v>0.11010304617263761</v>
      </c>
      <c r="AG228" s="62">
        <v>0.90232274698638326</v>
      </c>
      <c r="AH228" s="63">
        <v>0.68211665464110793</v>
      </c>
      <c r="AI228">
        <f t="shared" si="17"/>
        <v>13.492824545666032</v>
      </c>
      <c r="AJ228" s="64">
        <v>323.82778909598477</v>
      </c>
      <c r="AK228">
        <f t="shared" si="15"/>
        <v>13.492824545666032</v>
      </c>
      <c r="AM228" s="56">
        <v>197</v>
      </c>
      <c r="AN228" s="56">
        <f t="shared" si="16"/>
        <v>1.3663681742436893</v>
      </c>
    </row>
    <row r="229" spans="14:40" x14ac:dyDescent="0.25">
      <c r="N229" s="14">
        <v>65.666700000000006</v>
      </c>
      <c r="O229" s="14">
        <v>2.6281699999999999E-4</v>
      </c>
      <c r="P229">
        <v>0</v>
      </c>
      <c r="Q229" s="57"/>
      <c r="R229" s="56">
        <f>N623</f>
        <v>197</v>
      </c>
      <c r="S229" s="56">
        <f>P623</f>
        <v>3.1259699999999997</v>
      </c>
      <c r="Z229">
        <v>197</v>
      </c>
      <c r="AA229" s="58">
        <v>329.39293031536744</v>
      </c>
      <c r="AB229" s="59">
        <v>30.405219757869315</v>
      </c>
      <c r="AC229" s="59">
        <v>359.79815007323674</v>
      </c>
      <c r="AD229" s="60">
        <v>298.98771055749813</v>
      </c>
      <c r="AE229" s="61">
        <v>0.78903929357461522</v>
      </c>
      <c r="AF229" s="62">
        <v>0.1116678934151045</v>
      </c>
      <c r="AG229" s="62">
        <v>0.90070718698971974</v>
      </c>
      <c r="AH229" s="63">
        <v>0.67737140015951069</v>
      </c>
      <c r="AI229">
        <f t="shared" si="17"/>
        <v>13.496266930236246</v>
      </c>
      <c r="AJ229" s="64">
        <v>323.9104063256699</v>
      </c>
      <c r="AK229">
        <f t="shared" si="15"/>
        <v>13.496266930236246</v>
      </c>
      <c r="AM229" s="56">
        <v>198</v>
      </c>
      <c r="AN229" s="56">
        <f t="shared" si="16"/>
        <v>1.3663681742437461</v>
      </c>
    </row>
    <row r="230" spans="14:40" x14ac:dyDescent="0.25">
      <c r="N230" s="14">
        <v>66</v>
      </c>
      <c r="O230" s="14">
        <v>0</v>
      </c>
      <c r="P230" s="14">
        <f>O230+O229+O228</f>
        <v>0.29635081700000004</v>
      </c>
      <c r="Q230" s="57"/>
      <c r="R230" s="56">
        <f>N626</f>
        <v>198</v>
      </c>
      <c r="S230" s="56">
        <f>P626</f>
        <v>3.1369799999999994</v>
      </c>
      <c r="Z230">
        <v>198</v>
      </c>
      <c r="AA230" s="58">
        <v>328.02656214112375</v>
      </c>
      <c r="AB230" s="59">
        <v>30.994950406168609</v>
      </c>
      <c r="AC230" s="59">
        <v>359.02151254729233</v>
      </c>
      <c r="AD230" s="60">
        <v>297.03161173495516</v>
      </c>
      <c r="AE230" s="61">
        <v>0.78585888633548484</v>
      </c>
      <c r="AF230" s="62">
        <v>0.11324097514356343</v>
      </c>
      <c r="AG230" s="62">
        <v>0.8990998614790483</v>
      </c>
      <c r="AH230" s="63">
        <v>0.67261791119192138</v>
      </c>
      <c r="AI230">
        <f t="shared" si="17"/>
        <v>13.499709314806461</v>
      </c>
      <c r="AJ230" s="64">
        <v>323.99302355535508</v>
      </c>
      <c r="AK230">
        <f t="shared" si="15"/>
        <v>13.499709314806461</v>
      </c>
      <c r="AM230" s="56">
        <v>199</v>
      </c>
      <c r="AN230" s="56">
        <f t="shared" si="16"/>
        <v>1.3663681742437461</v>
      </c>
    </row>
    <row r="231" spans="14:40" x14ac:dyDescent="0.25">
      <c r="N231" s="14">
        <v>66.333299999999994</v>
      </c>
      <c r="O231" s="14">
        <v>0.287582</v>
      </c>
      <c r="P231">
        <v>0</v>
      </c>
      <c r="Q231" s="57"/>
      <c r="R231" s="56">
        <f>N629</f>
        <v>199</v>
      </c>
      <c r="S231" s="56">
        <f>P629</f>
        <v>3.1150000000000002</v>
      </c>
      <c r="Z231">
        <v>199</v>
      </c>
      <c r="AA231" s="58">
        <v>326.66019396688</v>
      </c>
      <c r="AB231" s="59">
        <v>31.593186659770367</v>
      </c>
      <c r="AC231" s="59">
        <v>358.25338062665037</v>
      </c>
      <c r="AD231" s="60">
        <v>295.06700730710963</v>
      </c>
      <c r="AE231" s="61">
        <v>0.78267847909635435</v>
      </c>
      <c r="AF231" s="62">
        <v>0.11482195291662826</v>
      </c>
      <c r="AG231" s="62">
        <v>0.89750043201298257</v>
      </c>
      <c r="AH231" s="63">
        <v>0.66785652617972613</v>
      </c>
      <c r="AI231">
        <f t="shared" si="17"/>
        <v>13.503151699376678</v>
      </c>
      <c r="AJ231" s="64">
        <v>324.07564078504026</v>
      </c>
      <c r="AK231">
        <f t="shared" si="15"/>
        <v>13.503151699376678</v>
      </c>
      <c r="AM231" s="56">
        <v>200</v>
      </c>
      <c r="AN231" s="56">
        <f t="shared" si="16"/>
        <v>1.3663681742437461</v>
      </c>
    </row>
    <row r="232" spans="14:40" x14ac:dyDescent="0.25">
      <c r="N232" s="14">
        <v>66.666700000000006</v>
      </c>
      <c r="O232" s="14">
        <v>3.1175700000000002E-4</v>
      </c>
      <c r="P232">
        <v>0</v>
      </c>
      <c r="Q232" s="57"/>
      <c r="R232" s="56">
        <f>N632</f>
        <v>200</v>
      </c>
      <c r="S232" s="56">
        <f>P632</f>
        <v>3.10703</v>
      </c>
      <c r="Z232">
        <v>200</v>
      </c>
      <c r="AA232" s="58">
        <v>325.29382579263626</v>
      </c>
      <c r="AB232" s="59">
        <v>32.199454443189722</v>
      </c>
      <c r="AC232" s="59">
        <v>357.49328023582598</v>
      </c>
      <c r="AD232" s="60">
        <v>293.09437134944653</v>
      </c>
      <c r="AE232" s="61">
        <v>0.77949807185722386</v>
      </c>
      <c r="AF232" s="62">
        <v>0.1164105050248328</v>
      </c>
      <c r="AG232" s="62">
        <v>0.89590857688205672</v>
      </c>
      <c r="AH232" s="63">
        <v>0.66308756683239101</v>
      </c>
      <c r="AI232">
        <f t="shared" si="17"/>
        <v>13.506594083946894</v>
      </c>
      <c r="AJ232" s="64">
        <v>324.15825801472545</v>
      </c>
      <c r="AK232">
        <f t="shared" si="15"/>
        <v>13.506594083946894</v>
      </c>
      <c r="AM232" s="56">
        <v>201</v>
      </c>
      <c r="AN232" s="56">
        <f t="shared" si="16"/>
        <v>1.3663681742437461</v>
      </c>
    </row>
    <row r="233" spans="14:40" x14ac:dyDescent="0.25">
      <c r="N233" s="14">
        <v>67</v>
      </c>
      <c r="O233" s="14">
        <v>0</v>
      </c>
      <c r="P233" s="14">
        <f>O233+O232+O231</f>
        <v>0.28789375700000003</v>
      </c>
      <c r="Q233" s="57"/>
      <c r="R233" s="56">
        <f>N635</f>
        <v>201</v>
      </c>
      <c r="S233" s="56">
        <f>P635</f>
        <v>0.62202595307059949</v>
      </c>
      <c r="Z233">
        <v>201</v>
      </c>
      <c r="AA233" s="58">
        <v>323.92745761839251</v>
      </c>
      <c r="AB233" s="59">
        <v>32.813308581134073</v>
      </c>
      <c r="AC233" s="59">
        <v>356.7407661995266</v>
      </c>
      <c r="AD233" s="60">
        <v>291.11414903725841</v>
      </c>
      <c r="AE233" s="61">
        <v>0.77631766461809348</v>
      </c>
      <c r="AF233" s="62">
        <v>0.11800632558091992</v>
      </c>
      <c r="AG233" s="62">
        <v>0.89432399019901343</v>
      </c>
      <c r="AH233" s="63">
        <v>0.65831133903717354</v>
      </c>
      <c r="AI233">
        <f t="shared" si="17"/>
        <v>13.510036468517107</v>
      </c>
      <c r="AJ233" s="64">
        <v>324.24087524441057</v>
      </c>
      <c r="AK233">
        <f t="shared" si="15"/>
        <v>13.510036468517107</v>
      </c>
      <c r="AM233" s="56">
        <v>202</v>
      </c>
      <c r="AN233" s="56">
        <f t="shared" si="16"/>
        <v>1.3663681742437461</v>
      </c>
    </row>
    <row r="234" spans="14:40" x14ac:dyDescent="0.25">
      <c r="N234" s="14">
        <v>67.333299999999994</v>
      </c>
      <c r="O234" s="14">
        <v>0.28414200000000001</v>
      </c>
      <c r="P234">
        <v>0</v>
      </c>
      <c r="Q234" s="57"/>
      <c r="R234" s="56">
        <f>N638</f>
        <v>202</v>
      </c>
      <c r="S234" s="56">
        <f>P638</f>
        <v>3.622795</v>
      </c>
      <c r="Z234">
        <v>202</v>
      </c>
      <c r="AA234" s="58">
        <v>322.56108944414876</v>
      </c>
      <c r="AB234" s="59">
        <v>33.434331219931998</v>
      </c>
      <c r="AC234" s="59">
        <v>355.99542066408077</v>
      </c>
      <c r="AD234" s="60">
        <v>289.12675822421676</v>
      </c>
      <c r="AE234" s="61">
        <v>0.77313725737896311</v>
      </c>
      <c r="AF234" s="62">
        <v>0.11960912365914496</v>
      </c>
      <c r="AG234" s="62">
        <v>0.89274638103810811</v>
      </c>
      <c r="AH234" s="63">
        <v>0.65352813371981811</v>
      </c>
      <c r="AI234">
        <f t="shared" si="17"/>
        <v>13.513478853087323</v>
      </c>
      <c r="AJ234" s="64">
        <v>324.32349247409576</v>
      </c>
      <c r="AK234">
        <f t="shared" si="15"/>
        <v>13.513478853087323</v>
      </c>
      <c r="AM234" s="56">
        <v>203</v>
      </c>
      <c r="AN234" s="56">
        <f t="shared" si="16"/>
        <v>1.3663681742437461</v>
      </c>
    </row>
    <row r="235" spans="14:40" x14ac:dyDescent="0.25">
      <c r="N235" s="14">
        <v>67.666700000000006</v>
      </c>
      <c r="O235" s="14">
        <v>3.3336999999999999E-4</v>
      </c>
      <c r="P235">
        <v>0</v>
      </c>
      <c r="Q235" s="57"/>
      <c r="R235" s="56">
        <f>N641</f>
        <v>203</v>
      </c>
      <c r="S235" s="56">
        <f>P641</f>
        <v>3.8765000000000001</v>
      </c>
      <c r="Z235">
        <v>203</v>
      </c>
      <c r="AA235" s="58">
        <v>321.19472126990502</v>
      </c>
      <c r="AB235" s="59">
        <v>34.062130272330691</v>
      </c>
      <c r="AC235" s="59">
        <v>355.25685154223572</v>
      </c>
      <c r="AD235" s="60">
        <v>287.13259099757431</v>
      </c>
      <c r="AE235" s="61">
        <v>0.76995685013983262</v>
      </c>
      <c r="AF235" s="62">
        <v>0.12121862248158197</v>
      </c>
      <c r="AG235" s="62">
        <v>0.89117547262141461</v>
      </c>
      <c r="AH235" s="63">
        <v>0.64873822765825062</v>
      </c>
      <c r="AI235">
        <f t="shared" si="17"/>
        <v>13.516921237657536</v>
      </c>
      <c r="AJ235" s="64">
        <v>324.40610970378088</v>
      </c>
      <c r="AK235">
        <f t="shared" si="15"/>
        <v>13.516921237657536</v>
      </c>
      <c r="AM235" s="56">
        <v>204</v>
      </c>
      <c r="AN235" s="56">
        <f t="shared" si="16"/>
        <v>1.3663681742437461</v>
      </c>
    </row>
    <row r="236" spans="14:40" x14ac:dyDescent="0.25">
      <c r="N236" s="14">
        <v>68</v>
      </c>
      <c r="O236" s="14">
        <v>0</v>
      </c>
      <c r="P236" s="14">
        <f>O236+O235+O234</f>
        <v>0.28447537000000001</v>
      </c>
      <c r="Q236" s="57"/>
      <c r="R236" s="56">
        <f>N644</f>
        <v>204</v>
      </c>
      <c r="S236" s="56">
        <f>P644</f>
        <v>3.6603000000000003</v>
      </c>
      <c r="Z236">
        <v>204</v>
      </c>
      <c r="AA236" s="58">
        <v>319.82835309566127</v>
      </c>
      <c r="AB236" s="59">
        <v>34.696337900937891</v>
      </c>
      <c r="AC236" s="59">
        <v>354.52469099659913</v>
      </c>
      <c r="AD236" s="60">
        <v>285.13201519472341</v>
      </c>
      <c r="AE236" s="61">
        <v>0.76677644290070235</v>
      </c>
      <c r="AF236" s="62">
        <v>0.12283455864935078</v>
      </c>
      <c r="AG236" s="62">
        <v>0.88961100155005313</v>
      </c>
      <c r="AH236" s="63">
        <v>0.64394188425135157</v>
      </c>
      <c r="AI236">
        <f t="shared" si="17"/>
        <v>13.520363622227753</v>
      </c>
      <c r="AJ236" s="64">
        <v>324.48872693346607</v>
      </c>
      <c r="AK236">
        <f t="shared" si="15"/>
        <v>13.520363622227753</v>
      </c>
      <c r="AM236" s="56">
        <v>205</v>
      </c>
      <c r="AN236" s="56">
        <f t="shared" si="16"/>
        <v>1.3663681742436893</v>
      </c>
    </row>
    <row r="237" spans="14:40" x14ac:dyDescent="0.25">
      <c r="N237" s="14">
        <v>68.333299999999994</v>
      </c>
      <c r="O237" s="14">
        <v>0.27355800000000002</v>
      </c>
      <c r="P237">
        <v>0</v>
      </c>
      <c r="Q237" s="57"/>
      <c r="R237" s="56">
        <f>N647</f>
        <v>205</v>
      </c>
      <c r="S237" s="56">
        <f>P647</f>
        <v>3.6083400000000001</v>
      </c>
      <c r="Z237">
        <v>205</v>
      </c>
      <c r="AA237" s="58">
        <v>318.46198492141752</v>
      </c>
      <c r="AB237" s="59">
        <v>35.336609051585924</v>
      </c>
      <c r="AC237" s="59">
        <v>353.79859397300345</v>
      </c>
      <c r="AD237" s="60">
        <v>283.1253758698316</v>
      </c>
      <c r="AE237" s="61">
        <v>0.76359603566157186</v>
      </c>
      <c r="AF237" s="62">
        <v>0.12445668141668727</v>
      </c>
      <c r="AG237" s="62">
        <v>0.88805271707825917</v>
      </c>
      <c r="AH237" s="63">
        <v>0.63913935424488455</v>
      </c>
      <c r="AI237">
        <f t="shared" si="17"/>
        <v>13.523806006797969</v>
      </c>
      <c r="AJ237" s="64">
        <v>324.57134416315125</v>
      </c>
      <c r="AK237">
        <f t="shared" si="15"/>
        <v>13.523806006797969</v>
      </c>
      <c r="AM237" s="56">
        <v>206</v>
      </c>
      <c r="AN237" s="56">
        <f t="shared" si="16"/>
        <v>1.3663681742437461</v>
      </c>
    </row>
    <row r="238" spans="14:40" x14ac:dyDescent="0.25">
      <c r="N238" s="14">
        <v>68.666700000000006</v>
      </c>
      <c r="O238" s="14">
        <v>4.1191600000000002E-4</v>
      </c>
      <c r="P238">
        <v>0</v>
      </c>
      <c r="Q238" s="57"/>
      <c r="R238" s="56">
        <f>N650</f>
        <v>206</v>
      </c>
      <c r="S238" s="56">
        <f>P650</f>
        <v>3.6159599999999998</v>
      </c>
      <c r="Z238">
        <v>206</v>
      </c>
      <c r="AA238" s="58">
        <v>317.09561674717384</v>
      </c>
      <c r="AB238" s="59">
        <v>35.982620044610741</v>
      </c>
      <c r="AC238" s="59">
        <v>353.07823679178455</v>
      </c>
      <c r="AD238" s="60">
        <v>281.11299670256312</v>
      </c>
      <c r="AE238" s="61">
        <v>0.76041562842244126</v>
      </c>
      <c r="AF238" s="62">
        <v>0.12608475200575903</v>
      </c>
      <c r="AG238" s="62">
        <v>0.88650038042820034</v>
      </c>
      <c r="AH238" s="63">
        <v>0.63433087641668218</v>
      </c>
      <c r="AI238">
        <f t="shared" si="17"/>
        <v>13.527248391368184</v>
      </c>
      <c r="AJ238" s="64">
        <v>324.65396139283644</v>
      </c>
      <c r="AK238">
        <f t="shared" si="15"/>
        <v>13.527248391368184</v>
      </c>
      <c r="AM238" s="56">
        <v>207</v>
      </c>
      <c r="AN238" s="56">
        <f t="shared" si="16"/>
        <v>1.3663681742437461</v>
      </c>
    </row>
    <row r="239" spans="14:40" x14ac:dyDescent="0.25">
      <c r="N239" s="14">
        <v>69</v>
      </c>
      <c r="O239" s="14">
        <v>0</v>
      </c>
      <c r="P239" s="14">
        <f>O239+O238+O237</f>
        <v>0.27396991600000004</v>
      </c>
      <c r="Q239" s="57"/>
      <c r="R239" s="56">
        <f>N653</f>
        <v>207</v>
      </c>
      <c r="S239" s="56">
        <f>P653</f>
        <v>3.6034699999999997</v>
      </c>
      <c r="Z239">
        <v>207</v>
      </c>
      <c r="AA239" s="58">
        <v>315.72924857293009</v>
      </c>
      <c r="AB239" s="59">
        <v>36.634067229380967</v>
      </c>
      <c r="AC239" s="59">
        <v>352.36331580231104</v>
      </c>
      <c r="AD239" s="60">
        <v>279.09518134354914</v>
      </c>
      <c r="AE239" s="61">
        <v>0.75723522118331099</v>
      </c>
      <c r="AF239" s="62">
        <v>0.12771854296020438</v>
      </c>
      <c r="AG239" s="62">
        <v>0.88495376414351534</v>
      </c>
      <c r="AH239" s="63">
        <v>0.62951667822310664</v>
      </c>
      <c r="AI239">
        <f t="shared" si="17"/>
        <v>13.530690775938398</v>
      </c>
      <c r="AJ239" s="64">
        <v>324.73657862252156</v>
      </c>
      <c r="AK239">
        <f t="shared" si="15"/>
        <v>13.530690775938398</v>
      </c>
      <c r="AM239" s="56">
        <v>208</v>
      </c>
      <c r="AN239" s="56">
        <f t="shared" si="16"/>
        <v>1.3663681742437461</v>
      </c>
    </row>
    <row r="240" spans="14:40" x14ac:dyDescent="0.25">
      <c r="N240" s="14">
        <v>69.333299999999994</v>
      </c>
      <c r="O240" s="14">
        <v>0.27201799999999998</v>
      </c>
      <c r="P240">
        <v>0</v>
      </c>
      <c r="Q240" s="57"/>
      <c r="R240" s="56">
        <f>N656</f>
        <v>208</v>
      </c>
      <c r="S240" s="56">
        <f>P656</f>
        <v>3.5896600000000003</v>
      </c>
      <c r="Z240">
        <v>208</v>
      </c>
      <c r="AA240" s="58">
        <v>314.36288039868634</v>
      </c>
      <c r="AB240" s="59">
        <v>37.290665705247243</v>
      </c>
      <c r="AC240" s="59">
        <v>351.65354610393359</v>
      </c>
      <c r="AD240" s="60">
        <v>277.07221469343909</v>
      </c>
      <c r="AE240" s="61">
        <v>0.7540548139441805</v>
      </c>
      <c r="AF240" s="62">
        <v>0.12935783753536834</v>
      </c>
      <c r="AG240" s="62">
        <v>0.88341265147954884</v>
      </c>
      <c r="AH240" s="63">
        <v>0.62469697640881217</v>
      </c>
      <c r="AI240">
        <f t="shared" si="17"/>
        <v>13.534133160508615</v>
      </c>
      <c r="AJ240" s="64">
        <v>324.81919585220675</v>
      </c>
      <c r="AK240">
        <f t="shared" si="15"/>
        <v>13.534133160508615</v>
      </c>
      <c r="AM240" s="56">
        <v>209</v>
      </c>
      <c r="AN240" s="56">
        <f t="shared" si="16"/>
        <v>1.3663681742436893</v>
      </c>
    </row>
    <row r="241" spans="14:40" x14ac:dyDescent="0.25">
      <c r="N241" s="14">
        <v>69.666700000000006</v>
      </c>
      <c r="O241" s="14">
        <v>4.2359E-4</v>
      </c>
      <c r="P241">
        <v>0</v>
      </c>
      <c r="Q241" s="57"/>
      <c r="R241" s="56">
        <f>N659</f>
        <v>209</v>
      </c>
      <c r="S241" s="56">
        <f>P659</f>
        <v>3.5794800000000002</v>
      </c>
      <c r="Z241">
        <v>209</v>
      </c>
      <c r="AA241" s="58">
        <v>312.9965122244426</v>
      </c>
      <c r="AB241" s="59">
        <v>37.952148110428709</v>
      </c>
      <c r="AC241" s="59">
        <v>350.94866033487131</v>
      </c>
      <c r="AD241" s="60">
        <v>275.04436411401389</v>
      </c>
      <c r="AE241" s="61">
        <v>0.75087440670505012</v>
      </c>
      <c r="AF241" s="62">
        <v>0.13100242912328341</v>
      </c>
      <c r="AG241" s="62">
        <v>0.88187683582833354</v>
      </c>
      <c r="AH241" s="63">
        <v>0.61987197758176671</v>
      </c>
      <c r="AI241">
        <f t="shared" si="17"/>
        <v>13.537575545078829</v>
      </c>
      <c r="AJ241" s="64">
        <v>324.90181308189187</v>
      </c>
      <c r="AK241">
        <f t="shared" si="15"/>
        <v>13.537575545078829</v>
      </c>
      <c r="AM241" s="56">
        <v>210</v>
      </c>
      <c r="AN241" s="56">
        <f t="shared" si="16"/>
        <v>1.3667182476634707</v>
      </c>
    </row>
    <row r="242" spans="14:40" x14ac:dyDescent="0.25">
      <c r="N242" s="14">
        <v>70</v>
      </c>
      <c r="O242" s="14">
        <v>0</v>
      </c>
      <c r="P242" s="14">
        <f>O242+O241+O240</f>
        <v>0.27244158999999996</v>
      </c>
      <c r="Q242" s="57"/>
      <c r="R242" s="56">
        <f>N662</f>
        <v>210</v>
      </c>
      <c r="S242" s="56">
        <f>P662</f>
        <v>3.5466600000000001</v>
      </c>
      <c r="Z242">
        <v>210</v>
      </c>
      <c r="AA242" s="58">
        <v>311.63014405019891</v>
      </c>
      <c r="AB242" s="59">
        <v>38.618263478993967</v>
      </c>
      <c r="AC242" s="59">
        <v>350.24840752919289</v>
      </c>
      <c r="AD242" s="60">
        <v>273.01188057120493</v>
      </c>
      <c r="AE242" s="61">
        <v>0.74769399946591975</v>
      </c>
      <c r="AF242" s="62">
        <v>0.13265212071052671</v>
      </c>
      <c r="AG242" s="62">
        <v>0.88034612017644642</v>
      </c>
      <c r="AH242" s="63">
        <v>0.61504187875539307</v>
      </c>
      <c r="AI242">
        <f t="shared" si="17"/>
        <v>13.55215422751297</v>
      </c>
      <c r="AJ242" s="64">
        <v>325.25170146031127</v>
      </c>
      <c r="AK242">
        <f t="shared" si="15"/>
        <v>13.55215422751297</v>
      </c>
      <c r="AM242" s="56">
        <v>211</v>
      </c>
      <c r="AN242" s="56">
        <f t="shared" si="16"/>
        <v>1.367354999972747</v>
      </c>
    </row>
    <row r="243" spans="14:40" x14ac:dyDescent="0.25">
      <c r="N243" s="14">
        <v>70.333299999999994</v>
      </c>
      <c r="O243" s="14">
        <v>0.27194099999999999</v>
      </c>
      <c r="P243">
        <v>0</v>
      </c>
      <c r="Q243" s="57"/>
      <c r="R243" s="56">
        <f>N665</f>
        <v>211</v>
      </c>
      <c r="S243" s="56">
        <f>P665</f>
        <v>3.5398899999999998</v>
      </c>
      <c r="Z243">
        <v>211</v>
      </c>
      <c r="AA243" s="58">
        <v>310.26342580253544</v>
      </c>
      <c r="AB243" s="59">
        <v>39.289255882734466</v>
      </c>
      <c r="AC243" s="59">
        <v>349.55268168526993</v>
      </c>
      <c r="AD243" s="60">
        <v>270.97416991980094</v>
      </c>
      <c r="AE243" s="61">
        <v>0.74451281288562243</v>
      </c>
      <c r="AF243" s="62">
        <v>0.13430777662780963</v>
      </c>
      <c r="AG243" s="62">
        <v>0.878820589513432</v>
      </c>
      <c r="AH243" s="63">
        <v>0.61020503625781286</v>
      </c>
      <c r="AI243">
        <f t="shared" si="17"/>
        <v>13.586646857143771</v>
      </c>
      <c r="AJ243" s="64">
        <v>326.07952457145052</v>
      </c>
      <c r="AK243">
        <f t="shared" si="15"/>
        <v>13.586646857143771</v>
      </c>
      <c r="AM243" s="56">
        <v>212</v>
      </c>
      <c r="AN243" s="56">
        <f t="shared" si="16"/>
        <v>1.3673683390745737</v>
      </c>
    </row>
    <row r="244" spans="14:40" x14ac:dyDescent="0.25">
      <c r="N244" s="14">
        <v>70.666700000000006</v>
      </c>
      <c r="O244" s="14">
        <v>4.2293400000000003E-4</v>
      </c>
      <c r="P244">
        <v>0</v>
      </c>
      <c r="Q244" s="57"/>
      <c r="R244" s="56">
        <f>N668</f>
        <v>212</v>
      </c>
      <c r="S244" s="56">
        <f>P668</f>
        <v>3.5297499999999999</v>
      </c>
      <c r="Z244">
        <v>212</v>
      </c>
      <c r="AA244" s="58">
        <v>308.89607080256269</v>
      </c>
      <c r="AB244" s="59">
        <v>39.965273284422089</v>
      </c>
      <c r="AC244" s="59">
        <v>348.86134408698479</v>
      </c>
      <c r="AD244" s="60">
        <v>268.93079751814059</v>
      </c>
      <c r="AE244" s="61">
        <v>0.74133020875329259</v>
      </c>
      <c r="AF244" s="62">
        <v>0.1359700374998753</v>
      </c>
      <c r="AG244" s="62">
        <v>0.87730024625316783</v>
      </c>
      <c r="AH244" s="63">
        <v>0.60536017125341735</v>
      </c>
      <c r="AI244">
        <f t="shared" si="17"/>
        <v>13.621533909218257</v>
      </c>
      <c r="AJ244" s="64">
        <v>326.91681382123818</v>
      </c>
      <c r="AK244">
        <f t="shared" si="15"/>
        <v>13.621533909218257</v>
      </c>
      <c r="AM244" s="56">
        <v>213</v>
      </c>
      <c r="AN244" s="56">
        <f t="shared" si="16"/>
        <v>1.3287750269741991</v>
      </c>
    </row>
    <row r="245" spans="14:40" x14ac:dyDescent="0.25">
      <c r="N245" s="14">
        <v>71</v>
      </c>
      <c r="O245" s="14">
        <v>0</v>
      </c>
      <c r="P245" s="14">
        <f>O245+O244+O243</f>
        <v>0.27236393399999997</v>
      </c>
      <c r="Q245" s="57"/>
      <c r="R245" s="56">
        <f>N671</f>
        <v>213</v>
      </c>
      <c r="S245" s="56">
        <f>P671</f>
        <v>3.5177899999999998</v>
      </c>
      <c r="Z245">
        <v>213</v>
      </c>
      <c r="AA245" s="58">
        <v>307.52870246348812</v>
      </c>
      <c r="AB245" s="59">
        <v>40.645242808883388</v>
      </c>
      <c r="AC245" s="59">
        <v>348.1739452723715</v>
      </c>
      <c r="AD245" s="60">
        <v>266.88345965460474</v>
      </c>
      <c r="AE245" s="61">
        <v>0.73814757492516025</v>
      </c>
      <c r="AF245" s="62">
        <v>0.13763683909072397</v>
      </c>
      <c r="AG245" s="62">
        <v>0.87578441401588425</v>
      </c>
      <c r="AH245" s="63">
        <v>0.60051073583443626</v>
      </c>
      <c r="AI245">
        <f t="shared" si="17"/>
        <v>13.656420961292746</v>
      </c>
      <c r="AJ245" s="64">
        <v>327.7541030710259</v>
      </c>
      <c r="AK245">
        <f t="shared" si="15"/>
        <v>13.656420961292746</v>
      </c>
      <c r="AM245" s="56">
        <v>214</v>
      </c>
      <c r="AN245" s="56">
        <f t="shared" si="16"/>
        <v>1.2128073637501302</v>
      </c>
    </row>
    <row r="246" spans="14:40" x14ac:dyDescent="0.25">
      <c r="N246" s="14">
        <v>71.333299999999994</v>
      </c>
      <c r="O246" s="14">
        <v>0.27183200000000002</v>
      </c>
      <c r="P246">
        <v>0</v>
      </c>
      <c r="Q246" s="57"/>
      <c r="R246" s="56">
        <f>N674</f>
        <v>214</v>
      </c>
      <c r="S246" s="56">
        <f>P674</f>
        <v>3.4244700000000003</v>
      </c>
      <c r="Z246">
        <v>214</v>
      </c>
      <c r="AA246" s="58">
        <v>306.19992743651392</v>
      </c>
      <c r="AB246" s="59">
        <v>41.284061172822334</v>
      </c>
      <c r="AC246" s="59">
        <v>347.48398860933628</v>
      </c>
      <c r="AD246" s="60">
        <v>264.91586626369156</v>
      </c>
      <c r="AE246" s="61">
        <v>0.73505865318819574</v>
      </c>
      <c r="AF246" s="62">
        <v>0.13923571674993737</v>
      </c>
      <c r="AG246" s="62">
        <v>0.87429436993813314</v>
      </c>
      <c r="AH246" s="63">
        <v>0.59582293643825834</v>
      </c>
      <c r="AI246">
        <f t="shared" si="17"/>
        <v>13.691308013367228</v>
      </c>
      <c r="AJ246" s="64">
        <v>328.5913923208135</v>
      </c>
      <c r="AK246">
        <f t="shared" si="15"/>
        <v>13.691308013367228</v>
      </c>
      <c r="AM246" s="56">
        <v>215</v>
      </c>
      <c r="AN246" s="56">
        <f t="shared" si="16"/>
        <v>1.1312701281971158</v>
      </c>
    </row>
    <row r="247" spans="14:40" x14ac:dyDescent="0.25">
      <c r="N247" s="14">
        <v>71.666700000000006</v>
      </c>
      <c r="O247" s="14">
        <v>4.2255500000000002E-4</v>
      </c>
      <c r="P247">
        <v>0</v>
      </c>
      <c r="Q247" s="57"/>
      <c r="R247" s="56">
        <f>N677</f>
        <v>215</v>
      </c>
      <c r="S247" s="56">
        <f>P677</f>
        <v>3.3631200000000003</v>
      </c>
      <c r="Z247">
        <v>215</v>
      </c>
      <c r="AA247" s="58">
        <v>304.98712007276379</v>
      </c>
      <c r="AB247" s="59">
        <v>41.814458761019836</v>
      </c>
      <c r="AC247" s="59">
        <v>346.80157883378365</v>
      </c>
      <c r="AD247" s="60">
        <v>263.17266131174392</v>
      </c>
      <c r="AE247" s="61">
        <v>0.73224876651614712</v>
      </c>
      <c r="AF247" s="62">
        <v>0.14064708540637991</v>
      </c>
      <c r="AG247" s="62">
        <v>0.87289585192252706</v>
      </c>
      <c r="AH247" s="63">
        <v>0.59160168110976719</v>
      </c>
      <c r="AI247">
        <f t="shared" si="17"/>
        <v>13.726195065441713</v>
      </c>
      <c r="AJ247" s="64">
        <v>329.4286815706011</v>
      </c>
      <c r="AK247">
        <f t="shared" si="15"/>
        <v>13.726195065441713</v>
      </c>
      <c r="AM247" s="56">
        <v>216</v>
      </c>
      <c r="AN247" s="56">
        <f t="shared" si="16"/>
        <v>1.1168301182254936</v>
      </c>
    </row>
    <row r="248" spans="14:40" x14ac:dyDescent="0.25">
      <c r="N248" s="14">
        <v>72</v>
      </c>
      <c r="O248" s="14">
        <v>0</v>
      </c>
      <c r="P248" s="14">
        <f>O248+O247+O246</f>
        <v>0.27225455500000001</v>
      </c>
      <c r="Q248" s="57"/>
      <c r="R248" s="56">
        <f>N680</f>
        <v>216</v>
      </c>
      <c r="S248" s="56">
        <f>P680</f>
        <v>3.36212</v>
      </c>
      <c r="Z248">
        <v>216</v>
      </c>
      <c r="AA248" s="58">
        <v>303.85584994456667</v>
      </c>
      <c r="AB248" s="59">
        <v>42.295414117407823</v>
      </c>
      <c r="AC248" s="59">
        <v>346.15126406197447</v>
      </c>
      <c r="AD248" s="60">
        <v>261.56043582715887</v>
      </c>
      <c r="AE248" s="61">
        <v>0.72963219420062309</v>
      </c>
      <c r="AF248" s="62">
        <v>0.14195679597893102</v>
      </c>
      <c r="AG248" s="62">
        <v>0.87158899017955416</v>
      </c>
      <c r="AH248" s="63">
        <v>0.58767539822169201</v>
      </c>
      <c r="AI248">
        <f t="shared" si="17"/>
        <v>13.761082117516198</v>
      </c>
      <c r="AJ248" s="64">
        <v>330.26597082038876</v>
      </c>
      <c r="AK248">
        <f t="shared" si="15"/>
        <v>13.761082117516198</v>
      </c>
      <c r="AM248" s="56">
        <v>217</v>
      </c>
      <c r="AN248" s="56">
        <f t="shared" si="16"/>
        <v>1.0937511585063362</v>
      </c>
    </row>
    <row r="249" spans="14:40" x14ac:dyDescent="0.25">
      <c r="N249" s="14">
        <v>72.333299999999994</v>
      </c>
      <c r="O249" s="14">
        <v>0.27172000000000002</v>
      </c>
      <c r="P249">
        <v>0</v>
      </c>
      <c r="Q249" s="57"/>
      <c r="R249" s="56">
        <f>N683</f>
        <v>217</v>
      </c>
      <c r="S249" s="56">
        <f>P683</f>
        <v>3.35107</v>
      </c>
      <c r="Z249">
        <v>217</v>
      </c>
      <c r="AA249" s="58">
        <v>302.73901982634118</v>
      </c>
      <c r="AB249" s="59">
        <v>42.781905410238807</v>
      </c>
      <c r="AC249" s="59">
        <v>345.52092523657996</v>
      </c>
      <c r="AD249" s="60">
        <v>259.9571144161024</v>
      </c>
      <c r="AE249" s="61">
        <v>0.72704832421209931</v>
      </c>
      <c r="AF249" s="62">
        <v>0.14326020935700834</v>
      </c>
      <c r="AG249" s="62">
        <v>0.87030853356910765</v>
      </c>
      <c r="AH249" s="63">
        <v>0.58378811485509097</v>
      </c>
      <c r="AI249">
        <f t="shared" si="17"/>
        <v>13.795969169590682</v>
      </c>
      <c r="AJ249" s="64">
        <v>331.10326007017636</v>
      </c>
      <c r="AK249">
        <f t="shared" si="15"/>
        <v>13.795969169590682</v>
      </c>
      <c r="AM249" s="56">
        <v>218</v>
      </c>
      <c r="AN249" s="56">
        <f t="shared" si="16"/>
        <v>1.0932742469213963</v>
      </c>
    </row>
    <row r="250" spans="14:40" x14ac:dyDescent="0.25">
      <c r="N250" s="14">
        <v>72.666700000000006</v>
      </c>
      <c r="O250" s="14">
        <v>4.2220199999999999E-4</v>
      </c>
      <c r="P250">
        <v>0</v>
      </c>
      <c r="Q250" s="57"/>
      <c r="R250" s="56">
        <f>N686</f>
        <v>218</v>
      </c>
      <c r="S250" s="56">
        <f>P686</f>
        <v>3.33589</v>
      </c>
      <c r="Z250">
        <v>218</v>
      </c>
      <c r="AA250" s="58">
        <v>301.64526866783484</v>
      </c>
      <c r="AB250" s="59">
        <v>43.275313030946023</v>
      </c>
      <c r="AC250" s="59">
        <v>344.92058169878089</v>
      </c>
      <c r="AD250" s="60">
        <v>258.36995563688879</v>
      </c>
      <c r="AE250" s="61">
        <v>0.72451639827250236</v>
      </c>
      <c r="AF250" s="62">
        <v>0.1445520126171059</v>
      </c>
      <c r="AG250" s="62">
        <v>0.86906841088960829</v>
      </c>
      <c r="AH250" s="63">
        <v>0.57996438565539643</v>
      </c>
      <c r="AI250">
        <f t="shared" si="17"/>
        <v>13.830856221665167</v>
      </c>
      <c r="AJ250" s="64">
        <v>331.94054931996402</v>
      </c>
      <c r="AK250">
        <f t="shared" si="15"/>
        <v>13.830856221665167</v>
      </c>
      <c r="AM250" s="56">
        <v>219</v>
      </c>
      <c r="AN250" s="56">
        <f t="shared" si="16"/>
        <v>1.0932742469213395</v>
      </c>
    </row>
    <row r="251" spans="14:40" x14ac:dyDescent="0.25">
      <c r="N251" s="14">
        <v>73</v>
      </c>
      <c r="O251" s="14">
        <v>0</v>
      </c>
      <c r="P251" s="14">
        <f>O251+O250+O249</f>
        <v>0.272142202</v>
      </c>
      <c r="Q251" s="57"/>
      <c r="R251" s="56">
        <f>N689</f>
        <v>219</v>
      </c>
      <c r="S251" s="56">
        <f>P689</f>
        <v>3.3195600000000001</v>
      </c>
      <c r="Z251">
        <v>219</v>
      </c>
      <c r="AA251" s="58">
        <v>300.55199442091345</v>
      </c>
      <c r="AB251" s="59">
        <v>43.772766899010314</v>
      </c>
      <c r="AC251" s="59">
        <v>344.32476131992377</v>
      </c>
      <c r="AD251" s="60">
        <v>256.77922752190312</v>
      </c>
      <c r="AE251" s="61">
        <v>0.72198554572265083</v>
      </c>
      <c r="AF251" s="62">
        <v>0.14584674196864311</v>
      </c>
      <c r="AG251" s="62">
        <v>0.86783228769129395</v>
      </c>
      <c r="AH251" s="63">
        <v>0.57613880375400772</v>
      </c>
      <c r="AI251">
        <f t="shared" si="17"/>
        <v>13.865743273739653</v>
      </c>
      <c r="AJ251" s="64">
        <v>332.77783856975168</v>
      </c>
      <c r="AK251">
        <f t="shared" si="15"/>
        <v>13.865743273739653</v>
      </c>
      <c r="AM251" s="56">
        <v>220</v>
      </c>
      <c r="AN251" s="56">
        <f t="shared" si="16"/>
        <v>1.0932742469213963</v>
      </c>
    </row>
    <row r="252" spans="14:40" x14ac:dyDescent="0.25">
      <c r="N252" s="14">
        <v>73.333299999999994</v>
      </c>
      <c r="O252" s="14">
        <v>0.27160800000000002</v>
      </c>
      <c r="P252">
        <v>0</v>
      </c>
      <c r="Q252" s="57"/>
      <c r="R252" s="56">
        <f>N692</f>
        <v>220</v>
      </c>
      <c r="S252" s="56">
        <f>P692</f>
        <v>3.3115100000000002</v>
      </c>
      <c r="Z252">
        <v>220</v>
      </c>
      <c r="AA252" s="58">
        <v>299.45872017399211</v>
      </c>
      <c r="AB252" s="59">
        <v>44.274081112172688</v>
      </c>
      <c r="AC252" s="59">
        <v>343.73280128616477</v>
      </c>
      <c r="AD252" s="60">
        <v>255.18463906181941</v>
      </c>
      <c r="AE252" s="61">
        <v>0.7194546931727992</v>
      </c>
      <c r="AF252" s="62">
        <v>0.14714462545233503</v>
      </c>
      <c r="AG252" s="62">
        <v>0.86659931862513417</v>
      </c>
      <c r="AH252" s="63">
        <v>0.57231006772046422</v>
      </c>
      <c r="AI252">
        <f t="shared" si="17"/>
        <v>13.90063032581414</v>
      </c>
      <c r="AJ252" s="64">
        <v>333.61512781953934</v>
      </c>
      <c r="AK252">
        <f t="shared" si="15"/>
        <v>13.90063032581414</v>
      </c>
      <c r="AM252" s="56">
        <v>221</v>
      </c>
      <c r="AN252" s="56">
        <f t="shared" si="16"/>
        <v>1.0932742469213963</v>
      </c>
    </row>
    <row r="253" spans="14:40" x14ac:dyDescent="0.25">
      <c r="N253" s="14">
        <v>73.666700000000006</v>
      </c>
      <c r="O253" s="14">
        <v>4.2184200000000002E-4</v>
      </c>
      <c r="P253">
        <v>0</v>
      </c>
      <c r="Q253" s="57"/>
      <c r="R253" s="56">
        <f>N695</f>
        <v>221</v>
      </c>
      <c r="S253" s="56">
        <f>P695</f>
        <v>3.3027699999999998</v>
      </c>
      <c r="Z253">
        <v>221</v>
      </c>
      <c r="AA253" s="58">
        <v>298.36544592707071</v>
      </c>
      <c r="AB253" s="59">
        <v>44.779126017854878</v>
      </c>
      <c r="AC253" s="59">
        <v>343.14457194492559</v>
      </c>
      <c r="AD253" s="60">
        <v>253.58631990921583</v>
      </c>
      <c r="AE253" s="61">
        <v>0.71692384062294778</v>
      </c>
      <c r="AF253" s="62">
        <v>0.14844558033695482</v>
      </c>
      <c r="AG253" s="62">
        <v>0.86536942095990255</v>
      </c>
      <c r="AH253" s="63">
        <v>0.56847826028599302</v>
      </c>
      <c r="AI253">
        <f t="shared" si="17"/>
        <v>13.935517377888623</v>
      </c>
      <c r="AJ253" s="64">
        <v>334.45241706932694</v>
      </c>
      <c r="AK253">
        <f t="shared" si="15"/>
        <v>13.935517377888623</v>
      </c>
      <c r="AM253" s="56">
        <v>222</v>
      </c>
      <c r="AN253" s="56">
        <f t="shared" si="16"/>
        <v>1.0932742469213963</v>
      </c>
    </row>
    <row r="254" spans="14:40" x14ac:dyDescent="0.25">
      <c r="N254" s="14">
        <v>74</v>
      </c>
      <c r="O254" s="14">
        <v>0</v>
      </c>
      <c r="P254" s="14">
        <f>O254+O253+O252</f>
        <v>0.27202984200000002</v>
      </c>
      <c r="Q254" s="57"/>
      <c r="R254" s="56">
        <f>N698</f>
        <v>222</v>
      </c>
      <c r="S254" s="56">
        <f>P698</f>
        <v>3.2787800000000002</v>
      </c>
      <c r="Z254">
        <v>222</v>
      </c>
      <c r="AA254" s="58">
        <v>297.27217168014931</v>
      </c>
      <c r="AB254" s="59">
        <v>45.287776803261742</v>
      </c>
      <c r="AC254" s="59">
        <v>342.55994848341106</v>
      </c>
      <c r="AD254" s="60">
        <v>251.98439487688756</v>
      </c>
      <c r="AE254" s="61">
        <v>0.71439298807309637</v>
      </c>
      <c r="AF254" s="62">
        <v>0.14974952657377671</v>
      </c>
      <c r="AG254" s="62">
        <v>0.86414251464687308</v>
      </c>
      <c r="AH254" s="63">
        <v>0.56464346149931965</v>
      </c>
      <c r="AI254">
        <f t="shared" si="17"/>
        <v>13.970404429963109</v>
      </c>
      <c r="AJ254" s="64">
        <v>335.2897063191146</v>
      </c>
      <c r="AK254">
        <f t="shared" si="15"/>
        <v>13.970404429963109</v>
      </c>
      <c r="AM254" s="56">
        <v>223</v>
      </c>
      <c r="AN254" s="56">
        <f t="shared" si="16"/>
        <v>1.0932742469213395</v>
      </c>
    </row>
    <row r="255" spans="14:40" x14ac:dyDescent="0.25">
      <c r="N255" s="14">
        <v>74.333299999999994</v>
      </c>
      <c r="O255" s="14">
        <v>0.27149499999999999</v>
      </c>
      <c r="P255">
        <v>0</v>
      </c>
      <c r="Q255" s="57"/>
      <c r="R255" s="56">
        <f>N701</f>
        <v>223</v>
      </c>
      <c r="S255" s="56">
        <f>P701</f>
        <v>3.2729999999999997</v>
      </c>
      <c r="Z255">
        <v>223</v>
      </c>
      <c r="AA255" s="58">
        <v>296.17889743322792</v>
      </c>
      <c r="AB255" s="59">
        <v>45.799913328571428</v>
      </c>
      <c r="AC255" s="59">
        <v>341.97881076179937</v>
      </c>
      <c r="AD255" s="60">
        <v>250.3789841046565</v>
      </c>
      <c r="AE255" s="61">
        <v>0.71186213552324473</v>
      </c>
      <c r="AF255" s="62">
        <v>0.15105638669713187</v>
      </c>
      <c r="AG255" s="62">
        <v>0.86291852222037657</v>
      </c>
      <c r="AH255" s="63">
        <v>0.56080574882611289</v>
      </c>
      <c r="AI255">
        <f t="shared" si="17"/>
        <v>14.005291482037594</v>
      </c>
      <c r="AJ255" s="64">
        <v>336.12699556890226</v>
      </c>
      <c r="AK255">
        <f t="shared" si="15"/>
        <v>14.005291482037594</v>
      </c>
      <c r="AM255" s="56">
        <v>224</v>
      </c>
      <c r="AN255" s="56">
        <f t="shared" si="16"/>
        <v>1.0932742469213963</v>
      </c>
    </row>
    <row r="256" spans="14:40" x14ac:dyDescent="0.25">
      <c r="N256" s="14">
        <v>74.666700000000006</v>
      </c>
      <c r="O256" s="14">
        <v>4.215E-4</v>
      </c>
      <c r="P256">
        <v>0</v>
      </c>
      <c r="Q256" s="57"/>
      <c r="R256" s="56">
        <f>N704</f>
        <v>224</v>
      </c>
      <c r="S256" s="56">
        <f>P704</f>
        <v>3.2522599999999997</v>
      </c>
      <c r="Z256">
        <v>224</v>
      </c>
      <c r="AA256" s="58">
        <v>295.08562318630658</v>
      </c>
      <c r="AB256" s="59">
        <v>46.315419962369994</v>
      </c>
      <c r="AC256" s="59">
        <v>341.40104314867659</v>
      </c>
      <c r="AD256" s="60">
        <v>248.77020322393659</v>
      </c>
      <c r="AE256" s="61">
        <v>0.70933128297339332</v>
      </c>
      <c r="AF256" s="62">
        <v>0.15236608572889085</v>
      </c>
      <c r="AG256" s="62">
        <v>0.86169736870228419</v>
      </c>
      <c r="AH256" s="63">
        <v>0.55696519724450244</v>
      </c>
      <c r="AI256">
        <f t="shared" si="17"/>
        <v>14.040178534112078</v>
      </c>
      <c r="AJ256" s="64">
        <v>336.96428481868986</v>
      </c>
      <c r="AK256">
        <f t="shared" si="15"/>
        <v>14.040178534112078</v>
      </c>
      <c r="AM256" s="56">
        <v>225</v>
      </c>
      <c r="AN256" s="56">
        <f t="shared" si="16"/>
        <v>1.0932742469213395</v>
      </c>
    </row>
    <row r="257" spans="14:40" x14ac:dyDescent="0.25">
      <c r="N257" s="14">
        <v>75</v>
      </c>
      <c r="O257" s="14">
        <v>0</v>
      </c>
      <c r="P257" s="14">
        <f>O257+O256+O255</f>
        <v>0.27191650000000001</v>
      </c>
      <c r="Q257" s="57"/>
      <c r="R257" s="56">
        <f>N707</f>
        <v>225</v>
      </c>
      <c r="S257" s="56">
        <f>P707</f>
        <v>3.2356199999999999</v>
      </c>
      <c r="Z257">
        <v>225</v>
      </c>
      <c r="AA257" s="58">
        <v>293.99234893938518</v>
      </c>
      <c r="AB257" s="59">
        <v>46.834185419842882</v>
      </c>
      <c r="AC257" s="59">
        <v>340.82653435922805</v>
      </c>
      <c r="AD257" s="60">
        <v>247.15816351954231</v>
      </c>
      <c r="AE257" s="61">
        <v>0.70680043042354179</v>
      </c>
      <c r="AF257" s="62">
        <v>0.15367855108674783</v>
      </c>
      <c r="AG257" s="62">
        <v>0.86047898151028956</v>
      </c>
      <c r="AH257" s="63">
        <v>0.55312187933679402</v>
      </c>
      <c r="AI257">
        <f t="shared" si="17"/>
        <v>13.972720438832164</v>
      </c>
      <c r="AJ257" s="64">
        <v>335.34529053197195</v>
      </c>
      <c r="AK257">
        <f t="shared" si="15"/>
        <v>13.972720438832164</v>
      </c>
      <c r="AM257" s="56">
        <v>226</v>
      </c>
      <c r="AN257" s="56">
        <f t="shared" si="16"/>
        <v>1.0932742469213963</v>
      </c>
    </row>
    <row r="258" spans="14:40" x14ac:dyDescent="0.25">
      <c r="N258" s="14">
        <v>75.333299999999994</v>
      </c>
      <c r="O258" s="14">
        <v>0.27138800000000002</v>
      </c>
      <c r="P258">
        <v>0</v>
      </c>
      <c r="Q258" s="57"/>
      <c r="R258" s="56">
        <f>N710</f>
        <v>226</v>
      </c>
      <c r="S258" s="56">
        <f>P710</f>
        <v>3.2253600000000002</v>
      </c>
      <c r="Z258">
        <v>226</v>
      </c>
      <c r="AA258" s="58">
        <v>292.89907469246384</v>
      </c>
      <c r="AB258" s="59">
        <v>47.356102604133028</v>
      </c>
      <c r="AC258" s="59">
        <v>340.25517729659686</v>
      </c>
      <c r="AD258" s="60">
        <v>245.54297208833083</v>
      </c>
      <c r="AE258" s="61">
        <v>0.70426957787369027</v>
      </c>
      <c r="AF258" s="62">
        <v>0.15499371249611457</v>
      </c>
      <c r="AG258" s="62">
        <v>0.85926329036980487</v>
      </c>
      <c r="AH258" s="63">
        <v>0.54927586537757567</v>
      </c>
      <c r="AI258">
        <f t="shared" si="17"/>
        <v>13.720661762692837</v>
      </c>
      <c r="AJ258" s="64">
        <v>329.29588230462809</v>
      </c>
      <c r="AK258">
        <f t="shared" si="15"/>
        <v>13.720661762692837</v>
      </c>
      <c r="AM258" s="56">
        <v>227</v>
      </c>
      <c r="AN258" s="56">
        <f t="shared" si="16"/>
        <v>1.0932742469213963</v>
      </c>
    </row>
    <row r="259" spans="14:40" x14ac:dyDescent="0.25">
      <c r="N259" s="14">
        <v>75.666700000000006</v>
      </c>
      <c r="O259" s="14">
        <v>4.2110999999999998E-4</v>
      </c>
      <c r="P259">
        <v>0</v>
      </c>
      <c r="Q259" s="57"/>
      <c r="R259" s="56">
        <f>N713</f>
        <v>227</v>
      </c>
      <c r="S259" s="56">
        <f>P713</f>
        <v>3.1878799999999998</v>
      </c>
      <c r="Z259">
        <v>227</v>
      </c>
      <c r="AA259" s="58">
        <v>291.80580044554245</v>
      </c>
      <c r="AB259" s="59">
        <v>47.88106845121186</v>
      </c>
      <c r="AC259" s="59">
        <v>339.68686889675428</v>
      </c>
      <c r="AD259" s="60">
        <v>243.92473199433059</v>
      </c>
      <c r="AE259" s="61">
        <v>0.70173872532383874</v>
      </c>
      <c r="AF259" s="62">
        <v>0.15631150190552839</v>
      </c>
      <c r="AG259" s="62">
        <v>0.85805022722936708</v>
      </c>
      <c r="AH259" s="63">
        <v>0.5454272234183104</v>
      </c>
      <c r="AI259">
        <f t="shared" si="17"/>
        <v>13.464840607317138</v>
      </c>
      <c r="AJ259" s="64">
        <v>323.15617457561132</v>
      </c>
      <c r="AK259">
        <f t="shared" si="15"/>
        <v>13.464840607317138</v>
      </c>
      <c r="AM259" s="56">
        <v>228</v>
      </c>
      <c r="AN259" s="56">
        <f t="shared" si="16"/>
        <v>1.0940921887422519</v>
      </c>
    </row>
    <row r="260" spans="14:40" x14ac:dyDescent="0.25">
      <c r="N260" s="14">
        <v>76</v>
      </c>
      <c r="O260" s="14">
        <v>0</v>
      </c>
      <c r="P260" s="14">
        <f>O260+O259+O258</f>
        <v>0.27180911000000002</v>
      </c>
      <c r="Q260" s="57"/>
      <c r="R260" s="56">
        <f>N716</f>
        <v>228</v>
      </c>
      <c r="S260" s="56">
        <f>P716</f>
        <v>3.2011899999999995</v>
      </c>
      <c r="Z260">
        <v>228</v>
      </c>
      <c r="AA260" s="58">
        <v>290.71252619862105</v>
      </c>
      <c r="AB260" s="59">
        <v>48.408983778525808</v>
      </c>
      <c r="AC260" s="59">
        <v>339.12150997714684</v>
      </c>
      <c r="AD260" s="60">
        <v>242.30354242009525</v>
      </c>
      <c r="AE260" s="61">
        <v>0.69920787277398733</v>
      </c>
      <c r="AF260" s="62">
        <v>0.15763185340540553</v>
      </c>
      <c r="AG260" s="62">
        <v>0.85683972617939286</v>
      </c>
      <c r="AH260" s="63">
        <v>0.5415760193685818</v>
      </c>
      <c r="AI260">
        <f t="shared" si="17"/>
        <v>13.209019451941444</v>
      </c>
      <c r="AJ260" s="64">
        <v>317.01646684659465</v>
      </c>
      <c r="AK260">
        <f t="shared" si="15"/>
        <v>13.209019451941444</v>
      </c>
      <c r="AM260" s="56">
        <v>229</v>
      </c>
      <c r="AN260" s="56">
        <f t="shared" si="16"/>
        <v>1.0956225242565552</v>
      </c>
    </row>
    <row r="261" spans="14:40" x14ac:dyDescent="0.25">
      <c r="N261" s="14">
        <v>76.333299999999994</v>
      </c>
      <c r="O261" s="14">
        <v>0.271094</v>
      </c>
      <c r="P261">
        <v>0</v>
      </c>
      <c r="Q261" s="57"/>
      <c r="R261" s="56">
        <f>N719</f>
        <v>229</v>
      </c>
      <c r="S261" s="56">
        <f>P719</f>
        <v>3.1337710000000003</v>
      </c>
      <c r="Z261">
        <v>229</v>
      </c>
      <c r="AA261" s="58">
        <v>289.6184340098788</v>
      </c>
      <c r="AB261" s="59">
        <v>48.938437426070273</v>
      </c>
      <c r="AC261" s="59">
        <v>338.55687143594906</v>
      </c>
      <c r="AD261" s="60">
        <v>240.67999658380853</v>
      </c>
      <c r="AE261" s="61">
        <v>0.69667487017881791</v>
      </c>
      <c r="AF261" s="62">
        <v>0.15895090527941833</v>
      </c>
      <c r="AG261" s="62">
        <v>0.85562577545823626</v>
      </c>
      <c r="AH261" s="63">
        <v>0.53772396489939955</v>
      </c>
      <c r="AI261">
        <f t="shared" si="17"/>
        <v>12.953198296565743</v>
      </c>
      <c r="AJ261" s="64">
        <v>310.87675911757782</v>
      </c>
      <c r="AK261">
        <f t="shared" si="15"/>
        <v>12.953198296565743</v>
      </c>
      <c r="AM261" s="56">
        <v>230</v>
      </c>
      <c r="AN261" s="56">
        <f t="shared" si="16"/>
        <v>1.0956575806758906</v>
      </c>
    </row>
    <row r="262" spans="14:40" x14ac:dyDescent="0.25">
      <c r="N262" s="14">
        <v>76.666700000000006</v>
      </c>
      <c r="O262" s="14">
        <v>4.21941E-4</v>
      </c>
      <c r="P262">
        <v>0</v>
      </c>
      <c r="Q262" s="57"/>
      <c r="R262" s="56">
        <f>N722</f>
        <v>230</v>
      </c>
      <c r="S262" s="56">
        <f>P722</f>
        <v>3.0868700000000002</v>
      </c>
      <c r="Z262">
        <v>230</v>
      </c>
      <c r="AA262" s="58">
        <v>288.52281148562224</v>
      </c>
      <c r="AB262" s="59">
        <v>49.468177261860866</v>
      </c>
      <c r="AC262" s="59">
        <v>337.99098874748313</v>
      </c>
      <c r="AD262" s="60">
        <v>239.05463422376138</v>
      </c>
      <c r="AE262" s="61">
        <v>0.69413784493726571</v>
      </c>
      <c r="AF262" s="62">
        <v>0.16026528197627854</v>
      </c>
      <c r="AG262" s="62">
        <v>0.85440312691354425</v>
      </c>
      <c r="AH262" s="63">
        <v>0.53387256296098717</v>
      </c>
      <c r="AI262">
        <f t="shared" si="17"/>
        <v>12.697377141190048</v>
      </c>
      <c r="AJ262" s="64">
        <v>304.73705138856116</v>
      </c>
      <c r="AK262">
        <f t="shared" si="15"/>
        <v>12.697377141190048</v>
      </c>
      <c r="AM262" s="56">
        <v>231</v>
      </c>
      <c r="AN262" s="56">
        <f t="shared" si="16"/>
        <v>1.0956575806758337</v>
      </c>
    </row>
    <row r="263" spans="14:40" x14ac:dyDescent="0.25">
      <c r="N263" s="14">
        <v>77</v>
      </c>
      <c r="O263" s="14">
        <v>0</v>
      </c>
      <c r="P263" s="14">
        <f>O263+O262+O261</f>
        <v>0.27151594099999998</v>
      </c>
      <c r="Q263" s="57"/>
      <c r="R263" s="56">
        <f>N725</f>
        <v>231</v>
      </c>
      <c r="S263" s="56">
        <f>P725</f>
        <v>3.06006</v>
      </c>
      <c r="Z263">
        <v>231</v>
      </c>
      <c r="AA263" s="58">
        <v>287.42715390494635</v>
      </c>
      <c r="AB263" s="59">
        <v>50.000513904887299</v>
      </c>
      <c r="AC263" s="59">
        <v>337.42766780983368</v>
      </c>
      <c r="AD263" s="60">
        <v>237.42664000005905</v>
      </c>
      <c r="AE263" s="61">
        <v>0.69160072754626167</v>
      </c>
      <c r="AF263" s="62">
        <v>0.16158186402474803</v>
      </c>
      <c r="AG263" s="62">
        <v>0.85318259157100973</v>
      </c>
      <c r="AH263" s="63">
        <v>0.53001886352151362</v>
      </c>
      <c r="AI263">
        <f t="shared" si="17"/>
        <v>12.441555985814352</v>
      </c>
      <c r="AJ263" s="64">
        <v>298.59734365954444</v>
      </c>
      <c r="AK263">
        <f t="shared" si="15"/>
        <v>12.441555985814352</v>
      </c>
      <c r="AM263" s="56">
        <v>232</v>
      </c>
      <c r="AN263" s="56">
        <f t="shared" si="16"/>
        <v>1.0956575806758906</v>
      </c>
    </row>
    <row r="264" spans="14:40" x14ac:dyDescent="0.25">
      <c r="N264" s="14">
        <v>77.333299999999994</v>
      </c>
      <c r="O264" s="14">
        <v>0.26556800000000003</v>
      </c>
      <c r="P264">
        <v>0</v>
      </c>
      <c r="Q264" s="57"/>
      <c r="R264" s="56">
        <f>N728</f>
        <v>232</v>
      </c>
      <c r="S264" s="56">
        <f>P728</f>
        <v>3.0449799999999998</v>
      </c>
      <c r="Z264">
        <v>232</v>
      </c>
      <c r="AA264" s="58">
        <v>286.33149632427052</v>
      </c>
      <c r="AB264" s="59">
        <v>50.535419898426291</v>
      </c>
      <c r="AC264" s="59">
        <v>336.86691622269683</v>
      </c>
      <c r="AD264" s="60">
        <v>235.79607642584423</v>
      </c>
      <c r="AE264" s="61">
        <v>0.68906361015525797</v>
      </c>
      <c r="AF264" s="62">
        <v>0.16290075677772839</v>
      </c>
      <c r="AG264" s="62">
        <v>0.85196436693298638</v>
      </c>
      <c r="AH264" s="63">
        <v>0.52616285337752955</v>
      </c>
      <c r="AI264">
        <f t="shared" si="17"/>
        <v>12.185734830438653</v>
      </c>
      <c r="AJ264" s="64">
        <v>292.45763593052766</v>
      </c>
      <c r="AK264">
        <f t="shared" si="15"/>
        <v>12.185734830438653</v>
      </c>
      <c r="AM264" s="56">
        <v>233</v>
      </c>
      <c r="AN264" s="56">
        <f t="shared" si="16"/>
        <v>1.0876152532722472</v>
      </c>
    </row>
    <row r="265" spans="14:40" x14ac:dyDescent="0.25">
      <c r="N265" s="14">
        <v>77.666700000000006</v>
      </c>
      <c r="O265" s="14">
        <v>4.7076099999999999E-4</v>
      </c>
      <c r="P265">
        <v>0</v>
      </c>
      <c r="Q265" s="57"/>
      <c r="R265" s="56">
        <f>N731</f>
        <v>233</v>
      </c>
      <c r="S265" s="56">
        <f>P731</f>
        <v>3.0470600000000001</v>
      </c>
      <c r="Z265">
        <v>233</v>
      </c>
      <c r="AA265" s="58">
        <v>285.23583874359463</v>
      </c>
      <c r="AB265" s="59">
        <v>51.072814513039127</v>
      </c>
      <c r="AC265" s="59">
        <v>336.30865325663376</v>
      </c>
      <c r="AD265" s="60">
        <v>234.16302423055549</v>
      </c>
      <c r="AE265" s="61">
        <v>0.68652649276425404</v>
      </c>
      <c r="AF265" s="62">
        <v>0.16422190456230273</v>
      </c>
      <c r="AG265" s="62">
        <v>0.85074839732655683</v>
      </c>
      <c r="AH265" s="63">
        <v>0.52230458820195125</v>
      </c>
      <c r="AI265">
        <f t="shared" si="17"/>
        <v>11.929913675062958</v>
      </c>
      <c r="AJ265" s="64">
        <v>286.31792820151099</v>
      </c>
      <c r="AK265">
        <f t="shared" si="15"/>
        <v>11.929913675062958</v>
      </c>
      <c r="AM265" s="56">
        <v>234</v>
      </c>
      <c r="AN265" s="56">
        <f t="shared" si="16"/>
        <v>1.0732256701314782</v>
      </c>
    </row>
    <row r="266" spans="14:40" x14ac:dyDescent="0.25">
      <c r="N266" s="14">
        <v>78</v>
      </c>
      <c r="O266" s="14">
        <v>0</v>
      </c>
      <c r="P266" s="14">
        <f>O266+O265+O264</f>
        <v>0.26603876100000001</v>
      </c>
      <c r="Q266" s="57"/>
      <c r="R266" s="56">
        <f>N734</f>
        <v>234</v>
      </c>
      <c r="S266" s="56">
        <f>P734</f>
        <v>3.0128760000000003</v>
      </c>
      <c r="Z266">
        <v>234</v>
      </c>
      <c r="AA266" s="58">
        <v>284.14822349032238</v>
      </c>
      <c r="AB266" s="59">
        <v>51.604947114692898</v>
      </c>
      <c r="AC266" s="59">
        <v>335.75317060501527</v>
      </c>
      <c r="AD266" s="60">
        <v>232.54327637562949</v>
      </c>
      <c r="AE266" s="61">
        <v>0.68400819359906695</v>
      </c>
      <c r="AF266" s="62">
        <v>0.16552967071937622</v>
      </c>
      <c r="AG266" s="62">
        <v>0.84953786431844314</v>
      </c>
      <c r="AH266" s="63">
        <v>0.51847852287969076</v>
      </c>
      <c r="AI266">
        <f t="shared" si="17"/>
        <v>11.586130074106284</v>
      </c>
      <c r="AJ266" s="64">
        <v>278.06712177855081</v>
      </c>
      <c r="AK266">
        <f t="shared" si="15"/>
        <v>11.586130074106284</v>
      </c>
      <c r="AM266" s="56">
        <v>235</v>
      </c>
      <c r="AN266" s="56">
        <f t="shared" si="16"/>
        <v>1.072940116644304</v>
      </c>
    </row>
    <row r="267" spans="14:40" x14ac:dyDescent="0.25">
      <c r="N267" s="14">
        <v>78.333299999999994</v>
      </c>
      <c r="O267" s="14">
        <v>0.27098</v>
      </c>
      <c r="P267">
        <v>0</v>
      </c>
      <c r="Q267" s="57"/>
      <c r="R267" s="56">
        <f>N737</f>
        <v>235</v>
      </c>
      <c r="S267" s="56">
        <f>P737</f>
        <v>3.0196269999999998</v>
      </c>
      <c r="Z267">
        <v>235</v>
      </c>
      <c r="AA267" s="58">
        <v>283.0749978201909</v>
      </c>
      <c r="AB267" s="59">
        <v>52.12551322770063</v>
      </c>
      <c r="AC267" s="59">
        <v>335.20051104789155</v>
      </c>
      <c r="AD267" s="60">
        <v>230.94948459249028</v>
      </c>
      <c r="AE267" s="61">
        <v>0.68152356459070895</v>
      </c>
      <c r="AF267" s="62">
        <v>0.1668113483369289</v>
      </c>
      <c r="AG267" s="62">
        <v>0.84833491292763785</v>
      </c>
      <c r="AH267" s="63">
        <v>0.51471221625378005</v>
      </c>
      <c r="AI267">
        <f t="shared" si="17"/>
        <v>11.082534332486157</v>
      </c>
      <c r="AJ267" s="64">
        <v>265.98082397966778</v>
      </c>
      <c r="AK267">
        <f t="shared" si="15"/>
        <v>11.082534332486157</v>
      </c>
      <c r="AM267" s="56">
        <v>236</v>
      </c>
      <c r="AN267" s="56">
        <f t="shared" si="16"/>
        <v>1.072940116644304</v>
      </c>
    </row>
    <row r="268" spans="14:40" x14ac:dyDescent="0.25">
      <c r="N268" s="14">
        <v>78.666700000000006</v>
      </c>
      <c r="O268" s="14">
        <v>4.2023400000000002E-4</v>
      </c>
      <c r="P268">
        <v>0</v>
      </c>
      <c r="Q268" s="57"/>
      <c r="R268" s="56">
        <f>N740</f>
        <v>236</v>
      </c>
      <c r="S268" s="56">
        <f>P740</f>
        <v>3.0119629999999997</v>
      </c>
      <c r="Z268">
        <v>236</v>
      </c>
      <c r="AA268" s="58">
        <v>282.0020577035466</v>
      </c>
      <c r="AB268" s="59">
        <v>52.64782075596117</v>
      </c>
      <c r="AC268" s="59">
        <v>334.64987845950776</v>
      </c>
      <c r="AD268" s="60">
        <v>229.35423694758543</v>
      </c>
      <c r="AE268" s="61">
        <v>0.6790396037483849</v>
      </c>
      <c r="AF268" s="62">
        <v>0.16809405204258826</v>
      </c>
      <c r="AG268" s="62">
        <v>0.84713365579097322</v>
      </c>
      <c r="AH268" s="63">
        <v>0.51094555170579659</v>
      </c>
      <c r="AI268">
        <f t="shared" si="17"/>
        <v>10.575603210566014</v>
      </c>
      <c r="AJ268" s="64">
        <v>253.81447705358434</v>
      </c>
      <c r="AK268">
        <f t="shared" si="15"/>
        <v>10.575603210566014</v>
      </c>
      <c r="AM268" s="56">
        <v>237</v>
      </c>
      <c r="AN268" s="56">
        <f t="shared" si="16"/>
        <v>1.0729401166442472</v>
      </c>
    </row>
    <row r="269" spans="14:40" x14ac:dyDescent="0.25">
      <c r="N269" s="14">
        <v>79</v>
      </c>
      <c r="O269" s="14">
        <v>0</v>
      </c>
      <c r="P269" s="14">
        <f>O269+O268+O267</f>
        <v>0.27140023400000002</v>
      </c>
      <c r="Q269" s="57"/>
      <c r="R269" s="56">
        <f>N743</f>
        <v>237</v>
      </c>
      <c r="S269" s="56">
        <f>P743</f>
        <v>3.0014519999999996</v>
      </c>
      <c r="Z269">
        <v>237</v>
      </c>
      <c r="AA269" s="58">
        <v>280.92911758690229</v>
      </c>
      <c r="AB269" s="59">
        <v>53.172082642293319</v>
      </c>
      <c r="AC269" s="59">
        <v>334.10120022919563</v>
      </c>
      <c r="AD269" s="60">
        <v>227.75703494460896</v>
      </c>
      <c r="AE269" s="61">
        <v>0.67655564290606096</v>
      </c>
      <c r="AF269" s="62">
        <v>0.1693782989760475</v>
      </c>
      <c r="AG269" s="62">
        <v>0.84593394188210846</v>
      </c>
      <c r="AH269" s="63">
        <v>0.50717734393001346</v>
      </c>
      <c r="AI269">
        <f t="shared" si="17"/>
        <v>10.429475400639051</v>
      </c>
      <c r="AJ269" s="64">
        <v>250.30740961533721</v>
      </c>
      <c r="AK269">
        <f t="shared" si="15"/>
        <v>10.429475400639051</v>
      </c>
      <c r="AM269" s="56">
        <v>238</v>
      </c>
      <c r="AN269" s="56">
        <f t="shared" si="16"/>
        <v>1.0740983917128801</v>
      </c>
    </row>
    <row r="270" spans="14:40" x14ac:dyDescent="0.25">
      <c r="N270" s="14">
        <v>79.333299999999994</v>
      </c>
      <c r="O270" s="14">
        <v>0.26297799999999999</v>
      </c>
      <c r="P270">
        <v>0</v>
      </c>
      <c r="Q270" s="57"/>
      <c r="R270" s="56">
        <f>N746</f>
        <v>238</v>
      </c>
      <c r="S270" s="56">
        <f>P746</f>
        <v>2.9866470000000001</v>
      </c>
      <c r="Z270">
        <v>238</v>
      </c>
      <c r="AA270" s="58">
        <v>279.85617747025805</v>
      </c>
      <c r="AB270" s="59">
        <v>53.698241644884021</v>
      </c>
      <c r="AC270" s="59">
        <v>333.55441911514208</v>
      </c>
      <c r="AD270" s="60">
        <v>226.15793582537401</v>
      </c>
      <c r="AE270" s="61">
        <v>0.67407168206373691</v>
      </c>
      <c r="AF270" s="62">
        <v>0.17066405429894535</v>
      </c>
      <c r="AG270" s="62">
        <v>0.84473573636268229</v>
      </c>
      <c r="AH270" s="63">
        <v>0.50340762776479153</v>
      </c>
      <c r="AI270">
        <f t="shared" si="17"/>
        <v>10.9211330487667</v>
      </c>
      <c r="AJ270" s="64">
        <v>262.10719317040082</v>
      </c>
      <c r="AK270">
        <f t="shared" si="15"/>
        <v>10.9211330487667</v>
      </c>
      <c r="AM270" s="56">
        <v>239</v>
      </c>
      <c r="AN270" s="56">
        <f t="shared" si="16"/>
        <v>1.0761946816825798</v>
      </c>
    </row>
    <row r="271" spans="14:40" x14ac:dyDescent="0.25">
      <c r="N271" s="14">
        <v>79.666700000000006</v>
      </c>
      <c r="O271" s="14">
        <v>4.9308200000000005E-4</v>
      </c>
      <c r="P271">
        <v>0</v>
      </c>
      <c r="Q271" s="57"/>
      <c r="R271" s="56">
        <f>N749</f>
        <v>239</v>
      </c>
      <c r="S271" s="56">
        <f>P749</f>
        <v>2.9472719999999999</v>
      </c>
      <c r="Z271">
        <v>239</v>
      </c>
      <c r="AA271" s="58">
        <v>278.78207907854517</v>
      </c>
      <c r="AB271" s="59">
        <v>54.225835621349205</v>
      </c>
      <c r="AC271" s="59">
        <v>333.0079146998944</v>
      </c>
      <c r="AD271" s="60">
        <v>224.55624345719596</v>
      </c>
      <c r="AE271" s="61">
        <v>0.67158511958786904</v>
      </c>
      <c r="AF271" s="62">
        <v>0.17195142188536952</v>
      </c>
      <c r="AG271" s="62">
        <v>0.84353654147323853</v>
      </c>
      <c r="AH271" s="63">
        <v>0.49963369770249955</v>
      </c>
      <c r="AI271">
        <f t="shared" si="17"/>
        <v>11.424940046636154</v>
      </c>
      <c r="AJ271" s="64">
        <v>274.19856111926771</v>
      </c>
      <c r="AK271">
        <f t="shared" si="15"/>
        <v>11.424940046636154</v>
      </c>
      <c r="AM271" s="56">
        <v>240</v>
      </c>
      <c r="AN271" s="56">
        <f t="shared" si="16"/>
        <v>1.0762378863071831</v>
      </c>
    </row>
    <row r="272" spans="14:40" x14ac:dyDescent="0.25">
      <c r="N272" s="14">
        <v>80</v>
      </c>
      <c r="O272" s="14">
        <v>0</v>
      </c>
      <c r="P272" s="14">
        <f>O272+O271+O270</f>
        <v>0.26347108199999997</v>
      </c>
      <c r="Q272" s="57"/>
      <c r="R272" s="56">
        <f>N752</f>
        <v>240</v>
      </c>
      <c r="S272" s="56">
        <f>P752</f>
        <v>2.960407</v>
      </c>
      <c r="Z272">
        <v>240</v>
      </c>
      <c r="AA272" s="58">
        <v>277.70588439686259</v>
      </c>
      <c r="AB272" s="59">
        <v>54.754531807535578</v>
      </c>
      <c r="AC272" s="59">
        <v>332.46041620439814</v>
      </c>
      <c r="AD272" s="60">
        <v>222.951352589327</v>
      </c>
      <c r="AE272" s="61">
        <v>0.66909384857734411</v>
      </c>
      <c r="AF272" s="62">
        <v>0.17324052757350544</v>
      </c>
      <c r="AG272" s="62">
        <v>0.8423343761508495</v>
      </c>
      <c r="AH272" s="63">
        <v>0.49585332100383867</v>
      </c>
      <c r="AI272">
        <f t="shared" si="17"/>
        <v>11.928747044505606</v>
      </c>
      <c r="AJ272" s="64">
        <v>286.28992906813454</v>
      </c>
      <c r="AK272">
        <f t="shared" si="15"/>
        <v>11.928747044505606</v>
      </c>
      <c r="AM272" s="56">
        <v>241</v>
      </c>
      <c r="AN272" s="56">
        <f t="shared" si="16"/>
        <v>1.0762378863071262</v>
      </c>
    </row>
    <row r="273" spans="14:40" x14ac:dyDescent="0.25">
      <c r="N273" s="14">
        <v>80.333299999999994</v>
      </c>
      <c r="O273" s="14">
        <v>0.26247999999999999</v>
      </c>
      <c r="P273">
        <v>0</v>
      </c>
      <c r="Q273" s="57"/>
      <c r="R273" s="56">
        <f>N755</f>
        <v>241</v>
      </c>
      <c r="S273" s="56">
        <f>P755</f>
        <v>2.970485</v>
      </c>
      <c r="Z273">
        <v>241</v>
      </c>
      <c r="AA273" s="58">
        <v>276.6296465105554</v>
      </c>
      <c r="AB273" s="59">
        <v>55.285023254831394</v>
      </c>
      <c r="AC273" s="59">
        <v>331.9146697653868</v>
      </c>
      <c r="AD273" s="60">
        <v>221.344623255724</v>
      </c>
      <c r="AE273" s="61">
        <v>0.66660248052372162</v>
      </c>
      <c r="AF273" s="62">
        <v>0.17453111748146355</v>
      </c>
      <c r="AG273" s="62">
        <v>0.84113359800518517</v>
      </c>
      <c r="AH273" s="63">
        <v>0.49207136304225807</v>
      </c>
      <c r="AI273">
        <f t="shared" si="17"/>
        <v>12.234714450963255</v>
      </c>
      <c r="AJ273" s="64">
        <v>293.63314682311812</v>
      </c>
      <c r="AK273">
        <f t="shared" si="15"/>
        <v>12.234714450963255</v>
      </c>
      <c r="AM273" s="56">
        <v>242</v>
      </c>
      <c r="AN273" s="56">
        <f t="shared" si="16"/>
        <v>1.0762378863071831</v>
      </c>
    </row>
    <row r="274" spans="14:40" x14ac:dyDescent="0.25">
      <c r="N274" s="14">
        <v>80.666700000000006</v>
      </c>
      <c r="O274" s="14">
        <v>4.9660500000000001E-4</v>
      </c>
      <c r="P274">
        <v>0</v>
      </c>
      <c r="Q274" s="57"/>
      <c r="R274" s="56">
        <f>N758</f>
        <v>242</v>
      </c>
      <c r="S274" s="56">
        <f>P758</f>
        <v>2.9400249999999999</v>
      </c>
      <c r="Z274">
        <v>242</v>
      </c>
      <c r="AA274" s="58">
        <v>275.55340862424828</v>
      </c>
      <c r="AB274" s="59">
        <v>55.817273518631872</v>
      </c>
      <c r="AC274" s="59">
        <v>331.37068214288013</v>
      </c>
      <c r="AD274" s="60">
        <v>219.7361351056164</v>
      </c>
      <c r="AE274" s="61">
        <v>0.66411111247009924</v>
      </c>
      <c r="AF274" s="62">
        <v>0.17582315389637346</v>
      </c>
      <c r="AG274" s="62">
        <v>0.83993426636647273</v>
      </c>
      <c r="AH274" s="63">
        <v>0.48828795857372576</v>
      </c>
      <c r="AI274">
        <f t="shared" si="17"/>
        <v>12.182294915373708</v>
      </c>
      <c r="AJ274" s="64">
        <v>292.37507796896898</v>
      </c>
      <c r="AK274">
        <f t="shared" si="15"/>
        <v>12.182294915373708</v>
      </c>
      <c r="AM274" s="56">
        <v>243</v>
      </c>
      <c r="AN274" s="56">
        <f t="shared" si="16"/>
        <v>1.0762378863070694</v>
      </c>
    </row>
    <row r="275" spans="14:40" x14ac:dyDescent="0.25">
      <c r="N275" s="14">
        <v>81</v>
      </c>
      <c r="O275" s="14">
        <v>0</v>
      </c>
      <c r="P275" s="14">
        <f>O275+O274+O273</f>
        <v>0.26297660499999997</v>
      </c>
      <c r="Q275" s="57"/>
      <c r="R275" s="56">
        <f>N761</f>
        <v>243</v>
      </c>
      <c r="S275" s="56">
        <f>P761</f>
        <v>2.937252</v>
      </c>
      <c r="Z275">
        <v>243</v>
      </c>
      <c r="AA275" s="58">
        <v>274.47717073794109</v>
      </c>
      <c r="AB275" s="59">
        <v>56.351232761688863</v>
      </c>
      <c r="AC275" s="59">
        <v>330.82840349962999</v>
      </c>
      <c r="AD275" s="60">
        <v>218.12593797625223</v>
      </c>
      <c r="AE275" s="61">
        <v>0.66161974441647675</v>
      </c>
      <c r="AF275" s="62">
        <v>0.17711660516214942</v>
      </c>
      <c r="AG275" s="62">
        <v>0.83873634957862619</v>
      </c>
      <c r="AH275" s="63">
        <v>0.48450313925432731</v>
      </c>
      <c r="AI275">
        <f t="shared" si="17"/>
        <v>12.122466766362756</v>
      </c>
      <c r="AJ275" s="64">
        <v>290.93920239270614</v>
      </c>
      <c r="AK275">
        <f t="shared" si="15"/>
        <v>12.122466766362756</v>
      </c>
      <c r="AM275" s="56">
        <v>244</v>
      </c>
      <c r="AN275" s="56">
        <f t="shared" si="16"/>
        <v>1.0762378863071831</v>
      </c>
    </row>
    <row r="276" spans="14:40" x14ac:dyDescent="0.25">
      <c r="N276" s="14">
        <v>81.333299999999994</v>
      </c>
      <c r="O276" s="14">
        <v>0.257963</v>
      </c>
      <c r="P276">
        <v>0</v>
      </c>
      <c r="Q276" s="57"/>
      <c r="R276" s="56">
        <f>N764</f>
        <v>244</v>
      </c>
      <c r="S276" s="56">
        <f>P764</f>
        <v>2.9306789999999996</v>
      </c>
      <c r="Z276">
        <v>244</v>
      </c>
      <c r="AA276" s="58">
        <v>273.40093285163402</v>
      </c>
      <c r="AB276" s="59">
        <v>56.886852860849586</v>
      </c>
      <c r="AC276" s="59">
        <v>330.28778571248358</v>
      </c>
      <c r="AD276" s="60">
        <v>216.51407999078444</v>
      </c>
      <c r="AE276" s="61">
        <v>0.65912837636285448</v>
      </c>
      <c r="AF276" s="62">
        <v>0.17841144050654051</v>
      </c>
      <c r="AG276" s="62">
        <v>0.83753981686939505</v>
      </c>
      <c r="AH276" s="63">
        <v>0.48071693585631398</v>
      </c>
      <c r="AI276">
        <f t="shared" si="17"/>
        <v>12.062638617351809</v>
      </c>
      <c r="AJ276" s="64">
        <v>289.5033268164434</v>
      </c>
      <c r="AK276">
        <f t="shared" si="15"/>
        <v>12.062638617351809</v>
      </c>
      <c r="AM276" s="56">
        <v>245</v>
      </c>
      <c r="AN276" s="56">
        <f t="shared" si="16"/>
        <v>1.0762378863071262</v>
      </c>
    </row>
    <row r="277" spans="14:40" x14ac:dyDescent="0.25">
      <c r="N277" s="14">
        <v>81.666700000000006</v>
      </c>
      <c r="O277" s="14">
        <v>5.4328099999999995E-4</v>
      </c>
      <c r="P277">
        <v>0</v>
      </c>
      <c r="Q277" s="57"/>
      <c r="R277" s="56">
        <f>N767</f>
        <v>245</v>
      </c>
      <c r="S277" s="56">
        <f>P767</f>
        <v>2.9202529999999998</v>
      </c>
      <c r="Z277">
        <v>245</v>
      </c>
      <c r="AA277" s="58">
        <v>272.32469496532684</v>
      </c>
      <c r="AB277" s="59">
        <v>57.424087341495095</v>
      </c>
      <c r="AC277" s="59">
        <v>329.74878230682191</v>
      </c>
      <c r="AD277" s="60">
        <v>214.90060762383175</v>
      </c>
      <c r="AE277" s="61">
        <v>0.65663700830923188</v>
      </c>
      <c r="AF277" s="62">
        <v>0.17970763001172479</v>
      </c>
      <c r="AG277" s="62">
        <v>0.83634463832095673</v>
      </c>
      <c r="AH277" s="63">
        <v>0.47692937829750709</v>
      </c>
      <c r="AI277">
        <f t="shared" si="17"/>
        <v>12.002810468340861</v>
      </c>
      <c r="AJ277" s="64">
        <v>288.06745124018067</v>
      </c>
      <c r="AK277">
        <f t="shared" si="15"/>
        <v>12.002810468340861</v>
      </c>
      <c r="AM277" s="56">
        <v>246</v>
      </c>
      <c r="AN277" s="56">
        <f t="shared" si="16"/>
        <v>1.0762378863071262</v>
      </c>
    </row>
    <row r="278" spans="14:40" x14ac:dyDescent="0.25">
      <c r="N278" s="14">
        <v>82</v>
      </c>
      <c r="O278" s="14">
        <v>0</v>
      </c>
      <c r="P278" s="14">
        <f>O278+O277+O276</f>
        <v>0.258506281</v>
      </c>
      <c r="Q278" s="57"/>
      <c r="R278" s="56">
        <f>N770</f>
        <v>246</v>
      </c>
      <c r="S278" s="56">
        <f>P770</f>
        <v>2.9067769999999999</v>
      </c>
      <c r="Z278">
        <v>246</v>
      </c>
      <c r="AA278" s="58">
        <v>271.24845707901972</v>
      </c>
      <c r="AB278" s="59">
        <v>57.962891314504589</v>
      </c>
      <c r="AC278" s="59">
        <v>329.2113483935243</v>
      </c>
      <c r="AD278" s="60">
        <v>213.28556576451513</v>
      </c>
      <c r="AE278" s="61">
        <v>0.65414564025560962</v>
      </c>
      <c r="AF278" s="62">
        <v>0.18100514458600392</v>
      </c>
      <c r="AG278" s="62">
        <v>0.83515078484161354</v>
      </c>
      <c r="AH278" s="63">
        <v>0.4731404956696057</v>
      </c>
      <c r="AI278">
        <f t="shared" si="17"/>
        <v>11.942982319329907</v>
      </c>
      <c r="AJ278" s="64">
        <v>286.63157566391777</v>
      </c>
      <c r="AK278">
        <f t="shared" si="15"/>
        <v>11.942982319329907</v>
      </c>
      <c r="AM278" s="56">
        <v>247</v>
      </c>
      <c r="AN278" s="56">
        <f t="shared" si="16"/>
        <v>1.0762378863071262</v>
      </c>
    </row>
    <row r="279" spans="14:40" x14ac:dyDescent="0.25">
      <c r="N279" s="14">
        <v>82.333299999999994</v>
      </c>
      <c r="O279" s="14">
        <v>0.26160899999999998</v>
      </c>
      <c r="P279">
        <v>0</v>
      </c>
      <c r="Q279" s="57"/>
      <c r="R279" s="56">
        <f>N773</f>
        <v>247</v>
      </c>
      <c r="S279" s="56">
        <f>P773</f>
        <v>2.8996390000000001</v>
      </c>
      <c r="Z279">
        <v>247</v>
      </c>
      <c r="AA279" s="58">
        <v>270.17221919271259</v>
      </c>
      <c r="AB279" s="59">
        <v>58.503221415681274</v>
      </c>
      <c r="AC279" s="59">
        <v>328.67544060839384</v>
      </c>
      <c r="AD279" s="60">
        <v>211.66899777703131</v>
      </c>
      <c r="AE279" s="61">
        <v>0.65165427220198724</v>
      </c>
      <c r="AF279" s="62">
        <v>0.182303955936582</v>
      </c>
      <c r="AG279" s="62">
        <v>0.83395822813856924</v>
      </c>
      <c r="AH279" s="63">
        <v>0.46935031626540524</v>
      </c>
      <c r="AI279">
        <f t="shared" si="17"/>
        <v>11.883154170318958</v>
      </c>
      <c r="AJ279" s="64">
        <v>285.19570008765498</v>
      </c>
      <c r="AK279">
        <f t="shared" si="15"/>
        <v>11.883154170318958</v>
      </c>
      <c r="AM279" s="56">
        <v>248</v>
      </c>
      <c r="AN279" s="56">
        <f t="shared" si="16"/>
        <v>1.0762378863071262</v>
      </c>
    </row>
    <row r="280" spans="14:40" x14ac:dyDescent="0.25">
      <c r="N280" s="14">
        <v>82.666700000000006</v>
      </c>
      <c r="O280" s="14">
        <v>5.0281800000000004E-4</v>
      </c>
      <c r="P280">
        <v>0</v>
      </c>
      <c r="Q280" s="57"/>
      <c r="R280" s="56">
        <f>N776</f>
        <v>248</v>
      </c>
      <c r="S280" s="56">
        <f>P776</f>
        <v>2.882495</v>
      </c>
      <c r="Z280">
        <v>248</v>
      </c>
      <c r="AA280" s="58">
        <v>269.09598130640546</v>
      </c>
      <c r="AB280" s="59">
        <v>59.045035747546486</v>
      </c>
      <c r="AC280" s="59">
        <v>328.14101705395194</v>
      </c>
      <c r="AD280" s="60">
        <v>210.05094555885898</v>
      </c>
      <c r="AE280" s="61">
        <v>0.64916290414836464</v>
      </c>
      <c r="AF280" s="62">
        <v>0.18360403654335014</v>
      </c>
      <c r="AG280" s="62">
        <v>0.83276694069171475</v>
      </c>
      <c r="AH280" s="63">
        <v>0.46555886760501453</v>
      </c>
      <c r="AI280">
        <f t="shared" si="17"/>
        <v>11.823326021308008</v>
      </c>
      <c r="AJ280" s="64">
        <v>283.7598245113922</v>
      </c>
      <c r="AK280">
        <f t="shared" si="15"/>
        <v>11.823326021308008</v>
      </c>
      <c r="AM280" s="56">
        <v>249</v>
      </c>
      <c r="AN280" s="56">
        <f t="shared" si="16"/>
        <v>1.0762378863071831</v>
      </c>
    </row>
    <row r="281" spans="14:40" x14ac:dyDescent="0.25">
      <c r="N281" s="14">
        <v>83</v>
      </c>
      <c r="O281" s="14">
        <v>0</v>
      </c>
      <c r="P281" s="14">
        <f>O281+O280+O279</f>
        <v>0.262111818</v>
      </c>
      <c r="Q281" s="57"/>
      <c r="R281" s="56">
        <f>N779</f>
        <v>249</v>
      </c>
      <c r="S281" s="56">
        <f>P779</f>
        <v>2.8796730000000004</v>
      </c>
      <c r="Z281">
        <v>249</v>
      </c>
      <c r="AA281" s="58">
        <v>268.01974342009834</v>
      </c>
      <c r="AB281" s="59">
        <v>59.588293823431449</v>
      </c>
      <c r="AC281" s="59">
        <v>327.60803724352979</v>
      </c>
      <c r="AD281" s="60">
        <v>208.43144959666688</v>
      </c>
      <c r="AE281" s="61">
        <v>0.64667153609474237</v>
      </c>
      <c r="AF281" s="62">
        <v>0.18490535963366042</v>
      </c>
      <c r="AG281" s="62">
        <v>0.83157689572840277</v>
      </c>
      <c r="AH281" s="63">
        <v>0.46176617646108198</v>
      </c>
      <c r="AI281">
        <f t="shared" si="17"/>
        <v>11.763497872297057</v>
      </c>
      <c r="AJ281" s="64">
        <v>282.32394893512935</v>
      </c>
      <c r="AK281">
        <f t="shared" si="15"/>
        <v>11.763497872297057</v>
      </c>
      <c r="AM281" s="56">
        <v>250</v>
      </c>
      <c r="AN281" s="56">
        <f t="shared" si="16"/>
        <v>1.0762378863070694</v>
      </c>
    </row>
    <row r="282" spans="14:40" x14ac:dyDescent="0.25">
      <c r="N282" s="14">
        <v>83.333299999999994</v>
      </c>
      <c r="O282" s="14">
        <v>0.25559399999999999</v>
      </c>
      <c r="P282">
        <v>0</v>
      </c>
      <c r="Q282" s="57"/>
      <c r="R282" s="56">
        <f>N782</f>
        <v>250</v>
      </c>
      <c r="S282" s="56">
        <f>P782</f>
        <v>2.873923</v>
      </c>
      <c r="Z282">
        <v>250</v>
      </c>
      <c r="AA282" s="58">
        <v>266.94350553379115</v>
      </c>
      <c r="AB282" s="59">
        <v>60.132956513778254</v>
      </c>
      <c r="AC282" s="59">
        <v>327.07646204756941</v>
      </c>
      <c r="AD282" s="60">
        <v>206.8105490200129</v>
      </c>
      <c r="AE282" s="61">
        <v>0.64418016804111977</v>
      </c>
      <c r="AF282" s="62">
        <v>0.18620789915804614</v>
      </c>
      <c r="AG282" s="62">
        <v>0.83038806719916591</v>
      </c>
      <c r="AH282" s="63">
        <v>0.45797226888307363</v>
      </c>
      <c r="AI282">
        <f t="shared" si="17"/>
        <v>11.703669723286106</v>
      </c>
      <c r="AJ282" s="64">
        <v>280.88807335886656</v>
      </c>
      <c r="AK282">
        <f t="shared" si="15"/>
        <v>11.703669723286106</v>
      </c>
      <c r="AM282" s="56">
        <v>251</v>
      </c>
      <c r="AN282" s="56">
        <f t="shared" si="16"/>
        <v>1.0762378863071831</v>
      </c>
    </row>
    <row r="283" spans="14:40" x14ac:dyDescent="0.25">
      <c r="N283" s="14">
        <v>83.666700000000006</v>
      </c>
      <c r="O283" s="14">
        <v>5.6609200000000003E-4</v>
      </c>
      <c r="P283">
        <v>0</v>
      </c>
      <c r="Q283" s="57"/>
      <c r="R283" s="56">
        <f>N785</f>
        <v>251</v>
      </c>
      <c r="S283" s="56">
        <f>P785</f>
        <v>2.8335870000000001</v>
      </c>
      <c r="Z283">
        <v>251</v>
      </c>
      <c r="AA283" s="58">
        <v>265.86726764748408</v>
      </c>
      <c r="AB283" s="59">
        <v>60.678985994575747</v>
      </c>
      <c r="AC283" s="59">
        <v>326.54625364205981</v>
      </c>
      <c r="AD283" s="60">
        <v>205.18828165290833</v>
      </c>
      <c r="AE283" s="61">
        <v>0.64168879998749739</v>
      </c>
      <c r="AF283" s="62">
        <v>0.18751162976682259</v>
      </c>
      <c r="AG283" s="62">
        <v>0.82920042975431996</v>
      </c>
      <c r="AH283" s="63">
        <v>0.45417717022067483</v>
      </c>
      <c r="AI283">
        <f t="shared" si="17"/>
        <v>11.643841574275157</v>
      </c>
      <c r="AJ283" s="64">
        <v>279.45219778260378</v>
      </c>
      <c r="AK283">
        <f t="shared" si="15"/>
        <v>11.643841574275157</v>
      </c>
      <c r="AM283" s="56">
        <v>252</v>
      </c>
      <c r="AN283" s="56">
        <f t="shared" si="16"/>
        <v>1.0762378863071262</v>
      </c>
    </row>
    <row r="284" spans="14:40" x14ac:dyDescent="0.25">
      <c r="N284" s="14">
        <v>84</v>
      </c>
      <c r="O284" s="14">
        <v>0</v>
      </c>
      <c r="P284" s="14">
        <f>O284+O283+O282</f>
        <v>0.25616009200000001</v>
      </c>
      <c r="Q284" s="57"/>
      <c r="R284" s="56">
        <f>N788</f>
        <v>252</v>
      </c>
      <c r="S284" s="56">
        <f>P788</f>
        <v>2.8483330000000002</v>
      </c>
      <c r="Z284">
        <v>252</v>
      </c>
      <c r="AA284" s="58">
        <v>264.7910297611769</v>
      </c>
      <c r="AB284" s="59">
        <v>61.226345697858562</v>
      </c>
      <c r="AC284" s="59">
        <v>326.01737545903546</v>
      </c>
      <c r="AD284" s="60">
        <v>203.56468406331834</v>
      </c>
      <c r="AE284" s="61">
        <v>0.6391974319338749</v>
      </c>
      <c r="AF284" s="62">
        <v>0.18881652678757893</v>
      </c>
      <c r="AG284" s="62">
        <v>0.82801395872145389</v>
      </c>
      <c r="AH284" s="63">
        <v>0.45038090514629597</v>
      </c>
      <c r="AI284">
        <f t="shared" si="17"/>
        <v>11.584013425264208</v>
      </c>
      <c r="AJ284" s="64">
        <v>278.01632220634099</v>
      </c>
      <c r="AK284">
        <f t="shared" si="15"/>
        <v>11.584013425264208</v>
      </c>
      <c r="AM284" s="56">
        <v>253</v>
      </c>
      <c r="AN284" s="56">
        <f t="shared" si="16"/>
        <v>1.0762378863071262</v>
      </c>
    </row>
    <row r="285" spans="14:40" x14ac:dyDescent="0.25">
      <c r="N285" s="14">
        <v>84.333299999999994</v>
      </c>
      <c r="O285" s="14">
        <v>0.249972</v>
      </c>
      <c r="P285">
        <v>0</v>
      </c>
      <c r="Q285" s="57"/>
      <c r="R285" s="56">
        <f>N791</f>
        <v>253</v>
      </c>
      <c r="S285" s="56">
        <f>P791</f>
        <v>2.845898</v>
      </c>
      <c r="Z285">
        <v>253</v>
      </c>
      <c r="AA285" s="58">
        <v>263.71479187486977</v>
      </c>
      <c r="AB285" s="59">
        <v>61.775000264177578</v>
      </c>
      <c r="AC285" s="59">
        <v>325.48979213904738</v>
      </c>
      <c r="AD285" s="60">
        <v>201.9397916106922</v>
      </c>
      <c r="AE285" s="61">
        <v>0.63670606388025253</v>
      </c>
      <c r="AF285" s="62">
        <v>0.19012256620347942</v>
      </c>
      <c r="AG285" s="62">
        <v>0.82682863008373197</v>
      </c>
      <c r="AH285" s="63">
        <v>0.44658349767677308</v>
      </c>
      <c r="AI285">
        <f t="shared" si="17"/>
        <v>11.524185276253256</v>
      </c>
      <c r="AJ285" s="64">
        <v>276.58044663007814</v>
      </c>
      <c r="AK285">
        <f t="shared" si="15"/>
        <v>11.524185276253256</v>
      </c>
      <c r="AM285" s="56">
        <v>254</v>
      </c>
      <c r="AN285" s="56">
        <f t="shared" si="16"/>
        <v>1.0762378863071262</v>
      </c>
    </row>
    <row r="286" spans="14:40" x14ac:dyDescent="0.25">
      <c r="N286" s="14">
        <v>84.666700000000006</v>
      </c>
      <c r="O286" s="14">
        <v>6.3265900000000004E-4</v>
      </c>
      <c r="P286">
        <v>0</v>
      </c>
      <c r="Q286" s="57"/>
      <c r="R286" s="56">
        <f>N794</f>
        <v>254</v>
      </c>
      <c r="S286" s="56">
        <f>P794</f>
        <v>2.8300970000000003</v>
      </c>
      <c r="Z286">
        <v>254</v>
      </c>
      <c r="AA286" s="58">
        <v>262.63855398856265</v>
      </c>
      <c r="AB286" s="59">
        <v>62.324915496985007</v>
      </c>
      <c r="AC286" s="59">
        <v>324.96346948554765</v>
      </c>
      <c r="AD286" s="60">
        <v>200.31363849157765</v>
      </c>
      <c r="AE286" s="61">
        <v>0.63421469582663015</v>
      </c>
      <c r="AF286" s="62">
        <v>0.19142972463237215</v>
      </c>
      <c r="AG286" s="62">
        <v>0.82564442045900233</v>
      </c>
      <c r="AH286" s="63">
        <v>0.44278497119425797</v>
      </c>
      <c r="AI286">
        <f t="shared" si="17"/>
        <v>11.464357127242307</v>
      </c>
      <c r="AJ286" s="64">
        <v>275.14457105381535</v>
      </c>
      <c r="AK286">
        <f t="shared" si="15"/>
        <v>11.464357127242307</v>
      </c>
      <c r="AM286" s="56">
        <v>255</v>
      </c>
      <c r="AN286" s="56">
        <f t="shared" si="16"/>
        <v>1.0762378863071262</v>
      </c>
    </row>
    <row r="287" spans="14:40" x14ac:dyDescent="0.25">
      <c r="N287" s="14">
        <v>85</v>
      </c>
      <c r="O287" s="14">
        <v>0</v>
      </c>
      <c r="P287" s="14">
        <f>O287+O286+O285</f>
        <v>0.25060465900000001</v>
      </c>
      <c r="Q287" s="57"/>
      <c r="R287" s="56">
        <f>N797</f>
        <v>255</v>
      </c>
      <c r="S287" s="56">
        <f>P797</f>
        <v>2.8122639999999999</v>
      </c>
      <c r="Z287">
        <v>255</v>
      </c>
      <c r="AA287" s="58">
        <v>261.56231610225552</v>
      </c>
      <c r="AB287" s="59">
        <v>62.876058318848422</v>
      </c>
      <c r="AC287" s="59">
        <v>324.43837442110396</v>
      </c>
      <c r="AD287" s="60">
        <v>198.68625778340709</v>
      </c>
      <c r="AE287" s="61">
        <v>0.63172332777300777</v>
      </c>
      <c r="AF287" s="62">
        <v>0.19273797930665532</v>
      </c>
      <c r="AG287" s="62">
        <v>0.82446130707966314</v>
      </c>
      <c r="AH287" s="63">
        <v>0.43898534846635245</v>
      </c>
      <c r="AI287">
        <f t="shared" si="17"/>
        <v>11.404528978231355</v>
      </c>
      <c r="AJ287" s="64">
        <v>273.70869547755251</v>
      </c>
      <c r="AK287">
        <f t="shared" si="15"/>
        <v>11.404528978231355</v>
      </c>
      <c r="AM287" s="56">
        <v>256</v>
      </c>
      <c r="AN287" s="56">
        <f t="shared" si="16"/>
        <v>1.0762378863071262</v>
      </c>
    </row>
    <row r="288" spans="14:40" x14ac:dyDescent="0.25">
      <c r="N288" s="14">
        <v>85.333299999999994</v>
      </c>
      <c r="O288" s="14">
        <v>0.25488</v>
      </c>
      <c r="P288">
        <v>0</v>
      </c>
      <c r="Q288" s="57"/>
      <c r="R288" s="56">
        <f>N800</f>
        <v>256</v>
      </c>
      <c r="S288" s="56">
        <f>P800</f>
        <v>2.8065630000000001</v>
      </c>
      <c r="Z288">
        <v>256</v>
      </c>
      <c r="AA288" s="58">
        <v>260.4860782159484</v>
      </c>
      <c r="AB288" s="59">
        <v>63.42839672942889</v>
      </c>
      <c r="AC288" s="59">
        <v>323.91447494537726</v>
      </c>
      <c r="AD288" s="60">
        <v>197.0576814865195</v>
      </c>
      <c r="AE288" s="61">
        <v>0.62923195971938528</v>
      </c>
      <c r="AF288" s="62">
        <v>0.19404730805387951</v>
      </c>
      <c r="AG288" s="62">
        <v>0.82327926777326477</v>
      </c>
      <c r="AH288" s="63">
        <v>0.4351846516655058</v>
      </c>
      <c r="AI288">
        <f t="shared" si="17"/>
        <v>11.344700829220406</v>
      </c>
      <c r="AJ288" s="64">
        <v>272.27281990128972</v>
      </c>
      <c r="AK288">
        <f t="shared" si="15"/>
        <v>11.344700829220406</v>
      </c>
      <c r="AM288" s="56">
        <v>257</v>
      </c>
      <c r="AN288" s="56">
        <f t="shared" si="16"/>
        <v>1.0762378863071831</v>
      </c>
    </row>
    <row r="289" spans="14:40" x14ac:dyDescent="0.25">
      <c r="N289" s="14">
        <v>85.666700000000006</v>
      </c>
      <c r="O289" s="14">
        <v>5.7110799999999997E-4</v>
      </c>
      <c r="P289">
        <v>0</v>
      </c>
      <c r="Q289" s="57"/>
      <c r="R289" s="56">
        <f>N803</f>
        <v>257</v>
      </c>
      <c r="S289" s="56">
        <f>P803</f>
        <v>2.7944800000000001</v>
      </c>
      <c r="Z289">
        <v>257</v>
      </c>
      <c r="AA289" s="58">
        <v>259.40984032964127</v>
      </c>
      <c r="AB289" s="59">
        <v>63.981899765153749</v>
      </c>
      <c r="AC289" s="59">
        <v>323.39174009479501</v>
      </c>
      <c r="AD289" s="60">
        <v>195.42794056448753</v>
      </c>
      <c r="AE289" s="61">
        <v>0.6267405916657629</v>
      </c>
      <c r="AF289" s="62">
        <v>0.19535768927804995</v>
      </c>
      <c r="AG289" s="62">
        <v>0.82209828094381288</v>
      </c>
      <c r="AH289" s="63">
        <v>0.43138290238771293</v>
      </c>
      <c r="AI289">
        <f t="shared" si="17"/>
        <v>11.284872680209455</v>
      </c>
      <c r="AJ289" s="64">
        <v>270.83694432502693</v>
      </c>
      <c r="AK289">
        <f t="shared" ref="AK289:AK352" si="18">IF(Z289&lt;=$R$12,AI289," ")</f>
        <v>11.284872680209455</v>
      </c>
      <c r="AM289" s="56">
        <v>258</v>
      </c>
      <c r="AN289" s="56">
        <f t="shared" ref="AN289:AN352" si="19">AA290-AA291</f>
        <v>1.0762378863071262</v>
      </c>
    </row>
    <row r="290" spans="14:40" x14ac:dyDescent="0.25">
      <c r="N290" s="14">
        <v>86</v>
      </c>
      <c r="O290" s="14">
        <v>0</v>
      </c>
      <c r="P290" s="14">
        <f>O290+O289+O288</f>
        <v>0.25545110799999998</v>
      </c>
      <c r="Q290" s="57"/>
      <c r="R290" s="56">
        <f>N806</f>
        <v>258</v>
      </c>
      <c r="S290" s="56">
        <f>P806</f>
        <v>2.7838020000000001</v>
      </c>
      <c r="Z290">
        <v>258</v>
      </c>
      <c r="AA290" s="58">
        <v>258.33360244333409</v>
      </c>
      <c r="AB290" s="59">
        <v>64.536537460513756</v>
      </c>
      <c r="AC290" s="59">
        <v>322.87013990384787</v>
      </c>
      <c r="AD290" s="60">
        <v>193.79706498282033</v>
      </c>
      <c r="AE290" s="61">
        <v>0.62424922361214041</v>
      </c>
      <c r="AF290" s="62">
        <v>0.19666910194160817</v>
      </c>
      <c r="AG290" s="62">
        <v>0.82091832555374855</v>
      </c>
      <c r="AH290" s="63">
        <v>0.42758012167053228</v>
      </c>
      <c r="AI290">
        <f t="shared" ref="AI290:AI353" si="20">AJ290/24</f>
        <v>11.225044531198506</v>
      </c>
      <c r="AJ290" s="64">
        <v>269.40106874876415</v>
      </c>
      <c r="AK290">
        <f t="shared" si="18"/>
        <v>11.225044531198506</v>
      </c>
      <c r="AM290" s="56">
        <v>259</v>
      </c>
      <c r="AN290" s="56">
        <f t="shared" si="19"/>
        <v>1.0762378863071262</v>
      </c>
    </row>
    <row r="291" spans="14:40" x14ac:dyDescent="0.25">
      <c r="N291" s="14">
        <v>86.333299999999994</v>
      </c>
      <c r="O291" s="14">
        <v>0.24899099999999999</v>
      </c>
      <c r="P291">
        <v>0</v>
      </c>
      <c r="Q291" s="57"/>
      <c r="R291" s="56">
        <f>N809</f>
        <v>259</v>
      </c>
      <c r="S291" s="56">
        <f>P809</f>
        <v>2.774346</v>
      </c>
      <c r="Z291">
        <v>259</v>
      </c>
      <c r="AA291" s="58">
        <v>257.25736455702696</v>
      </c>
      <c r="AB291" s="59">
        <v>65.092280810923242</v>
      </c>
      <c r="AC291" s="59">
        <v>322.34964536795019</v>
      </c>
      <c r="AD291" s="60">
        <v>192.16508374610373</v>
      </c>
      <c r="AE291" s="61">
        <v>0.62175785555851792</v>
      </c>
      <c r="AF291" s="62">
        <v>0.19798152554805645</v>
      </c>
      <c r="AG291" s="62">
        <v>0.81973938110657441</v>
      </c>
      <c r="AH291" s="63">
        <v>0.42377633001046144</v>
      </c>
      <c r="AI291">
        <f t="shared" si="20"/>
        <v>11.165216382187557</v>
      </c>
      <c r="AJ291" s="64">
        <v>267.96519317250136</v>
      </c>
      <c r="AK291">
        <f t="shared" si="18"/>
        <v>11.165216382187557</v>
      </c>
      <c r="AM291" s="56">
        <v>260</v>
      </c>
      <c r="AN291" s="56">
        <f t="shared" si="19"/>
        <v>1.0762378863071262</v>
      </c>
    </row>
    <row r="292" spans="14:40" x14ac:dyDescent="0.25">
      <c r="N292" s="14">
        <v>86.666700000000006</v>
      </c>
      <c r="O292" s="14">
        <v>6.4201199999999996E-4</v>
      </c>
      <c r="P292">
        <v>0</v>
      </c>
      <c r="Q292" s="57"/>
      <c r="R292" s="56">
        <f>N812</f>
        <v>260</v>
      </c>
      <c r="S292" s="56">
        <f>P812</f>
        <v>2.7644739999999999</v>
      </c>
      <c r="Z292">
        <v>260</v>
      </c>
      <c r="AA292" s="58">
        <v>256.18112667071983</v>
      </c>
      <c r="AB292" s="59">
        <v>65.649101737080912</v>
      </c>
      <c r="AC292" s="59">
        <v>321.83022840780075</v>
      </c>
      <c r="AD292" s="60">
        <v>190.53202493363892</v>
      </c>
      <c r="AE292" s="61">
        <v>0.61926648750489566</v>
      </c>
      <c r="AF292" s="62">
        <v>0.19929494012520724</v>
      </c>
      <c r="AG292" s="62">
        <v>0.81856142763010287</v>
      </c>
      <c r="AH292" s="63">
        <v>0.41997154737968845</v>
      </c>
      <c r="AI292">
        <f t="shared" si="20"/>
        <v>11.105388233176605</v>
      </c>
      <c r="AJ292" s="64">
        <v>266.52931759623851</v>
      </c>
      <c r="AK292">
        <f t="shared" si="18"/>
        <v>11.105388233176605</v>
      </c>
      <c r="AM292" s="56">
        <v>261</v>
      </c>
      <c r="AN292" s="56">
        <f t="shared" si="19"/>
        <v>1.0762378863071831</v>
      </c>
    </row>
    <row r="293" spans="14:40" x14ac:dyDescent="0.25">
      <c r="N293" s="14">
        <v>87</v>
      </c>
      <c r="O293" s="14">
        <v>0</v>
      </c>
      <c r="P293" s="14">
        <f>O293+O292+O291</f>
        <v>0.24963301199999999</v>
      </c>
      <c r="Q293" s="57"/>
      <c r="R293" s="56">
        <f>N815</f>
        <v>261</v>
      </c>
      <c r="S293" s="56">
        <f>P815</f>
        <v>2.753657</v>
      </c>
      <c r="Z293">
        <v>261</v>
      </c>
      <c r="AA293" s="58">
        <v>255.10488878441271</v>
      </c>
      <c r="AB293" s="59">
        <v>66.206973050765868</v>
      </c>
      <c r="AC293" s="59">
        <v>321.31186183517855</v>
      </c>
      <c r="AD293" s="60">
        <v>188.89791573364684</v>
      </c>
      <c r="AE293" s="61">
        <v>0.61677511945127306</v>
      </c>
      <c r="AF293" s="62">
        <v>0.20060932620903288</v>
      </c>
      <c r="AG293" s="62">
        <v>0.81738444566030588</v>
      </c>
      <c r="AH293" s="63">
        <v>0.41616579324224018</v>
      </c>
      <c r="AI293">
        <f t="shared" si="20"/>
        <v>10.389512096012178</v>
      </c>
      <c r="AJ293" s="64">
        <v>249.34829030429228</v>
      </c>
      <c r="AK293">
        <f t="shared" si="18"/>
        <v>10.389512096012178</v>
      </c>
      <c r="AM293" s="56">
        <v>262</v>
      </c>
      <c r="AN293" s="56">
        <f t="shared" si="19"/>
        <v>1.0762378863071262</v>
      </c>
    </row>
    <row r="294" spans="14:40" x14ac:dyDescent="0.25">
      <c r="N294" s="14">
        <v>87.333299999999994</v>
      </c>
      <c r="O294" s="14">
        <v>0.25444099999999997</v>
      </c>
      <c r="P294">
        <v>0</v>
      </c>
      <c r="Q294" s="57"/>
      <c r="R294" s="56">
        <f>N818</f>
        <v>262</v>
      </c>
      <c r="S294" s="56">
        <f>P818</f>
        <v>2.7438719999999996</v>
      </c>
      <c r="Z294">
        <v>262</v>
      </c>
      <c r="AA294" s="58">
        <v>254.02865089810552</v>
      </c>
      <c r="AB294" s="59">
        <v>66.765868422015004</v>
      </c>
      <c r="AC294" s="59">
        <v>320.79451932012051</v>
      </c>
      <c r="AD294" s="60">
        <v>187.26278247609054</v>
      </c>
      <c r="AE294" s="61">
        <v>0.61428375139765068</v>
      </c>
      <c r="AF294" s="62">
        <v>0.20192466482807805</v>
      </c>
      <c r="AG294" s="62">
        <v>0.81620841622572871</v>
      </c>
      <c r="AH294" s="63">
        <v>0.41235908656957265</v>
      </c>
      <c r="AI294">
        <f t="shared" si="20"/>
        <v>9.3033933015418757</v>
      </c>
      <c r="AJ294" s="64">
        <v>223.281439237005</v>
      </c>
      <c r="AK294">
        <f t="shared" si="18"/>
        <v>9.3033933015418757</v>
      </c>
      <c r="AM294" s="56">
        <v>263</v>
      </c>
      <c r="AN294" s="56">
        <f t="shared" si="19"/>
        <v>1.03868540339775</v>
      </c>
    </row>
    <row r="295" spans="14:40" x14ac:dyDescent="0.25">
      <c r="N295" s="14">
        <v>87.666700000000006</v>
      </c>
      <c r="O295" s="14">
        <v>5.7274400000000003E-4</v>
      </c>
      <c r="P295">
        <v>0</v>
      </c>
      <c r="Q295" s="57"/>
      <c r="R295" s="56">
        <f>N821</f>
        <v>263</v>
      </c>
      <c r="S295" s="56">
        <f>P821</f>
        <v>2.7331750000000001</v>
      </c>
      <c r="Z295">
        <v>263</v>
      </c>
      <c r="AA295" s="58">
        <v>252.9524130117984</v>
      </c>
      <c r="AB295" s="59">
        <v>67.325762347622131</v>
      </c>
      <c r="AC295" s="59">
        <v>320.27817535942052</v>
      </c>
      <c r="AD295" s="60">
        <v>185.62665066417628</v>
      </c>
      <c r="AE295" s="61">
        <v>0.6117923833440283</v>
      </c>
      <c r="AF295" s="62">
        <v>0.2032409374884365</v>
      </c>
      <c r="AG295" s="62">
        <v>0.81503332083246482</v>
      </c>
      <c r="AH295" s="63">
        <v>0.40855144585559178</v>
      </c>
      <c r="AI295">
        <f t="shared" si="20"/>
        <v>9.6569228062423154</v>
      </c>
      <c r="AJ295" s="64">
        <v>231.76614734981558</v>
      </c>
      <c r="AK295">
        <f t="shared" si="18"/>
        <v>9.6569228062423154</v>
      </c>
      <c r="AM295" s="56">
        <v>264</v>
      </c>
      <c r="AN295" s="56">
        <f t="shared" si="19"/>
        <v>0.97067849455734745</v>
      </c>
    </row>
    <row r="296" spans="14:40" x14ac:dyDescent="0.25">
      <c r="N296" s="14">
        <v>88</v>
      </c>
      <c r="O296" s="14">
        <v>0</v>
      </c>
      <c r="P296" s="14">
        <f>O296+O295+O294</f>
        <v>0.25501374399999999</v>
      </c>
      <c r="Q296" s="57"/>
      <c r="R296" s="56">
        <f>N824</f>
        <v>264</v>
      </c>
      <c r="S296" s="56">
        <f>P824</f>
        <v>2.7237110000000002</v>
      </c>
      <c r="Z296">
        <v>264</v>
      </c>
      <c r="AA296" s="58">
        <v>251.91372760840065</v>
      </c>
      <c r="AB296" s="59">
        <v>67.841398026652357</v>
      </c>
      <c r="AC296" s="59">
        <v>319.75512563505299</v>
      </c>
      <c r="AD296" s="60">
        <v>184.07232958174831</v>
      </c>
      <c r="AE296" s="61">
        <v>0.60938461545596434</v>
      </c>
      <c r="AF296" s="62">
        <v>0.20446104662475034</v>
      </c>
      <c r="AG296" s="62">
        <v>0.81384566208071463</v>
      </c>
      <c r="AH296" s="63">
        <v>0.404923568831214</v>
      </c>
      <c r="AI296">
        <f t="shared" si="20"/>
        <v>10.041376666917571</v>
      </c>
      <c r="AJ296" s="64">
        <v>240.99304000602172</v>
      </c>
      <c r="AK296">
        <f t="shared" si="18"/>
        <v>10.041376666917571</v>
      </c>
      <c r="AM296" s="56">
        <v>265</v>
      </c>
      <c r="AN296" s="56">
        <f t="shared" si="19"/>
        <v>0.96927396602563931</v>
      </c>
    </row>
    <row r="297" spans="14:40" x14ac:dyDescent="0.25">
      <c r="N297" s="14">
        <v>88.333299999999994</v>
      </c>
      <c r="O297" s="14">
        <v>0.25448599999999999</v>
      </c>
      <c r="P297">
        <v>0</v>
      </c>
      <c r="Q297" s="57"/>
      <c r="R297" s="56">
        <f>N827</f>
        <v>265</v>
      </c>
      <c r="S297" s="56">
        <f>P827</f>
        <v>2.7127759999999999</v>
      </c>
      <c r="Z297">
        <v>265</v>
      </c>
      <c r="AA297" s="58">
        <v>250.9430491138433</v>
      </c>
      <c r="AB297" s="59">
        <v>68.277041733201514</v>
      </c>
      <c r="AC297" s="59">
        <v>319.22009084704484</v>
      </c>
      <c r="AD297" s="60">
        <v>182.66600738064179</v>
      </c>
      <c r="AE297" s="61">
        <v>0.60712824604804627</v>
      </c>
      <c r="AF297" s="62">
        <v>0.20550807146012232</v>
      </c>
      <c r="AG297" s="62">
        <v>0.81263631750816856</v>
      </c>
      <c r="AH297" s="63">
        <v>0.40162017458792398</v>
      </c>
      <c r="AI297">
        <f t="shared" si="20"/>
        <v>10.425830527592828</v>
      </c>
      <c r="AJ297" s="64">
        <v>250.21993266222788</v>
      </c>
      <c r="AK297">
        <f t="shared" si="18"/>
        <v>10.425830527592828</v>
      </c>
      <c r="AM297" s="56">
        <v>266</v>
      </c>
      <c r="AN297" s="56">
        <f t="shared" si="19"/>
        <v>0.96927396602558247</v>
      </c>
    </row>
    <row r="298" spans="14:40" x14ac:dyDescent="0.25">
      <c r="N298" s="14">
        <v>88.666700000000006</v>
      </c>
      <c r="O298" s="14">
        <v>5.7060699999999999E-4</v>
      </c>
      <c r="P298">
        <v>0</v>
      </c>
      <c r="Q298" s="57"/>
      <c r="R298" s="56">
        <f>N830</f>
        <v>266</v>
      </c>
      <c r="S298" s="56">
        <f>P830</f>
        <v>2.7027640000000002</v>
      </c>
      <c r="Z298">
        <v>266</v>
      </c>
      <c r="AA298" s="58">
        <v>249.97377514781766</v>
      </c>
      <c r="AB298" s="59">
        <v>68.713373645490151</v>
      </c>
      <c r="AC298" s="59">
        <v>318.68714879330781</v>
      </c>
      <c r="AD298" s="60">
        <v>181.26040150232751</v>
      </c>
      <c r="AE298" s="61">
        <v>0.60487500343251832</v>
      </c>
      <c r="AF298" s="62">
        <v>0.20655507567462414</v>
      </c>
      <c r="AG298" s="62">
        <v>0.81143007910714249</v>
      </c>
      <c r="AH298" s="63">
        <v>0.39831992775789415</v>
      </c>
      <c r="AI298">
        <f t="shared" si="20"/>
        <v>10.810284388268082</v>
      </c>
      <c r="AJ298" s="64">
        <v>259.44682531843398</v>
      </c>
      <c r="AK298">
        <f t="shared" si="18"/>
        <v>10.810284388268082</v>
      </c>
      <c r="AM298" s="56">
        <v>267</v>
      </c>
      <c r="AN298" s="56">
        <f t="shared" si="19"/>
        <v>0.96927396602563931</v>
      </c>
    </row>
    <row r="299" spans="14:40" x14ac:dyDescent="0.25">
      <c r="N299" s="14">
        <v>89</v>
      </c>
      <c r="O299" s="14">
        <v>0</v>
      </c>
      <c r="P299" s="14">
        <f>O299+O298+O297</f>
        <v>0.25505660699999999</v>
      </c>
      <c r="Q299" s="57"/>
      <c r="R299" s="56">
        <f>N833</f>
        <v>267</v>
      </c>
      <c r="S299" s="56">
        <f>P833</f>
        <v>2.6907839999999998</v>
      </c>
      <c r="Z299">
        <v>267</v>
      </c>
      <c r="AA299" s="58">
        <v>249.00450118179208</v>
      </c>
      <c r="AB299" s="59">
        <v>69.152038067848196</v>
      </c>
      <c r="AC299" s="59">
        <v>318.15653924964028</v>
      </c>
      <c r="AD299" s="60">
        <v>179.85246311394388</v>
      </c>
      <c r="AE299" s="61">
        <v>0.60262176081699015</v>
      </c>
      <c r="AF299" s="62">
        <v>0.20760563155856965</v>
      </c>
      <c r="AG299" s="62">
        <v>0.81022739237555985</v>
      </c>
      <c r="AH299" s="63">
        <v>0.3950161292584205</v>
      </c>
      <c r="AI299">
        <f t="shared" si="20"/>
        <v>11.07662021031981</v>
      </c>
      <c r="AJ299" s="64">
        <v>265.83888504767543</v>
      </c>
      <c r="AK299">
        <f t="shared" si="18"/>
        <v>11.07662021031981</v>
      </c>
      <c r="AM299" s="56">
        <v>268</v>
      </c>
      <c r="AN299" s="56">
        <f t="shared" si="19"/>
        <v>0.97629583741704096</v>
      </c>
    </row>
    <row r="300" spans="14:40" x14ac:dyDescent="0.25">
      <c r="N300" s="14">
        <v>89.333299999999994</v>
      </c>
      <c r="O300" s="14">
        <v>0.25439299999999998</v>
      </c>
      <c r="P300">
        <v>0</v>
      </c>
      <c r="Q300" s="57"/>
      <c r="R300" s="56">
        <f>N836</f>
        <v>268</v>
      </c>
      <c r="S300" s="56">
        <f>P836</f>
        <v>2.683135</v>
      </c>
      <c r="Z300">
        <v>268</v>
      </c>
      <c r="AA300" s="58">
        <v>248.03522721576644</v>
      </c>
      <c r="AB300" s="59">
        <v>69.592990892866297</v>
      </c>
      <c r="AC300" s="59">
        <v>317.62821810863272</v>
      </c>
      <c r="AD300" s="60">
        <v>178.44223632290016</v>
      </c>
      <c r="AE300" s="61">
        <v>0.60036851820146209</v>
      </c>
      <c r="AF300" s="62">
        <v>0.20865968546632824</v>
      </c>
      <c r="AG300" s="62">
        <v>0.80902820366779027</v>
      </c>
      <c r="AH300" s="63">
        <v>0.39170883273513385</v>
      </c>
      <c r="AI300">
        <f t="shared" si="20"/>
        <v>11.126735413258791</v>
      </c>
      <c r="AJ300" s="64">
        <v>267.04164991821096</v>
      </c>
      <c r="AK300">
        <f t="shared" si="18"/>
        <v>11.126735413258791</v>
      </c>
      <c r="AM300" s="56">
        <v>269</v>
      </c>
      <c r="AN300" s="56">
        <f t="shared" si="19"/>
        <v>0.98984656475630572</v>
      </c>
    </row>
    <row r="301" spans="14:40" x14ac:dyDescent="0.25">
      <c r="N301" s="14">
        <v>89.666700000000006</v>
      </c>
      <c r="O301" s="14">
        <v>5.70098E-4</v>
      </c>
      <c r="P301">
        <v>0</v>
      </c>
      <c r="Q301" s="57"/>
      <c r="R301" s="56">
        <f>N839</f>
        <v>269</v>
      </c>
      <c r="S301" s="56">
        <f>P839</f>
        <v>2.6723330000000001</v>
      </c>
      <c r="Z301">
        <v>269</v>
      </c>
      <c r="AA301" s="58">
        <v>247.0589313783494</v>
      </c>
      <c r="AB301" s="59">
        <v>70.024108206962765</v>
      </c>
      <c r="AC301" s="59">
        <v>317.08303958531218</v>
      </c>
      <c r="AD301" s="60">
        <v>177.03482317138662</v>
      </c>
      <c r="AE301" s="61">
        <v>0.59809688846869358</v>
      </c>
      <c r="AF301" s="62">
        <v>0.20968462762960166</v>
      </c>
      <c r="AG301" s="62">
        <v>0.80778151609829529</v>
      </c>
      <c r="AH301" s="63">
        <v>0.38841226083909192</v>
      </c>
      <c r="AI301">
        <f t="shared" si="20"/>
        <v>11.172226905077752</v>
      </c>
      <c r="AJ301" s="64">
        <v>268.13344572186605</v>
      </c>
      <c r="AK301">
        <f t="shared" si="18"/>
        <v>11.172226905077752</v>
      </c>
      <c r="AM301" s="56">
        <v>270</v>
      </c>
      <c r="AN301" s="56">
        <f t="shared" si="19"/>
        <v>0.99018739022079671</v>
      </c>
    </row>
    <row r="302" spans="14:40" x14ac:dyDescent="0.25">
      <c r="N302" s="14">
        <v>90</v>
      </c>
      <c r="O302" s="14">
        <v>0</v>
      </c>
      <c r="P302" s="14">
        <f>O302+O301+O300</f>
        <v>0.254963098</v>
      </c>
      <c r="Q302" s="57"/>
      <c r="R302" s="56">
        <f>N842</f>
        <v>270</v>
      </c>
      <c r="S302" s="56">
        <f>P842</f>
        <v>2.6619489999999999</v>
      </c>
      <c r="Z302">
        <v>270</v>
      </c>
      <c r="AA302" s="58">
        <v>246.06908481359309</v>
      </c>
      <c r="AB302" s="59">
        <v>70.434070857722901</v>
      </c>
      <c r="AC302" s="59">
        <v>316.50315567131599</v>
      </c>
      <c r="AD302" s="60">
        <v>175.63501395587019</v>
      </c>
      <c r="AE302" s="61">
        <v>0.59578977548674683</v>
      </c>
      <c r="AF302" s="62">
        <v>0.21065009956233025</v>
      </c>
      <c r="AG302" s="62">
        <v>0.8064398750490771</v>
      </c>
      <c r="AH302" s="63">
        <v>0.38513967592441656</v>
      </c>
      <c r="AI302">
        <f t="shared" si="20"/>
        <v>11.217718396896712</v>
      </c>
      <c r="AJ302" s="64">
        <v>269.22524152552108</v>
      </c>
      <c r="AK302">
        <f t="shared" si="18"/>
        <v>11.217718396896712</v>
      </c>
      <c r="AM302" s="56">
        <v>271</v>
      </c>
      <c r="AN302" s="56">
        <f t="shared" si="19"/>
        <v>0.9652423334541993</v>
      </c>
    </row>
    <row r="303" spans="14:40" x14ac:dyDescent="0.25">
      <c r="N303" s="14">
        <v>90.333299999999994</v>
      </c>
      <c r="O303" s="14">
        <v>0.25429600000000002</v>
      </c>
      <c r="P303">
        <v>0</v>
      </c>
      <c r="Q303" s="57"/>
      <c r="R303" s="56">
        <f>N845</f>
        <v>271</v>
      </c>
      <c r="S303" s="56">
        <f>P845</f>
        <v>2.6524140000000003</v>
      </c>
      <c r="Z303">
        <v>271</v>
      </c>
      <c r="AA303" s="58">
        <v>245.0788974233723</v>
      </c>
      <c r="AB303" s="59">
        <v>70.845545340449675</v>
      </c>
      <c r="AC303" s="59">
        <v>315.92444276382196</v>
      </c>
      <c r="AD303" s="60">
        <v>174.23335208292264</v>
      </c>
      <c r="AE303" s="61">
        <v>0.59348177003647851</v>
      </c>
      <c r="AF303" s="62">
        <v>0.21161728533977131</v>
      </c>
      <c r="AG303" s="62">
        <v>0.80509905537624982</v>
      </c>
      <c r="AH303" s="63">
        <v>0.3818644846967072</v>
      </c>
      <c r="AI303">
        <f t="shared" si="20"/>
        <v>11.263209888715673</v>
      </c>
      <c r="AJ303" s="64">
        <v>270.31703732917617</v>
      </c>
      <c r="AK303">
        <f t="shared" si="18"/>
        <v>11.263209888715673</v>
      </c>
      <c r="AM303" s="56">
        <v>272</v>
      </c>
      <c r="AN303" s="56">
        <f t="shared" si="19"/>
        <v>0.9157032534328664</v>
      </c>
    </row>
    <row r="304" spans="14:40" x14ac:dyDescent="0.25">
      <c r="N304" s="14">
        <v>90.666700000000006</v>
      </c>
      <c r="O304" s="14">
        <v>5.6965100000000001E-4</v>
      </c>
      <c r="P304">
        <v>0</v>
      </c>
      <c r="Q304" s="57"/>
      <c r="R304" s="56">
        <f>N848</f>
        <v>272</v>
      </c>
      <c r="S304" s="56">
        <f>P848</f>
        <v>2.6410150000000003</v>
      </c>
      <c r="Z304">
        <v>272</v>
      </c>
      <c r="AA304" s="58">
        <v>244.1136550899181</v>
      </c>
      <c r="AB304" s="59">
        <v>71.238533372766938</v>
      </c>
      <c r="AC304" s="59">
        <v>315.35218846268504</v>
      </c>
      <c r="AD304" s="60">
        <v>172.87512171715116</v>
      </c>
      <c r="AE304" s="61">
        <v>0.5912343744078401</v>
      </c>
      <c r="AF304" s="62">
        <v>0.21254767769370397</v>
      </c>
      <c r="AG304" s="62">
        <v>0.80378205210154408</v>
      </c>
      <c r="AH304" s="63">
        <v>0.37868669671413613</v>
      </c>
      <c r="AI304">
        <f t="shared" si="20"/>
        <v>11.308701380534634</v>
      </c>
      <c r="AJ304" s="64">
        <v>271.40883313283121</v>
      </c>
      <c r="AK304">
        <f t="shared" si="18"/>
        <v>11.308701380534634</v>
      </c>
      <c r="AM304" s="56">
        <v>273</v>
      </c>
      <c r="AN304" s="56">
        <f t="shared" si="19"/>
        <v>0.90592792746861051</v>
      </c>
    </row>
    <row r="305" spans="14:40" x14ac:dyDescent="0.25">
      <c r="N305" s="14">
        <v>91</v>
      </c>
      <c r="O305" s="14">
        <v>0</v>
      </c>
      <c r="P305" s="14">
        <f>O305+O304+O303</f>
        <v>0.25486565100000003</v>
      </c>
      <c r="Q305" s="57"/>
      <c r="R305" s="56">
        <f>N851</f>
        <v>273</v>
      </c>
      <c r="S305" s="56">
        <f>P851</f>
        <v>2.6328960000000001</v>
      </c>
      <c r="Z305">
        <v>273</v>
      </c>
      <c r="AA305" s="58">
        <v>243.19795183648523</v>
      </c>
      <c r="AB305" s="59">
        <v>71.593184185171168</v>
      </c>
      <c r="AC305" s="59">
        <v>314.79113602165637</v>
      </c>
      <c r="AD305" s="60">
        <v>171.60476765131406</v>
      </c>
      <c r="AE305" s="61">
        <v>0.58910734550483757</v>
      </c>
      <c r="AF305" s="62">
        <v>0.21340231754997815</v>
      </c>
      <c r="AG305" s="62">
        <v>0.80250966305481575</v>
      </c>
      <c r="AH305" s="63">
        <v>0.37570502795485938</v>
      </c>
      <c r="AI305">
        <f t="shared" si="20"/>
        <v>11.354192872353593</v>
      </c>
      <c r="AJ305" s="64">
        <v>272.50062893648624</v>
      </c>
      <c r="AK305">
        <f t="shared" si="18"/>
        <v>11.354192872353593</v>
      </c>
      <c r="AM305" s="56">
        <v>274</v>
      </c>
      <c r="AN305" s="56">
        <f t="shared" si="19"/>
        <v>0.88929174125058807</v>
      </c>
    </row>
    <row r="306" spans="14:40" x14ac:dyDescent="0.25">
      <c r="N306" s="14">
        <v>91.333299999999994</v>
      </c>
      <c r="O306" s="14">
        <v>0.25035400000000002</v>
      </c>
      <c r="P306">
        <v>0</v>
      </c>
      <c r="Q306" s="57"/>
      <c r="R306" s="56">
        <f>N854</f>
        <v>274</v>
      </c>
      <c r="S306" s="56">
        <f>P854</f>
        <v>2.6208339999999999</v>
      </c>
      <c r="Z306">
        <v>274</v>
      </c>
      <c r="AA306" s="58">
        <v>242.29202390901662</v>
      </c>
      <c r="AB306" s="59">
        <v>71.947569312804845</v>
      </c>
      <c r="AC306" s="59">
        <v>314.23959322182145</v>
      </c>
      <c r="AD306" s="60">
        <v>170.34445459621179</v>
      </c>
      <c r="AE306" s="61">
        <v>0.58700356227359918</v>
      </c>
      <c r="AF306" s="62">
        <v>0.21425401350613832</v>
      </c>
      <c r="AG306" s="62">
        <v>0.80125757577973755</v>
      </c>
      <c r="AH306" s="63">
        <v>0.37274954876746086</v>
      </c>
      <c r="AI306">
        <f t="shared" si="20"/>
        <v>11.399684364172556</v>
      </c>
      <c r="AJ306" s="64">
        <v>273.59242474014133</v>
      </c>
      <c r="AK306">
        <f t="shared" si="18"/>
        <v>11.399684364172556</v>
      </c>
      <c r="AM306" s="56">
        <v>275</v>
      </c>
      <c r="AN306" s="56">
        <f t="shared" si="19"/>
        <v>0.87342627107037174</v>
      </c>
    </row>
    <row r="307" spans="14:40" x14ac:dyDescent="0.25">
      <c r="N307" s="14">
        <v>91.666700000000006</v>
      </c>
      <c r="O307" s="14">
        <v>6.1614799999999996E-4</v>
      </c>
      <c r="P307">
        <v>0</v>
      </c>
      <c r="Q307" s="57"/>
      <c r="R307" s="56">
        <f>N857</f>
        <v>275</v>
      </c>
      <c r="S307" s="56">
        <f>P857</f>
        <v>2.612444</v>
      </c>
      <c r="Z307">
        <v>275</v>
      </c>
      <c r="AA307" s="58">
        <v>241.40273216776603</v>
      </c>
      <c r="AB307" s="59">
        <v>72.301076250583051</v>
      </c>
      <c r="AC307" s="59">
        <v>313.70380841834907</v>
      </c>
      <c r="AD307" s="60">
        <v>169.101655917183</v>
      </c>
      <c r="AE307" s="61">
        <v>0.58493920149554945</v>
      </c>
      <c r="AF307" s="62">
        <v>0.21510036325569604</v>
      </c>
      <c r="AG307" s="62">
        <v>0.80003956475124549</v>
      </c>
      <c r="AH307" s="63">
        <v>0.36983883823985342</v>
      </c>
      <c r="AI307">
        <f t="shared" si="20"/>
        <v>11.445175855991515</v>
      </c>
      <c r="AJ307" s="64">
        <v>274.68422054379636</v>
      </c>
      <c r="AK307">
        <f t="shared" si="18"/>
        <v>11.445175855991515</v>
      </c>
      <c r="AM307" s="56">
        <v>276</v>
      </c>
      <c r="AN307" s="56">
        <f t="shared" si="19"/>
        <v>0.84358289664641006</v>
      </c>
    </row>
    <row r="308" spans="14:40" x14ac:dyDescent="0.25">
      <c r="N308" s="14">
        <v>92</v>
      </c>
      <c r="O308" s="14">
        <v>0</v>
      </c>
      <c r="P308" s="14">
        <f>O308+O307+O306</f>
        <v>0.250970148</v>
      </c>
      <c r="Q308" s="57"/>
      <c r="R308" s="56">
        <f>N860</f>
        <v>276</v>
      </c>
      <c r="S308" s="56">
        <f>P860</f>
        <v>2.5989300000000002</v>
      </c>
      <c r="Z308">
        <v>276</v>
      </c>
      <c r="AA308" s="58">
        <v>240.52930589669566</v>
      </c>
      <c r="AB308" s="59">
        <v>72.652851813762126</v>
      </c>
      <c r="AC308" s="59">
        <v>313.18215771045777</v>
      </c>
      <c r="AD308" s="60">
        <v>167.87645408293355</v>
      </c>
      <c r="AE308" s="61">
        <v>0.58291060254703475</v>
      </c>
      <c r="AF308" s="62">
        <v>0.21593557170700631</v>
      </c>
      <c r="AG308" s="62">
        <v>0.79884617425404103</v>
      </c>
      <c r="AH308" s="63">
        <v>0.36697503084002847</v>
      </c>
      <c r="AI308">
        <f t="shared" si="20"/>
        <v>11.490667347810477</v>
      </c>
      <c r="AJ308" s="64">
        <v>275.77601634745145</v>
      </c>
      <c r="AK308">
        <f t="shared" si="18"/>
        <v>11.490667347810477</v>
      </c>
      <c r="AM308" s="56">
        <v>277</v>
      </c>
      <c r="AN308" s="56">
        <f t="shared" si="19"/>
        <v>0.84282557587218321</v>
      </c>
    </row>
    <row r="309" spans="14:40" x14ac:dyDescent="0.25">
      <c r="N309" s="14">
        <v>92.333299999999994</v>
      </c>
      <c r="O309" s="14">
        <v>0.25328499999999998</v>
      </c>
      <c r="P309">
        <v>0</v>
      </c>
      <c r="Q309" s="57"/>
      <c r="R309" s="56">
        <f>N863</f>
        <v>277</v>
      </c>
      <c r="S309" s="56">
        <f>P863</f>
        <v>2.5933729999999997</v>
      </c>
      <c r="Z309">
        <v>277</v>
      </c>
      <c r="AA309" s="58">
        <v>239.68572300004925</v>
      </c>
      <c r="AB309" s="59">
        <v>72.998576727902091</v>
      </c>
      <c r="AC309" s="59">
        <v>312.68429972795133</v>
      </c>
      <c r="AD309" s="60">
        <v>166.68714627214717</v>
      </c>
      <c r="AE309" s="61">
        <v>0.58094917238429145</v>
      </c>
      <c r="AF309" s="62">
        <v>0.2167453778597041</v>
      </c>
      <c r="AG309" s="62">
        <v>0.7976945502439956</v>
      </c>
      <c r="AH309" s="63">
        <v>0.36420379452458734</v>
      </c>
      <c r="AI309">
        <f t="shared" si="20"/>
        <v>11.536158839629437</v>
      </c>
      <c r="AJ309" s="64">
        <v>276.86781215110648</v>
      </c>
      <c r="AK309">
        <f t="shared" si="18"/>
        <v>11.536158839629437</v>
      </c>
      <c r="AM309" s="56">
        <v>278</v>
      </c>
      <c r="AN309" s="56">
        <f t="shared" si="19"/>
        <v>0.84282557587218321</v>
      </c>
    </row>
    <row r="310" spans="14:40" x14ac:dyDescent="0.25">
      <c r="N310" s="14">
        <v>92.666700000000006</v>
      </c>
      <c r="O310" s="14">
        <v>5.7844600000000004E-4</v>
      </c>
      <c r="P310">
        <v>0</v>
      </c>
      <c r="Q310" s="57"/>
      <c r="R310" s="56">
        <f>N866</f>
        <v>278</v>
      </c>
      <c r="S310" s="56">
        <f>P866</f>
        <v>2.5805559999999996</v>
      </c>
      <c r="Z310">
        <v>278</v>
      </c>
      <c r="AA310" s="58">
        <v>238.84289742417707</v>
      </c>
      <c r="AB310" s="59">
        <v>73.346335393613543</v>
      </c>
      <c r="AC310" s="59">
        <v>312.18923281779064</v>
      </c>
      <c r="AD310" s="60">
        <v>165.49656203056352</v>
      </c>
      <c r="AE310" s="61">
        <v>0.57898944673110253</v>
      </c>
      <c r="AF310" s="62">
        <v>0.21755803859861383</v>
      </c>
      <c r="AG310" s="62">
        <v>0.79654748532971631</v>
      </c>
      <c r="AH310" s="63">
        <v>0.3614314081324887</v>
      </c>
      <c r="AI310">
        <f t="shared" si="20"/>
        <v>11.581650331448396</v>
      </c>
      <c r="AJ310" s="64">
        <v>277.95960795476151</v>
      </c>
      <c r="AK310">
        <f t="shared" si="18"/>
        <v>11.581650331448396</v>
      </c>
      <c r="AM310" s="56">
        <v>279</v>
      </c>
      <c r="AN310" s="56">
        <f t="shared" si="19"/>
        <v>0.84282557587218321</v>
      </c>
    </row>
    <row r="311" spans="14:40" x14ac:dyDescent="0.25">
      <c r="N311" s="14">
        <v>93</v>
      </c>
      <c r="O311" s="14">
        <v>0</v>
      </c>
      <c r="P311" s="14">
        <f>O311+O310+O309</f>
        <v>0.25386344599999999</v>
      </c>
      <c r="Q311" s="57"/>
      <c r="R311" s="56">
        <f>N869</f>
        <v>279</v>
      </c>
      <c r="S311" s="56">
        <f>P869</f>
        <v>2.572651</v>
      </c>
      <c r="Z311">
        <v>279</v>
      </c>
      <c r="AA311" s="58">
        <v>238.00007184830488</v>
      </c>
      <c r="AB311" s="59">
        <v>73.69631041268056</v>
      </c>
      <c r="AC311" s="59">
        <v>311.69638226098544</v>
      </c>
      <c r="AD311" s="60">
        <v>164.30376143562432</v>
      </c>
      <c r="AE311" s="61">
        <v>0.57702972107791395</v>
      </c>
      <c r="AF311" s="62">
        <v>0.21837425407965974</v>
      </c>
      <c r="AG311" s="62">
        <v>0.79540397515757366</v>
      </c>
      <c r="AH311" s="63">
        <v>0.35865546699825424</v>
      </c>
      <c r="AI311">
        <f t="shared" si="20"/>
        <v>11.627141823267358</v>
      </c>
      <c r="AJ311" s="64">
        <v>279.0514037584166</v>
      </c>
      <c r="AK311">
        <f t="shared" si="18"/>
        <v>11.627141823267358</v>
      </c>
      <c r="AM311" s="56">
        <v>280</v>
      </c>
      <c r="AN311" s="56">
        <f t="shared" si="19"/>
        <v>0.84282557587218321</v>
      </c>
    </row>
    <row r="312" spans="14:40" x14ac:dyDescent="0.25">
      <c r="N312" s="14">
        <v>93.333299999999994</v>
      </c>
      <c r="O312" s="14">
        <v>0.253859</v>
      </c>
      <c r="P312">
        <v>0</v>
      </c>
      <c r="Q312" s="57"/>
      <c r="R312" s="56">
        <f>N872</f>
        <v>280</v>
      </c>
      <c r="S312" s="56">
        <f>P872</f>
        <v>2.5607819999999997</v>
      </c>
      <c r="Z312">
        <v>280</v>
      </c>
      <c r="AA312" s="58">
        <v>237.1572462724327</v>
      </c>
      <c r="AB312" s="59">
        <v>74.048470359681119</v>
      </c>
      <c r="AC312" s="59">
        <v>311.20571663211382</v>
      </c>
      <c r="AD312" s="60">
        <v>163.10877591275158</v>
      </c>
      <c r="AE312" s="61">
        <v>0.57506999542472514</v>
      </c>
      <c r="AF312" s="62">
        <v>0.21919398459232889</v>
      </c>
      <c r="AG312" s="62">
        <v>0.79426398001705401</v>
      </c>
      <c r="AH312" s="63">
        <v>0.35587601083239628</v>
      </c>
      <c r="AI312">
        <f t="shared" si="20"/>
        <v>11.672633315086317</v>
      </c>
      <c r="AJ312" s="64">
        <v>280.14319956207163</v>
      </c>
      <c r="AK312">
        <f t="shared" si="18"/>
        <v>11.672633315086317</v>
      </c>
      <c r="AM312" s="56">
        <v>281</v>
      </c>
      <c r="AN312" s="56">
        <f t="shared" si="19"/>
        <v>0.84282557587221163</v>
      </c>
    </row>
    <row r="313" spans="14:40" x14ac:dyDescent="0.25">
      <c r="N313" s="14">
        <v>93.666700000000006</v>
      </c>
      <c r="O313" s="14">
        <v>5.6998900000000002E-4</v>
      </c>
      <c r="P313">
        <v>0</v>
      </c>
      <c r="Q313" s="57"/>
      <c r="R313" s="56">
        <f>N875</f>
        <v>281</v>
      </c>
      <c r="S313" s="56">
        <f>P875</f>
        <v>2.5527489999999999</v>
      </c>
      <c r="Z313">
        <v>281</v>
      </c>
      <c r="AA313" s="58">
        <v>236.31442069656052</v>
      </c>
      <c r="AB313" s="59">
        <v>74.40278420981052</v>
      </c>
      <c r="AC313" s="59">
        <v>310.71720490637102</v>
      </c>
      <c r="AD313" s="60">
        <v>161.91163648675001</v>
      </c>
      <c r="AE313" s="61">
        <v>0.57311026977153634</v>
      </c>
      <c r="AF313" s="62">
        <v>0.22001719084816662</v>
      </c>
      <c r="AG313" s="62">
        <v>0.79312746061970296</v>
      </c>
      <c r="AH313" s="63">
        <v>0.35309307892336972</v>
      </c>
      <c r="AI313">
        <f t="shared" si="20"/>
        <v>11.71812480690528</v>
      </c>
      <c r="AJ313" s="64">
        <v>281.23499536572672</v>
      </c>
      <c r="AK313">
        <f t="shared" si="18"/>
        <v>11.71812480690528</v>
      </c>
      <c r="AM313" s="56">
        <v>282</v>
      </c>
      <c r="AN313" s="56">
        <f t="shared" si="19"/>
        <v>0.84282557587221163</v>
      </c>
    </row>
    <row r="314" spans="14:40" x14ac:dyDescent="0.25">
      <c r="N314" s="14">
        <v>94</v>
      </c>
      <c r="O314" s="14">
        <v>0</v>
      </c>
      <c r="P314" s="14">
        <f>O314+O313+O312</f>
        <v>0.25442898899999999</v>
      </c>
      <c r="Q314" s="57"/>
      <c r="R314" s="56">
        <f>N878</f>
        <v>282</v>
      </c>
      <c r="S314" s="56">
        <f>P878</f>
        <v>2.5405139999999999</v>
      </c>
      <c r="Z314">
        <v>282</v>
      </c>
      <c r="AA314" s="58">
        <v>235.47159512068831</v>
      </c>
      <c r="AB314" s="59">
        <v>74.759221338450175</v>
      </c>
      <c r="AC314" s="59">
        <v>310.23081645913851</v>
      </c>
      <c r="AD314" s="60">
        <v>160.71237378223813</v>
      </c>
      <c r="AE314" s="61">
        <v>0.57115054411834754</v>
      </c>
      <c r="AF314" s="62">
        <v>0.22084383397916563</v>
      </c>
      <c r="AG314" s="62">
        <v>0.79199437809751316</v>
      </c>
      <c r="AH314" s="63">
        <v>0.35030671013918191</v>
      </c>
      <c r="AI314">
        <f t="shared" si="20"/>
        <v>11.763616298724239</v>
      </c>
      <c r="AJ314" s="64">
        <v>282.32679116938175</v>
      </c>
      <c r="AK314">
        <f t="shared" si="18"/>
        <v>11.763616298724239</v>
      </c>
      <c r="AM314" s="56">
        <v>283</v>
      </c>
      <c r="AN314" s="56">
        <f t="shared" si="19"/>
        <v>0.85229313074535185</v>
      </c>
    </row>
    <row r="315" spans="14:40" x14ac:dyDescent="0.25">
      <c r="N315" s="14">
        <v>94.333299999999994</v>
      </c>
      <c r="O315" s="14">
        <v>0.25003500000000001</v>
      </c>
      <c r="P315">
        <v>0</v>
      </c>
      <c r="Q315" s="57"/>
      <c r="R315" s="56">
        <f>N881</f>
        <v>283</v>
      </c>
      <c r="S315" s="56">
        <f>P881</f>
        <v>2.5331070000000002</v>
      </c>
      <c r="Z315">
        <v>283</v>
      </c>
      <c r="AA315" s="58">
        <v>234.62876954481609</v>
      </c>
      <c r="AB315" s="59">
        <v>75.117751520448323</v>
      </c>
      <c r="AC315" s="59">
        <v>309.7465210652644</v>
      </c>
      <c r="AD315" s="60">
        <v>159.51101802436779</v>
      </c>
      <c r="AE315" s="61">
        <v>0.56919081846515873</v>
      </c>
      <c r="AF315" s="62">
        <v>0.22167387553601831</v>
      </c>
      <c r="AG315" s="62">
        <v>0.79086469400117698</v>
      </c>
      <c r="AH315" s="63">
        <v>0.34751694292914043</v>
      </c>
      <c r="AI315">
        <f t="shared" si="20"/>
        <v>11.809107790543196</v>
      </c>
      <c r="AJ315" s="64">
        <v>283.41858697303672</v>
      </c>
      <c r="AK315">
        <f t="shared" si="18"/>
        <v>11.809107790543196</v>
      </c>
      <c r="AM315" s="56">
        <v>284</v>
      </c>
      <c r="AN315" s="56">
        <f t="shared" si="19"/>
        <v>0.87127173943827074</v>
      </c>
    </row>
    <row r="316" spans="14:40" x14ac:dyDescent="0.25">
      <c r="N316" s="14">
        <v>94.666700000000006</v>
      </c>
      <c r="O316" s="14">
        <v>6.15111E-4</v>
      </c>
      <c r="P316">
        <v>0</v>
      </c>
      <c r="Q316" s="57"/>
      <c r="R316" s="56">
        <f>N884</f>
        <v>284</v>
      </c>
      <c r="S316" s="56">
        <f>P884</f>
        <v>2.5203510000000002</v>
      </c>
      <c r="Z316">
        <v>284</v>
      </c>
      <c r="AA316" s="58">
        <v>233.77647641407074</v>
      </c>
      <c r="AB316" s="59">
        <v>75.461729596393255</v>
      </c>
      <c r="AC316" s="59">
        <v>309.23820601046401</v>
      </c>
      <c r="AD316" s="60">
        <v>158.31474681767747</v>
      </c>
      <c r="AE316" s="61">
        <v>0.56720620635732633</v>
      </c>
      <c r="AF316" s="62">
        <v>0.22246228748583158</v>
      </c>
      <c r="AG316" s="62">
        <v>0.78966849384315796</v>
      </c>
      <c r="AH316" s="63">
        <v>0.34474391887149475</v>
      </c>
      <c r="AI316">
        <f t="shared" si="20"/>
        <v>11.854599282362161</v>
      </c>
      <c r="AJ316" s="64">
        <v>284.51038277669187</v>
      </c>
      <c r="AK316">
        <f t="shared" si="18"/>
        <v>11.854599282362161</v>
      </c>
      <c r="AM316" s="56">
        <v>285</v>
      </c>
      <c r="AN316" s="56">
        <f t="shared" si="19"/>
        <v>0.87180394942802764</v>
      </c>
    </row>
    <row r="317" spans="14:40" x14ac:dyDescent="0.25">
      <c r="N317" s="14">
        <v>95</v>
      </c>
      <c r="O317" s="14">
        <v>0</v>
      </c>
      <c r="P317" s="14">
        <f>O317+O316+O315</f>
        <v>0.25065011100000001</v>
      </c>
      <c r="Q317" s="57"/>
      <c r="R317" s="56">
        <f>N887</f>
        <v>285</v>
      </c>
      <c r="S317" s="56">
        <f>P887</f>
        <v>2.5136259999999999</v>
      </c>
      <c r="Z317">
        <v>285</v>
      </c>
      <c r="AA317" s="58">
        <v>232.90520467463247</v>
      </c>
      <c r="AB317" s="59">
        <v>75.774397298500062</v>
      </c>
      <c r="AC317" s="59">
        <v>308.67960197313255</v>
      </c>
      <c r="AD317" s="60">
        <v>157.1308073761324</v>
      </c>
      <c r="AE317" s="61">
        <v>0.56517170699869235</v>
      </c>
      <c r="AF317" s="62">
        <v>0.22316380413608683</v>
      </c>
      <c r="AG317" s="62">
        <v>0.78833551113477918</v>
      </c>
      <c r="AH317" s="63">
        <v>0.34200790286260552</v>
      </c>
      <c r="AI317">
        <f t="shared" si="20"/>
        <v>11.900090774181123</v>
      </c>
      <c r="AJ317" s="64">
        <v>285.60217858034696</v>
      </c>
      <c r="AK317">
        <f t="shared" si="18"/>
        <v>11.900090774181123</v>
      </c>
      <c r="AM317" s="56">
        <v>286</v>
      </c>
      <c r="AN317" s="56">
        <f t="shared" si="19"/>
        <v>0.87180394942805606</v>
      </c>
    </row>
    <row r="318" spans="14:40" x14ac:dyDescent="0.25">
      <c r="N318" s="14">
        <v>95.333299999999994</v>
      </c>
      <c r="O318" s="14">
        <v>0.25286500000000001</v>
      </c>
      <c r="P318">
        <v>0</v>
      </c>
      <c r="Q318" s="57"/>
      <c r="R318" s="56">
        <f>N890</f>
        <v>286</v>
      </c>
      <c r="S318" s="56">
        <f>P890</f>
        <v>2.4987509999999999</v>
      </c>
      <c r="Z318">
        <v>286</v>
      </c>
      <c r="AA318" s="58">
        <v>232.03340072520444</v>
      </c>
      <c r="AB318" s="59">
        <v>76.088083719443219</v>
      </c>
      <c r="AC318" s="59">
        <v>308.12148444464765</v>
      </c>
      <c r="AD318" s="60">
        <v>155.94531700576124</v>
      </c>
      <c r="AE318" s="61">
        <v>0.56313580867063595</v>
      </c>
      <c r="AF318" s="62">
        <v>0.22386603694876064</v>
      </c>
      <c r="AG318" s="62">
        <v>0.78700184561939657</v>
      </c>
      <c r="AH318" s="63">
        <v>0.33926977172187534</v>
      </c>
      <c r="AI318">
        <f t="shared" si="20"/>
        <v>11.945582266000082</v>
      </c>
      <c r="AJ318" s="64">
        <v>286.69397438400199</v>
      </c>
      <c r="AK318">
        <f t="shared" si="18"/>
        <v>11.945582266000082</v>
      </c>
      <c r="AM318" s="56">
        <v>287</v>
      </c>
      <c r="AN318" s="56">
        <f t="shared" si="19"/>
        <v>0.8718039494281129</v>
      </c>
    </row>
    <row r="319" spans="14:40" x14ac:dyDescent="0.25">
      <c r="N319" s="14">
        <v>95.666700000000006</v>
      </c>
      <c r="O319" s="14">
        <v>5.7890299999999997E-4</v>
      </c>
      <c r="P319">
        <v>0</v>
      </c>
      <c r="Q319" s="57"/>
      <c r="R319" s="56">
        <f>N893</f>
        <v>287</v>
      </c>
      <c r="S319" s="56">
        <f>P893</f>
        <v>2.49471</v>
      </c>
      <c r="Z319">
        <v>287</v>
      </c>
      <c r="AA319" s="58">
        <v>231.16159677577639</v>
      </c>
      <c r="AB319" s="59">
        <v>76.40369867023216</v>
      </c>
      <c r="AC319" s="59">
        <v>307.56529544600858</v>
      </c>
      <c r="AD319" s="60">
        <v>154.75789810554423</v>
      </c>
      <c r="AE319" s="61">
        <v>0.56109991034257967</v>
      </c>
      <c r="AF319" s="62">
        <v>0.22457148420620884</v>
      </c>
      <c r="AG319" s="62">
        <v>0.78567139454878854</v>
      </c>
      <c r="AH319" s="63">
        <v>0.3365284261363708</v>
      </c>
      <c r="AI319">
        <f t="shared" si="20"/>
        <v>11.953367417953217</v>
      </c>
      <c r="AJ319" s="64">
        <v>286.88081803087721</v>
      </c>
      <c r="AK319">
        <f t="shared" si="18"/>
        <v>11.953367417953217</v>
      </c>
      <c r="AM319" s="56">
        <v>288</v>
      </c>
      <c r="AN319" s="56">
        <f t="shared" si="19"/>
        <v>0.87180394942805606</v>
      </c>
    </row>
    <row r="320" spans="14:40" x14ac:dyDescent="0.25">
      <c r="N320" s="14">
        <v>96</v>
      </c>
      <c r="O320" s="14">
        <v>0</v>
      </c>
      <c r="P320" s="14">
        <f>O320+O319+O318</f>
        <v>0.25344390300000003</v>
      </c>
      <c r="Q320" s="57"/>
      <c r="R320" s="56">
        <f>N896</f>
        <v>288</v>
      </c>
      <c r="S320" s="56">
        <f>P896</f>
        <v>2.4765239999999999</v>
      </c>
      <c r="Z320">
        <v>288</v>
      </c>
      <c r="AA320" s="58">
        <v>230.28979282634828</v>
      </c>
      <c r="AB320" s="59">
        <v>76.721218350172535</v>
      </c>
      <c r="AC320" s="59">
        <v>307.01101117652081</v>
      </c>
      <c r="AD320" s="60">
        <v>153.56857447617574</v>
      </c>
      <c r="AE320" s="61">
        <v>0.55906401201452338</v>
      </c>
      <c r="AF320" s="62">
        <v>0.22528011571107812</v>
      </c>
      <c r="AG320" s="62">
        <v>0.78434412772560147</v>
      </c>
      <c r="AH320" s="63">
        <v>0.33378389630344529</v>
      </c>
      <c r="AI320">
        <f t="shared" si="20"/>
        <v>11.890912063422286</v>
      </c>
      <c r="AJ320" s="64">
        <v>285.38188952213488</v>
      </c>
      <c r="AK320">
        <f t="shared" si="18"/>
        <v>11.890912063422286</v>
      </c>
      <c r="AM320" s="56">
        <v>289</v>
      </c>
      <c r="AN320" s="56">
        <f t="shared" si="19"/>
        <v>0.82622588732294844</v>
      </c>
    </row>
    <row r="321" spans="14:40" x14ac:dyDescent="0.25">
      <c r="N321" s="14">
        <v>96.333299999999994</v>
      </c>
      <c r="O321" s="14">
        <v>0.24849499999999999</v>
      </c>
      <c r="P321">
        <v>0</v>
      </c>
      <c r="Q321" s="57"/>
      <c r="R321" s="56">
        <f>N899</f>
        <v>289</v>
      </c>
      <c r="S321" s="56">
        <f>P899</f>
        <v>2.4655719999999999</v>
      </c>
      <c r="Z321">
        <v>289</v>
      </c>
      <c r="AA321" s="58">
        <v>229.41798887692022</v>
      </c>
      <c r="AB321" s="59">
        <v>77.04061920848396</v>
      </c>
      <c r="AC321" s="59">
        <v>306.45860808540419</v>
      </c>
      <c r="AD321" s="60">
        <v>152.37736966843624</v>
      </c>
      <c r="AE321" s="61">
        <v>0.5570281136864671</v>
      </c>
      <c r="AF321" s="62">
        <v>0.225991901509314</v>
      </c>
      <c r="AG321" s="62">
        <v>0.78302001519578113</v>
      </c>
      <c r="AH321" s="63">
        <v>0.33103621217715307</v>
      </c>
      <c r="AI321">
        <f t="shared" si="20"/>
        <v>11.826869276326951</v>
      </c>
      <c r="AJ321" s="64">
        <v>283.84486263184681</v>
      </c>
      <c r="AK321">
        <f t="shared" si="18"/>
        <v>11.826869276326951</v>
      </c>
      <c r="AM321" s="56">
        <v>290</v>
      </c>
      <c r="AN321" s="56">
        <f t="shared" si="19"/>
        <v>0.74464330177377747</v>
      </c>
    </row>
    <row r="322" spans="14:40" x14ac:dyDescent="0.25">
      <c r="N322" s="14">
        <v>96.666700000000006</v>
      </c>
      <c r="O322" s="14">
        <v>6.3072900000000001E-4</v>
      </c>
      <c r="P322">
        <v>0</v>
      </c>
      <c r="Q322" s="57"/>
      <c r="R322" s="56">
        <f>N902</f>
        <v>290</v>
      </c>
      <c r="S322" s="56">
        <f>P902</f>
        <v>2.4655070000000001</v>
      </c>
      <c r="Z322">
        <v>290</v>
      </c>
      <c r="AA322" s="58">
        <v>228.59176298959727</v>
      </c>
      <c r="AB322" s="59">
        <v>77.306448159612103</v>
      </c>
      <c r="AC322" s="59">
        <v>305.89821114920937</v>
      </c>
      <c r="AD322" s="60">
        <v>151.28531482998517</v>
      </c>
      <c r="AE322" s="61">
        <v>0.55509886337482917</v>
      </c>
      <c r="AF322" s="62">
        <v>0.22659238891500275</v>
      </c>
      <c r="AG322" s="62">
        <v>0.78169125228983194</v>
      </c>
      <c r="AH322" s="63">
        <v>0.32850647445982639</v>
      </c>
      <c r="AI322">
        <f t="shared" si="20"/>
        <v>11.762826489231619</v>
      </c>
      <c r="AJ322" s="64">
        <v>282.30783574155885</v>
      </c>
      <c r="AK322">
        <f t="shared" si="18"/>
        <v>11.762826489231619</v>
      </c>
      <c r="AM322" s="56">
        <v>291</v>
      </c>
      <c r="AN322" s="56">
        <f t="shared" si="19"/>
        <v>0.74302215883719214</v>
      </c>
    </row>
    <row r="323" spans="14:40" x14ac:dyDescent="0.25">
      <c r="N323" s="14">
        <v>97</v>
      </c>
      <c r="O323" s="14">
        <v>0</v>
      </c>
      <c r="P323" s="14">
        <f>O323+O322+O321</f>
        <v>0.24912572899999999</v>
      </c>
      <c r="Q323" s="57"/>
      <c r="R323" s="56">
        <f>N905</f>
        <v>291</v>
      </c>
      <c r="S323" s="56">
        <f>P905</f>
        <v>2.451505</v>
      </c>
      <c r="Z323">
        <v>291</v>
      </c>
      <c r="AA323" s="58">
        <v>227.84711968782349</v>
      </c>
      <c r="AB323" s="59">
        <v>77.47459457597418</v>
      </c>
      <c r="AC323" s="59">
        <v>305.32171426379767</v>
      </c>
      <c r="AD323" s="60">
        <v>150.37252511184931</v>
      </c>
      <c r="AE323" s="61">
        <v>0.55336050799205039</v>
      </c>
      <c r="AF323" s="62">
        <v>0.22699041107043036</v>
      </c>
      <c r="AG323" s="62">
        <v>0.78035091906248077</v>
      </c>
      <c r="AH323" s="63">
        <v>0.32637009692162</v>
      </c>
      <c r="AI323">
        <f t="shared" si="20"/>
        <v>11.698783702136282</v>
      </c>
      <c r="AJ323" s="64">
        <v>280.77080885127077</v>
      </c>
      <c r="AK323">
        <f t="shared" si="18"/>
        <v>11.698783702136282</v>
      </c>
      <c r="AM323" s="56">
        <v>292</v>
      </c>
      <c r="AN323" s="56">
        <f t="shared" si="19"/>
        <v>0.74302215883716372</v>
      </c>
    </row>
    <row r="324" spans="14:40" x14ac:dyDescent="0.25">
      <c r="N324" s="14">
        <v>97.333299999999994</v>
      </c>
      <c r="O324" s="14">
        <v>0.24854100000000001</v>
      </c>
      <c r="P324">
        <v>0</v>
      </c>
      <c r="Q324" s="57"/>
      <c r="R324" s="56">
        <f>N908</f>
        <v>292</v>
      </c>
      <c r="S324" s="56">
        <f>P908</f>
        <v>2.4424219999999996</v>
      </c>
      <c r="Z324">
        <v>292</v>
      </c>
      <c r="AA324" s="58">
        <v>227.1040975289863</v>
      </c>
      <c r="AB324" s="59">
        <v>77.642164526489097</v>
      </c>
      <c r="AC324" s="59">
        <v>304.74626205547543</v>
      </c>
      <c r="AD324" s="60">
        <v>149.4619330024972</v>
      </c>
      <c r="AE324" s="61">
        <v>0.55162594591838887</v>
      </c>
      <c r="AF324" s="62">
        <v>0.22738636809254692</v>
      </c>
      <c r="AG324" s="62">
        <v>0.77901231401093574</v>
      </c>
      <c r="AH324" s="63">
        <v>0.32423957782584195</v>
      </c>
      <c r="AI324">
        <f t="shared" si="20"/>
        <v>11.634740915040945</v>
      </c>
      <c r="AJ324" s="64">
        <v>279.2337819609827</v>
      </c>
      <c r="AK324">
        <f t="shared" si="18"/>
        <v>11.634740915040945</v>
      </c>
      <c r="AM324" s="56">
        <v>293</v>
      </c>
      <c r="AN324" s="56">
        <f t="shared" si="19"/>
        <v>0.74302215883716372</v>
      </c>
    </row>
    <row r="325" spans="14:40" x14ac:dyDescent="0.25">
      <c r="N325" s="14">
        <v>97.666700000000006</v>
      </c>
      <c r="O325" s="14">
        <v>6.2835300000000001E-4</v>
      </c>
      <c r="P325">
        <v>0</v>
      </c>
      <c r="Q325" s="57"/>
      <c r="R325" s="56">
        <f>N911</f>
        <v>293</v>
      </c>
      <c r="S325" s="56">
        <f>P911</f>
        <v>2.4380160000000002</v>
      </c>
      <c r="Z325">
        <v>293</v>
      </c>
      <c r="AA325" s="58">
        <v>226.36107537014914</v>
      </c>
      <c r="AB325" s="59">
        <v>77.811117565868457</v>
      </c>
      <c r="AC325" s="59">
        <v>304.17219293601761</v>
      </c>
      <c r="AD325" s="60">
        <v>148.54995780428067</v>
      </c>
      <c r="AE325" s="61">
        <v>0.54989138384472724</v>
      </c>
      <c r="AF325" s="62">
        <v>0.22778431351410133</v>
      </c>
      <c r="AG325" s="62">
        <v>0.77767569735882858</v>
      </c>
      <c r="AH325" s="63">
        <v>0.32210707033062591</v>
      </c>
      <c r="AI325">
        <f t="shared" si="20"/>
        <v>11.570698127945613</v>
      </c>
      <c r="AJ325" s="64">
        <v>277.69675507069473</v>
      </c>
      <c r="AK325">
        <f t="shared" si="18"/>
        <v>11.570698127945613</v>
      </c>
      <c r="AM325" s="56">
        <v>294</v>
      </c>
      <c r="AN325" s="56">
        <f t="shared" si="19"/>
        <v>0.74302215883719214</v>
      </c>
    </row>
    <row r="326" spans="14:40" x14ac:dyDescent="0.25">
      <c r="N326" s="14">
        <v>98</v>
      </c>
      <c r="O326" s="14">
        <v>0</v>
      </c>
      <c r="P326" s="14">
        <f>O326+O325+O324</f>
        <v>0.24916935300000001</v>
      </c>
      <c r="Q326" s="57"/>
      <c r="R326" s="56">
        <f>N914</f>
        <v>294</v>
      </c>
      <c r="S326" s="56">
        <f>P914</f>
        <v>2.4225119999999998</v>
      </c>
      <c r="Z326">
        <v>294</v>
      </c>
      <c r="AA326" s="58">
        <v>225.61805321131197</v>
      </c>
      <c r="AB326" s="59">
        <v>77.981444704394548</v>
      </c>
      <c r="AC326" s="59">
        <v>303.59949791570654</v>
      </c>
      <c r="AD326" s="60">
        <v>147.63660850691741</v>
      </c>
      <c r="AE326" s="61">
        <v>0.54815682177106573</v>
      </c>
      <c r="AF326" s="62">
        <v>0.22818423693199402</v>
      </c>
      <c r="AG326" s="62">
        <v>0.77634105870305969</v>
      </c>
      <c r="AH326" s="63">
        <v>0.31997258483907171</v>
      </c>
      <c r="AI326">
        <f t="shared" si="20"/>
        <v>11.506655340850278</v>
      </c>
      <c r="AJ326" s="64">
        <v>276.15972818040666</v>
      </c>
      <c r="AK326">
        <f t="shared" si="18"/>
        <v>11.506655340850278</v>
      </c>
      <c r="AM326" s="56">
        <v>295</v>
      </c>
      <c r="AN326" s="56">
        <f t="shared" si="19"/>
        <v>0.74302215883719214</v>
      </c>
    </row>
    <row r="327" spans="14:40" x14ac:dyDescent="0.25">
      <c r="N327" s="14">
        <v>98.333299999999994</v>
      </c>
      <c r="O327" s="14">
        <v>0.24754000000000001</v>
      </c>
      <c r="P327">
        <v>0</v>
      </c>
      <c r="Q327" s="57"/>
      <c r="R327" s="56">
        <f>N917</f>
        <v>295</v>
      </c>
      <c r="S327" s="56">
        <f>P917</f>
        <v>2.394539</v>
      </c>
      <c r="Z327">
        <v>295</v>
      </c>
      <c r="AA327" s="58">
        <v>224.87503105247478</v>
      </c>
      <c r="AB327" s="59">
        <v>78.153136957922669</v>
      </c>
      <c r="AC327" s="59">
        <v>303.02816801039745</v>
      </c>
      <c r="AD327" s="60">
        <v>146.72189409455211</v>
      </c>
      <c r="AE327" s="61">
        <v>0.54642225969740399</v>
      </c>
      <c r="AF327" s="62">
        <v>0.22858612796440031</v>
      </c>
      <c r="AG327" s="62">
        <v>0.77500838766180435</v>
      </c>
      <c r="AH327" s="63">
        <v>0.31783613173300368</v>
      </c>
      <c r="AI327">
        <f t="shared" si="20"/>
        <v>11.442612553754946</v>
      </c>
      <c r="AJ327" s="64">
        <v>274.6227012901187</v>
      </c>
      <c r="AK327">
        <f t="shared" si="18"/>
        <v>11.442612553754946</v>
      </c>
      <c r="AM327" s="56">
        <v>296</v>
      </c>
      <c r="AN327" s="56">
        <f t="shared" si="19"/>
        <v>0.74302215883719214</v>
      </c>
    </row>
    <row r="328" spans="14:40" x14ac:dyDescent="0.25">
      <c r="N328" s="14">
        <v>98.666700000000006</v>
      </c>
      <c r="O328" s="14">
        <v>6.3952400000000004E-4</v>
      </c>
      <c r="P328">
        <v>0</v>
      </c>
      <c r="Q328" s="57"/>
      <c r="R328" s="56">
        <f>N920</f>
        <v>296</v>
      </c>
      <c r="S328" s="56">
        <f>P920</f>
        <v>2.400636</v>
      </c>
      <c r="Z328">
        <v>296</v>
      </c>
      <c r="AA328" s="58">
        <v>224.13200889363759</v>
      </c>
      <c r="AB328" s="59">
        <v>78.326185349391565</v>
      </c>
      <c r="AC328" s="59">
        <v>302.45819424302914</v>
      </c>
      <c r="AD328" s="60">
        <v>145.80582354424604</v>
      </c>
      <c r="AE328" s="61">
        <v>0.54468769762374225</v>
      </c>
      <c r="AF328" s="62">
        <v>0.22898997625147893</v>
      </c>
      <c r="AG328" s="62">
        <v>0.77367767387522113</v>
      </c>
      <c r="AH328" s="63">
        <v>0.31569772137226332</v>
      </c>
      <c r="AI328">
        <f t="shared" si="20"/>
        <v>11.378569766659611</v>
      </c>
      <c r="AJ328" s="64">
        <v>273.08567439983068</v>
      </c>
      <c r="AK328">
        <f t="shared" si="18"/>
        <v>11.378569766659611</v>
      </c>
      <c r="AM328" s="56">
        <v>297</v>
      </c>
      <c r="AN328" s="56">
        <f t="shared" si="19"/>
        <v>0.72438476267191731</v>
      </c>
    </row>
    <row r="329" spans="14:40" x14ac:dyDescent="0.25">
      <c r="N329" s="14">
        <v>99</v>
      </c>
      <c r="O329" s="14">
        <v>0</v>
      </c>
      <c r="P329" s="14">
        <f>O329+O328+O327</f>
        <v>0.24817952400000001</v>
      </c>
      <c r="Q329" s="57"/>
      <c r="R329" s="56">
        <f>N923</f>
        <v>297</v>
      </c>
      <c r="S329" s="56">
        <f>P923</f>
        <v>2.3922460000000001</v>
      </c>
      <c r="Z329">
        <v>297</v>
      </c>
      <c r="AA329" s="58">
        <v>223.3889867348004</v>
      </c>
      <c r="AB329" s="59">
        <v>78.500580910301636</v>
      </c>
      <c r="AC329" s="59">
        <v>301.88956764510203</v>
      </c>
      <c r="AD329" s="60">
        <v>144.88840582449876</v>
      </c>
      <c r="AE329" s="61">
        <v>0.54295313555008073</v>
      </c>
      <c r="AF329" s="62">
        <v>0.22939577145606502</v>
      </c>
      <c r="AG329" s="62">
        <v>0.77234890700614578</v>
      </c>
      <c r="AH329" s="63">
        <v>0.31355736409401569</v>
      </c>
      <c r="AI329">
        <f t="shared" si="20"/>
        <v>11.314526979564278</v>
      </c>
      <c r="AJ329" s="64">
        <v>271.54864750954266</v>
      </c>
      <c r="AK329">
        <f t="shared" si="18"/>
        <v>11.314526979564278</v>
      </c>
      <c r="AM329" s="56">
        <v>298</v>
      </c>
      <c r="AN329" s="56">
        <f t="shared" si="19"/>
        <v>0.68817953997134396</v>
      </c>
    </row>
    <row r="330" spans="14:40" x14ac:dyDescent="0.25">
      <c r="N330" s="14">
        <v>99.333299999999994</v>
      </c>
      <c r="O330" s="14">
        <v>0.24753</v>
      </c>
      <c r="P330">
        <v>0</v>
      </c>
      <c r="Q330" s="57"/>
      <c r="R330" s="56">
        <f>N926</f>
        <v>298</v>
      </c>
      <c r="S330" s="56">
        <f>P926</f>
        <v>2.3892710000000004</v>
      </c>
      <c r="Z330">
        <v>298</v>
      </c>
      <c r="AA330" s="58">
        <v>222.66460197212848</v>
      </c>
      <c r="AB330" s="59">
        <v>78.672581857769444</v>
      </c>
      <c r="AC330" s="59">
        <v>301.33718382989792</v>
      </c>
      <c r="AD330" s="60">
        <v>143.99202011435904</v>
      </c>
      <c r="AE330" s="61">
        <v>0.54126043544543512</v>
      </c>
      <c r="AF330" s="62">
        <v>0.22978849318772132</v>
      </c>
      <c r="AG330" s="62">
        <v>0.77104892863315644</v>
      </c>
      <c r="AH330" s="63">
        <v>0.3114719422577138</v>
      </c>
      <c r="AI330">
        <f t="shared" si="20"/>
        <v>11.25048419246894</v>
      </c>
      <c r="AJ330" s="64">
        <v>270.01162061925459</v>
      </c>
      <c r="AK330">
        <f t="shared" si="18"/>
        <v>11.25048419246894</v>
      </c>
      <c r="AM330" s="56">
        <v>299</v>
      </c>
      <c r="AN330" s="56">
        <f t="shared" si="19"/>
        <v>0.68725107004843267</v>
      </c>
    </row>
    <row r="331" spans="14:40" x14ac:dyDescent="0.25">
      <c r="N331" s="14">
        <v>99.666700000000006</v>
      </c>
      <c r="O331" s="14">
        <v>6.3864100000000001E-4</v>
      </c>
      <c r="P331">
        <v>0</v>
      </c>
      <c r="Q331" s="57"/>
      <c r="R331" s="56">
        <f>N929</f>
        <v>299</v>
      </c>
      <c r="S331" s="56">
        <f>P929</f>
        <v>2.3779909999999997</v>
      </c>
      <c r="Z331">
        <v>299</v>
      </c>
      <c r="AA331" s="58">
        <v>221.97642243215714</v>
      </c>
      <c r="AB331" s="59">
        <v>78.8381241292727</v>
      </c>
      <c r="AC331" s="59">
        <v>300.81454656142984</v>
      </c>
      <c r="AD331" s="60">
        <v>143.13829830288444</v>
      </c>
      <c r="AE331" s="61">
        <v>0.53964905688900766</v>
      </c>
      <c r="AF331" s="62">
        <v>0.23015315339644174</v>
      </c>
      <c r="AG331" s="62">
        <v>0.76980221028544937</v>
      </c>
      <c r="AH331" s="63">
        <v>0.30949590349256595</v>
      </c>
      <c r="AI331">
        <f t="shared" si="20"/>
        <v>11.186441405373605</v>
      </c>
      <c r="AJ331" s="64">
        <v>268.47459372896651</v>
      </c>
      <c r="AK331">
        <f t="shared" si="18"/>
        <v>11.186441405373605</v>
      </c>
      <c r="AM331" s="56">
        <v>300</v>
      </c>
      <c r="AN331" s="56">
        <f t="shared" si="19"/>
        <v>0.68725107004848951</v>
      </c>
    </row>
    <row r="332" spans="14:40" x14ac:dyDescent="0.25">
      <c r="N332" s="14">
        <v>100</v>
      </c>
      <c r="O332" s="14">
        <v>0</v>
      </c>
      <c r="P332" s="14">
        <f>O332+O331+O330</f>
        <v>0.248168641</v>
      </c>
      <c r="Q332" s="57"/>
      <c r="R332" s="56">
        <f>N932</f>
        <v>300</v>
      </c>
      <c r="S332" s="56">
        <f>P932</f>
        <v>2.3426460000000002</v>
      </c>
      <c r="Z332">
        <v>300</v>
      </c>
      <c r="AA332" s="58">
        <v>221.2891713621087</v>
      </c>
      <c r="AB332" s="59">
        <v>79.003996805621966</v>
      </c>
      <c r="AC332" s="59">
        <v>300.29316816773064</v>
      </c>
      <c r="AD332" s="60">
        <v>142.28517455648674</v>
      </c>
      <c r="AE332" s="61">
        <v>0.53803976379445462</v>
      </c>
      <c r="AF332" s="62">
        <v>0.23051773916748994</v>
      </c>
      <c r="AG332" s="62">
        <v>0.76855750296194458</v>
      </c>
      <c r="AH332" s="63">
        <v>0.30752202462696465</v>
      </c>
      <c r="AI332">
        <f t="shared" si="20"/>
        <v>10.897886510717123</v>
      </c>
      <c r="AJ332" s="64">
        <v>261.54927625721098</v>
      </c>
      <c r="AK332">
        <f t="shared" si="18"/>
        <v>10.897886510717123</v>
      </c>
      <c r="AM332" s="56">
        <v>301</v>
      </c>
      <c r="AN332" s="56">
        <f t="shared" si="19"/>
        <v>0.68725107004840424</v>
      </c>
    </row>
    <row r="333" spans="14:40" x14ac:dyDescent="0.25">
      <c r="N333" s="14">
        <v>100.333</v>
      </c>
      <c r="O333" s="14">
        <v>0.25249700000000003</v>
      </c>
      <c r="P333">
        <v>0</v>
      </c>
      <c r="Q333" s="57"/>
      <c r="R333" s="56">
        <f>N935</f>
        <v>301</v>
      </c>
      <c r="S333" s="56">
        <f>P935</f>
        <v>2.3584489999999998</v>
      </c>
      <c r="Z333">
        <v>301</v>
      </c>
      <c r="AA333" s="58">
        <v>220.60192029206021</v>
      </c>
      <c r="AB333" s="59">
        <v>79.170381774960745</v>
      </c>
      <c r="AC333" s="59">
        <v>299.77230206702097</v>
      </c>
      <c r="AD333" s="60">
        <v>141.43153851709945</v>
      </c>
      <c r="AE333" s="61">
        <v>0.53643047069990157</v>
      </c>
      <c r="AF333" s="62">
        <v>0.23088299366273768</v>
      </c>
      <c r="AG333" s="62">
        <v>0.76731346436263925</v>
      </c>
      <c r="AH333" s="63">
        <v>0.30554747703716389</v>
      </c>
      <c r="AI333">
        <f t="shared" si="20"/>
        <v>10.177454375924398</v>
      </c>
      <c r="AJ333" s="64">
        <v>244.25890502218556</v>
      </c>
      <c r="AK333">
        <f t="shared" si="18"/>
        <v>10.177454375924398</v>
      </c>
      <c r="AM333" s="56">
        <v>302</v>
      </c>
      <c r="AN333" s="56">
        <f t="shared" si="19"/>
        <v>0.68725107004848951</v>
      </c>
    </row>
    <row r="334" spans="14:40" x14ac:dyDescent="0.25">
      <c r="N334" s="14">
        <v>100.667</v>
      </c>
      <c r="O334" s="14">
        <v>5.7597300000000002E-4</v>
      </c>
      <c r="P334">
        <v>0</v>
      </c>
      <c r="Q334" s="57"/>
      <c r="R334" s="56">
        <f>N938</f>
        <v>302</v>
      </c>
      <c r="S334" s="56">
        <f>P938</f>
        <v>2.3487840000000002</v>
      </c>
      <c r="Z334">
        <v>302</v>
      </c>
      <c r="AA334" s="58">
        <v>219.91466922201181</v>
      </c>
      <c r="AB334" s="59">
        <v>79.33727581416899</v>
      </c>
      <c r="AC334" s="59">
        <v>299.25194503618081</v>
      </c>
      <c r="AD334" s="60">
        <v>140.57739340784281</v>
      </c>
      <c r="AE334" s="61">
        <v>0.53482117760534864</v>
      </c>
      <c r="AF334" s="62">
        <v>0.23124891371346173</v>
      </c>
      <c r="AG334" s="62">
        <v>0.76607009131881032</v>
      </c>
      <c r="AH334" s="63">
        <v>0.30357226389188691</v>
      </c>
      <c r="AI334">
        <f t="shared" si="20"/>
        <v>9.446261846261466</v>
      </c>
      <c r="AJ334" s="64">
        <v>226.7102843102752</v>
      </c>
      <c r="AK334">
        <f t="shared" si="18"/>
        <v>9.446261846261466</v>
      </c>
      <c r="AM334" s="56">
        <v>303</v>
      </c>
      <c r="AN334" s="56">
        <f t="shared" si="19"/>
        <v>0.68725107004846109</v>
      </c>
    </row>
    <row r="335" spans="14:40" x14ac:dyDescent="0.25">
      <c r="N335" s="14">
        <v>101</v>
      </c>
      <c r="O335" s="14">
        <v>0.13948099999999999</v>
      </c>
      <c r="P335" s="14">
        <f>O335+O334+O333</f>
        <v>0.39255397300000006</v>
      </c>
      <c r="Q335" s="57"/>
      <c r="R335" s="56">
        <f>N941</f>
        <v>303</v>
      </c>
      <c r="S335" s="56">
        <f>P941</f>
        <v>2.317901</v>
      </c>
      <c r="Z335">
        <v>303</v>
      </c>
      <c r="AA335" s="58">
        <v>219.22741815196332</v>
      </c>
      <c r="AB335" s="59">
        <v>79.504675717370375</v>
      </c>
      <c r="AC335" s="59">
        <v>298.73209386933371</v>
      </c>
      <c r="AD335" s="60">
        <v>139.72274243459293</v>
      </c>
      <c r="AE335" s="61">
        <v>0.5332118845107956</v>
      </c>
      <c r="AF335" s="62">
        <v>0.23161549616521024</v>
      </c>
      <c r="AG335" s="62">
        <v>0.76482738067600586</v>
      </c>
      <c r="AH335" s="63">
        <v>0.30159638834558533</v>
      </c>
      <c r="AI335">
        <f t="shared" si="20"/>
        <v>9.1292883378241587</v>
      </c>
      <c r="AJ335" s="64">
        <v>219.10292010777979</v>
      </c>
      <c r="AK335">
        <f t="shared" si="18"/>
        <v>9.1292883378241587</v>
      </c>
      <c r="AM335" s="56">
        <v>304</v>
      </c>
      <c r="AN335" s="56">
        <f t="shared" si="19"/>
        <v>0.68725107004846109</v>
      </c>
    </row>
    <row r="336" spans="14:40" x14ac:dyDescent="0.25">
      <c r="N336" s="14">
        <v>101.333</v>
      </c>
      <c r="O336" s="14">
        <v>5.3801099999999996E-3</v>
      </c>
      <c r="P336">
        <v>0</v>
      </c>
      <c r="Q336" s="57"/>
      <c r="R336" s="56">
        <f>N944</f>
        <v>304</v>
      </c>
      <c r="S336" s="56">
        <f>P944</f>
        <v>2.3226139999999997</v>
      </c>
      <c r="Z336">
        <v>304</v>
      </c>
      <c r="AA336" s="58">
        <v>218.54016708191486</v>
      </c>
      <c r="AB336" s="59">
        <v>79.672578295955134</v>
      </c>
      <c r="AC336" s="59">
        <v>298.21274537786996</v>
      </c>
      <c r="AD336" s="60">
        <v>138.86758878595973</v>
      </c>
      <c r="AE336" s="61">
        <v>0.53160259141624255</v>
      </c>
      <c r="AF336" s="62">
        <v>0.23198273787777515</v>
      </c>
      <c r="AG336" s="62">
        <v>0.76358532929401768</v>
      </c>
      <c r="AH336" s="63">
        <v>0.29961985353846743</v>
      </c>
      <c r="AI336">
        <f t="shared" si="20"/>
        <v>9.5947602790029336</v>
      </c>
      <c r="AJ336" s="64">
        <v>230.27424669607041</v>
      </c>
      <c r="AK336">
        <f t="shared" si="18"/>
        <v>9.5947602790029336</v>
      </c>
      <c r="AM336" s="56">
        <v>305</v>
      </c>
      <c r="AN336" s="56">
        <f t="shared" si="19"/>
        <v>0.68725107004843267</v>
      </c>
    </row>
    <row r="337" spans="14:40" x14ac:dyDescent="0.25">
      <c r="N337" s="14">
        <v>101.667</v>
      </c>
      <c r="O337" s="14">
        <v>0.142786</v>
      </c>
      <c r="P337">
        <v>0</v>
      </c>
      <c r="Q337" s="57"/>
      <c r="R337" s="56">
        <f>N947</f>
        <v>305</v>
      </c>
      <c r="S337" s="56">
        <f>P947</f>
        <v>2.4916500000000001E-2</v>
      </c>
      <c r="Z337">
        <v>305</v>
      </c>
      <c r="AA337" s="58">
        <v>217.8529160118664</v>
      </c>
      <c r="AB337" s="59">
        <v>79.840980378601131</v>
      </c>
      <c r="AC337" s="59">
        <v>297.69389639046756</v>
      </c>
      <c r="AD337" s="60">
        <v>138.01193563326527</v>
      </c>
      <c r="AE337" s="61">
        <v>0.52999329832168951</v>
      </c>
      <c r="AF337" s="62">
        <v>0.23235063572517378</v>
      </c>
      <c r="AG337" s="62">
        <v>0.76234393404686329</v>
      </c>
      <c r="AH337" s="63">
        <v>0.29764266259651573</v>
      </c>
      <c r="AI337">
        <f t="shared" si="20"/>
        <v>10.078691240839168</v>
      </c>
      <c r="AJ337" s="64">
        <v>241.88858978014002</v>
      </c>
      <c r="AK337">
        <f t="shared" si="18"/>
        <v>10.078691240839168</v>
      </c>
      <c r="AM337" s="56">
        <v>306</v>
      </c>
      <c r="AN337" s="56">
        <f t="shared" si="19"/>
        <v>0.68725107004846109</v>
      </c>
    </row>
    <row r="338" spans="14:40" x14ac:dyDescent="0.25">
      <c r="N338" s="14">
        <v>102</v>
      </c>
      <c r="O338" s="14">
        <v>5.0191200000000002E-3</v>
      </c>
      <c r="P338" s="14">
        <f>O338+O337+O336</f>
        <v>0.15318522999999998</v>
      </c>
      <c r="Q338" s="57"/>
      <c r="R338" s="56">
        <f>N950</f>
        <v>306</v>
      </c>
      <c r="S338" s="56">
        <f>P950</f>
        <v>3.0039790000000002</v>
      </c>
      <c r="Z338">
        <v>306</v>
      </c>
      <c r="AA338" s="58">
        <v>217.16566494181797</v>
      </c>
      <c r="AB338" s="59">
        <v>80.009878811290676</v>
      </c>
      <c r="AC338" s="59">
        <v>297.17554375310863</v>
      </c>
      <c r="AD338" s="60">
        <v>137.1557861305273</v>
      </c>
      <c r="AE338" s="61">
        <v>0.52838400522713647</v>
      </c>
      <c r="AF338" s="62">
        <v>0.23271918659562277</v>
      </c>
      <c r="AG338" s="62">
        <v>0.76110319182275921</v>
      </c>
      <c r="AH338" s="63">
        <v>0.29566481863151373</v>
      </c>
      <c r="AI338">
        <f t="shared" si="20"/>
        <v>10.400144659899906</v>
      </c>
      <c r="AJ338" s="64">
        <v>249.60347183759774</v>
      </c>
      <c r="AK338">
        <f t="shared" si="18"/>
        <v>10.400144659899906</v>
      </c>
      <c r="AM338" s="56">
        <v>307</v>
      </c>
      <c r="AN338" s="56">
        <f t="shared" si="19"/>
        <v>0.68725107004846109</v>
      </c>
    </row>
    <row r="339" spans="14:40" x14ac:dyDescent="0.25">
      <c r="N339" s="14">
        <v>102.333</v>
      </c>
      <c r="O339" s="14">
        <v>0.14671699999999999</v>
      </c>
      <c r="P339">
        <v>0</v>
      </c>
      <c r="Q339" s="57"/>
      <c r="R339" s="56">
        <f>N953</f>
        <v>307</v>
      </c>
      <c r="S339" s="56">
        <f>P953</f>
        <v>2.8733979999999999</v>
      </c>
      <c r="Z339">
        <v>307</v>
      </c>
      <c r="AA339" s="58">
        <v>216.4784138717695</v>
      </c>
      <c r="AB339" s="59">
        <v>80.17927045732506</v>
      </c>
      <c r="AC339" s="59">
        <v>296.65768432909454</v>
      </c>
      <c r="AD339" s="60">
        <v>136.29914341444444</v>
      </c>
      <c r="AE339" s="61">
        <v>0.52677471213258353</v>
      </c>
      <c r="AF339" s="62">
        <v>0.23308838739151211</v>
      </c>
      <c r="AG339" s="62">
        <v>0.75986309952409559</v>
      </c>
      <c r="AH339" s="63">
        <v>0.29368632474107143</v>
      </c>
      <c r="AI339">
        <f t="shared" si="20"/>
        <v>10.408032735188803</v>
      </c>
      <c r="AJ339" s="64">
        <v>249.79278564453125</v>
      </c>
      <c r="AK339">
        <f t="shared" si="18"/>
        <v>10.408032735188803</v>
      </c>
      <c r="AM339" s="56">
        <v>308</v>
      </c>
      <c r="AN339" s="56">
        <f t="shared" si="19"/>
        <v>0.68725107004846109</v>
      </c>
    </row>
    <row r="340" spans="14:40" x14ac:dyDescent="0.25">
      <c r="N340" s="14">
        <v>102.667</v>
      </c>
      <c r="O340" s="14">
        <v>4.6666399999999997E-3</v>
      </c>
      <c r="P340">
        <v>0</v>
      </c>
      <c r="Q340" s="57"/>
      <c r="R340" s="56">
        <f>N956</f>
        <v>308</v>
      </c>
      <c r="S340" s="56">
        <f>P956</f>
        <v>2.7730049999999999</v>
      </c>
      <c r="Z340">
        <v>308</v>
      </c>
      <c r="AA340" s="58">
        <v>215.79116280172104</v>
      </c>
      <c r="AB340" s="59">
        <v>80.349152197335087</v>
      </c>
      <c r="AC340" s="59">
        <v>296.14031499905616</v>
      </c>
      <c r="AD340" s="60">
        <v>135.44201060438596</v>
      </c>
      <c r="AE340" s="61">
        <v>0.52516541903803049</v>
      </c>
      <c r="AF340" s="62">
        <v>0.23345823502938373</v>
      </c>
      <c r="AG340" s="62">
        <v>0.75862365406741428</v>
      </c>
      <c r="AH340" s="63">
        <v>0.29170718400864676</v>
      </c>
      <c r="AI340">
        <f t="shared" si="20"/>
        <v>10.408032735188803</v>
      </c>
      <c r="AJ340" s="64">
        <v>249.79278564453125</v>
      </c>
      <c r="AK340">
        <f t="shared" si="18"/>
        <v>10.408032735188803</v>
      </c>
      <c r="AM340" s="56">
        <v>309</v>
      </c>
      <c r="AN340" s="56">
        <f t="shared" si="19"/>
        <v>0.68725107004846109</v>
      </c>
    </row>
    <row r="341" spans="14:40" x14ac:dyDescent="0.25">
      <c r="N341" s="14">
        <v>103</v>
      </c>
      <c r="O341" s="14">
        <v>0.14854400000000001</v>
      </c>
      <c r="P341" s="14">
        <f>O341+O340+O339</f>
        <v>0.29992764</v>
      </c>
      <c r="Q341" s="57"/>
      <c r="R341" s="56">
        <f>N959</f>
        <v>309</v>
      </c>
      <c r="S341" s="56">
        <f>P959</f>
        <v>2.7976489999999998</v>
      </c>
      <c r="Z341">
        <v>309</v>
      </c>
      <c r="AA341" s="58">
        <v>215.10391173167258</v>
      </c>
      <c r="AB341" s="59">
        <v>80.519520929289769</v>
      </c>
      <c r="AC341" s="59">
        <v>295.62343266096235</v>
      </c>
      <c r="AD341" s="60">
        <v>134.58439080238281</v>
      </c>
      <c r="AE341" s="61">
        <v>0.52355612594347745</v>
      </c>
      <c r="AF341" s="62">
        <v>0.2338287264399011</v>
      </c>
      <c r="AG341" s="62">
        <v>0.7573848523833786</v>
      </c>
      <c r="AH341" s="63">
        <v>0.28972739950357634</v>
      </c>
      <c r="AI341">
        <f t="shared" si="20"/>
        <v>10.408032735188803</v>
      </c>
      <c r="AJ341" s="64">
        <v>249.79278564453125</v>
      </c>
      <c r="AK341">
        <f t="shared" si="18"/>
        <v>10.408032735188803</v>
      </c>
      <c r="AM341" s="56">
        <v>310</v>
      </c>
      <c r="AN341" s="56">
        <f t="shared" si="19"/>
        <v>0.68725107004846109</v>
      </c>
    </row>
    <row r="342" spans="14:40" x14ac:dyDescent="0.25">
      <c r="N342" s="14">
        <v>103.333</v>
      </c>
      <c r="O342" s="14">
        <v>4.4970699999999997E-3</v>
      </c>
      <c r="P342">
        <v>0</v>
      </c>
      <c r="Q342" s="57"/>
      <c r="R342" s="56">
        <f>N962</f>
        <v>310</v>
      </c>
      <c r="S342" s="56">
        <f>P962</f>
        <v>2.7931150000000002</v>
      </c>
      <c r="Z342">
        <v>310</v>
      </c>
      <c r="AA342" s="58">
        <v>214.41666066162412</v>
      </c>
      <c r="AB342" s="59">
        <v>80.690373568501812</v>
      </c>
      <c r="AC342" s="59">
        <v>295.10703423012592</v>
      </c>
      <c r="AD342" s="60">
        <v>133.72628709312232</v>
      </c>
      <c r="AE342" s="61">
        <v>0.5219468328489244</v>
      </c>
      <c r="AF342" s="62">
        <v>0.2341998585678248</v>
      </c>
      <c r="AG342" s="62">
        <v>0.75614669141674917</v>
      </c>
      <c r="AH342" s="63">
        <v>0.28774697428109963</v>
      </c>
      <c r="AI342">
        <f t="shared" si="20"/>
        <v>10.408032735188803</v>
      </c>
      <c r="AJ342" s="64">
        <v>249.79278564453125</v>
      </c>
      <c r="AK342">
        <f t="shared" si="18"/>
        <v>10.408032735188803</v>
      </c>
      <c r="AM342" s="56">
        <v>311</v>
      </c>
      <c r="AN342" s="56">
        <f t="shared" si="19"/>
        <v>0.68725107004843267</v>
      </c>
    </row>
    <row r="343" spans="14:40" x14ac:dyDescent="0.25">
      <c r="N343" s="14">
        <v>103.667</v>
      </c>
      <c r="O343" s="14">
        <v>0.153751</v>
      </c>
      <c r="P343">
        <v>0</v>
      </c>
      <c r="Q343" s="57"/>
      <c r="R343" s="56">
        <f>N965</f>
        <v>311</v>
      </c>
      <c r="S343" s="56">
        <f>P965</f>
        <v>2.7647680000000001</v>
      </c>
      <c r="Z343">
        <v>311</v>
      </c>
      <c r="AA343" s="58">
        <v>213.72940959157566</v>
      </c>
      <c r="AB343" s="59">
        <v>80.861707047629096</v>
      </c>
      <c r="AC343" s="59">
        <v>294.59111663920476</v>
      </c>
      <c r="AD343" s="60">
        <v>132.86770254394656</v>
      </c>
      <c r="AE343" s="61">
        <v>0.52033753975437147</v>
      </c>
      <c r="AF343" s="62">
        <v>0.23457162837198309</v>
      </c>
      <c r="AG343" s="62">
        <v>0.75490916812635456</v>
      </c>
      <c r="AH343" s="63">
        <v>0.28576591138238838</v>
      </c>
      <c r="AI343">
        <f t="shared" si="20"/>
        <v>10.408032735188803</v>
      </c>
      <c r="AJ343" s="64">
        <v>249.79278564453125</v>
      </c>
      <c r="AK343">
        <f t="shared" si="18"/>
        <v>10.408032735188803</v>
      </c>
      <c r="AM343" s="56">
        <v>312</v>
      </c>
      <c r="AN343" s="56">
        <f t="shared" si="19"/>
        <v>0.68725107004846109</v>
      </c>
    </row>
    <row r="344" spans="14:40" x14ac:dyDescent="0.25">
      <c r="N344" s="14">
        <v>104</v>
      </c>
      <c r="O344" s="14">
        <v>4.0416799999999998E-3</v>
      </c>
      <c r="P344" s="14">
        <f>O344+O343+O342</f>
        <v>0.16228974999999998</v>
      </c>
      <c r="Q344" s="57"/>
      <c r="R344" s="56">
        <f>N968</f>
        <v>312</v>
      </c>
      <c r="S344" s="56">
        <f>P968</f>
        <v>2.7602440000000001</v>
      </c>
      <c r="Z344">
        <v>312</v>
      </c>
      <c r="AA344" s="58">
        <v>213.04215852152723</v>
      </c>
      <c r="AB344" s="59">
        <v>81.033518316675526</v>
      </c>
      <c r="AC344" s="59">
        <v>294.07567683820275</v>
      </c>
      <c r="AD344" s="60">
        <v>132.0086402048517</v>
      </c>
      <c r="AE344" s="61">
        <v>0.51872824665981843</v>
      </c>
      <c r="AF344" s="62">
        <v>0.23494403282524623</v>
      </c>
      <c r="AG344" s="62">
        <v>0.75367227948506466</v>
      </c>
      <c r="AH344" s="63">
        <v>0.2837842138345722</v>
      </c>
      <c r="AI344">
        <f t="shared" si="20"/>
        <v>10.408032735188803</v>
      </c>
      <c r="AJ344" s="64">
        <v>249.79278564453125</v>
      </c>
      <c r="AK344">
        <f t="shared" si="18"/>
        <v>10.408032735188803</v>
      </c>
      <c r="AM344" s="56">
        <v>313</v>
      </c>
      <c r="AN344" s="56">
        <f t="shared" si="19"/>
        <v>0.68725107004848951</v>
      </c>
    </row>
    <row r="345" spans="14:40" x14ac:dyDescent="0.25">
      <c r="N345" s="14">
        <v>104.333</v>
      </c>
      <c r="O345" s="14">
        <v>0.16031200000000001</v>
      </c>
      <c r="P345">
        <v>0</v>
      </c>
      <c r="Q345" s="57"/>
      <c r="R345" s="56">
        <f>N971</f>
        <v>313</v>
      </c>
      <c r="S345" s="56">
        <f>P971</f>
        <v>2.7362349999999998</v>
      </c>
      <c r="Z345">
        <v>313</v>
      </c>
      <c r="AA345" s="58">
        <v>212.35490745147877</v>
      </c>
      <c r="AB345" s="59">
        <v>81.20580434298752</v>
      </c>
      <c r="AC345" s="59">
        <v>293.56071179446627</v>
      </c>
      <c r="AD345" s="60">
        <v>131.14910310849126</v>
      </c>
      <c r="AE345" s="61">
        <v>0.51711895356526538</v>
      </c>
      <c r="AF345" s="62">
        <v>0.23531706891449411</v>
      </c>
      <c r="AG345" s="62">
        <v>0.75243602247975949</v>
      </c>
      <c r="AH345" s="63">
        <v>0.28180188465077127</v>
      </c>
      <c r="AI345">
        <f t="shared" si="20"/>
        <v>10.408032735188803</v>
      </c>
      <c r="AJ345" s="64">
        <v>249.79278564453125</v>
      </c>
      <c r="AK345">
        <f t="shared" si="18"/>
        <v>10.408032735188803</v>
      </c>
      <c r="AM345" s="56">
        <v>314</v>
      </c>
      <c r="AN345" s="56">
        <f t="shared" si="19"/>
        <v>0.68725107004843267</v>
      </c>
    </row>
    <row r="346" spans="14:40" x14ac:dyDescent="0.25">
      <c r="N346" s="14">
        <v>104.667</v>
      </c>
      <c r="O346" s="14">
        <v>3.5686799999999999E-3</v>
      </c>
      <c r="P346">
        <v>0</v>
      </c>
      <c r="Q346" s="57"/>
      <c r="R346" s="56">
        <f>N974</f>
        <v>314</v>
      </c>
      <c r="S346" s="56">
        <f>P974</f>
        <v>2.7156120000000001</v>
      </c>
      <c r="Z346">
        <v>314</v>
      </c>
      <c r="AA346" s="58">
        <v>211.66765638143028</v>
      </c>
      <c r="AB346" s="59">
        <v>81.378562111248826</v>
      </c>
      <c r="AC346" s="59">
        <v>293.04621849267909</v>
      </c>
      <c r="AD346" s="60">
        <v>130.28909427018147</v>
      </c>
      <c r="AE346" s="61">
        <v>0.51550966047071234</v>
      </c>
      <c r="AF346" s="62">
        <v>0.23569073364058873</v>
      </c>
      <c r="AG346" s="62">
        <v>0.75120039411130102</v>
      </c>
      <c r="AH346" s="63">
        <v>0.2798189268301236</v>
      </c>
      <c r="AI346">
        <f t="shared" si="20"/>
        <v>10.408032735188803</v>
      </c>
      <c r="AJ346" s="64">
        <v>249.79278564453125</v>
      </c>
      <c r="AK346">
        <f t="shared" si="18"/>
        <v>10.408032735188803</v>
      </c>
      <c r="AM346" s="56">
        <v>315</v>
      </c>
      <c r="AN346" s="56">
        <f t="shared" si="19"/>
        <v>0.68725107004846109</v>
      </c>
    </row>
    <row r="347" spans="14:40" x14ac:dyDescent="0.25">
      <c r="N347" s="14">
        <v>105</v>
      </c>
      <c r="O347" s="14">
        <v>0.16498499999999999</v>
      </c>
      <c r="P347" s="14">
        <f>O347+O346+O345</f>
        <v>0.32886567999999999</v>
      </c>
      <c r="Q347" s="57"/>
      <c r="R347" s="56">
        <f>N977</f>
        <v>315</v>
      </c>
      <c r="S347" s="56">
        <f>P977</f>
        <v>2.7040440000000001</v>
      </c>
      <c r="Z347">
        <v>315</v>
      </c>
      <c r="AA347" s="58">
        <v>210.98040531138184</v>
      </c>
      <c r="AB347" s="59">
        <v>81.551788623471282</v>
      </c>
      <c r="AC347" s="59">
        <v>292.53219393485313</v>
      </c>
      <c r="AD347" s="60">
        <v>129.42861668791056</v>
      </c>
      <c r="AE347" s="61">
        <v>0.51390036737615941</v>
      </c>
      <c r="AF347" s="62">
        <v>0.23606502401834306</v>
      </c>
      <c r="AG347" s="62">
        <v>0.74996539139450247</v>
      </c>
      <c r="AH347" s="63">
        <v>0.27783534335781634</v>
      </c>
      <c r="AI347">
        <f t="shared" si="20"/>
        <v>10.408032735188803</v>
      </c>
      <c r="AJ347" s="64">
        <v>249.79278564453125</v>
      </c>
      <c r="AK347">
        <f t="shared" si="18"/>
        <v>10.408032735188803</v>
      </c>
      <c r="AM347" s="56">
        <v>316</v>
      </c>
      <c r="AN347" s="56">
        <f t="shared" si="19"/>
        <v>0.68725107004843267</v>
      </c>
    </row>
    <row r="348" spans="14:40" x14ac:dyDescent="0.25">
      <c r="N348" s="14">
        <v>105.333</v>
      </c>
      <c r="O348" s="14">
        <v>3.2485600000000002E-3</v>
      </c>
      <c r="P348">
        <v>0</v>
      </c>
      <c r="Q348" s="57"/>
      <c r="R348" s="56">
        <f>N980</f>
        <v>316</v>
      </c>
      <c r="S348" s="56">
        <f>P980</f>
        <v>2.6899670000000002</v>
      </c>
      <c r="Z348">
        <v>316</v>
      </c>
      <c r="AA348" s="58">
        <v>210.29315424133338</v>
      </c>
      <c r="AB348" s="59">
        <v>81.72548089898595</v>
      </c>
      <c r="AC348" s="59">
        <v>292.01863514031936</v>
      </c>
      <c r="AD348" s="60">
        <v>128.56767334234743</v>
      </c>
      <c r="AE348" s="61">
        <v>0.51229107428160636</v>
      </c>
      <c r="AF348" s="62">
        <v>0.23643993707649039</v>
      </c>
      <c r="AG348" s="62">
        <v>0.74873101135809672</v>
      </c>
      <c r="AH348" s="63">
        <v>0.275851137205116</v>
      </c>
      <c r="AI348">
        <f t="shared" si="20"/>
        <v>10.592964642894186</v>
      </c>
      <c r="AJ348" s="64">
        <v>254.23115142946045</v>
      </c>
      <c r="AK348">
        <f t="shared" si="18"/>
        <v>10.592964642894186</v>
      </c>
      <c r="AM348" s="56">
        <v>317</v>
      </c>
      <c r="AN348" s="56">
        <f t="shared" si="19"/>
        <v>0.68725107004848951</v>
      </c>
    </row>
    <row r="349" spans="14:40" x14ac:dyDescent="0.25">
      <c r="N349" s="14">
        <v>105.667</v>
      </c>
      <c r="O349" s="14">
        <v>0.17641499999999999</v>
      </c>
      <c r="P349">
        <v>0</v>
      </c>
      <c r="Q349" s="57"/>
      <c r="R349" s="56">
        <f>N983</f>
        <v>317</v>
      </c>
      <c r="S349" s="56">
        <f>P983</f>
        <v>2.6804230000000002</v>
      </c>
      <c r="Z349">
        <v>317</v>
      </c>
      <c r="AA349" s="58">
        <v>209.60590317128495</v>
      </c>
      <c r="AB349" s="59">
        <v>81.89963597442825</v>
      </c>
      <c r="AC349" s="59">
        <v>291.50553914571321</v>
      </c>
      <c r="AD349" s="60">
        <v>127.7062671968567</v>
      </c>
      <c r="AE349" s="61">
        <v>0.51068178118705332</v>
      </c>
      <c r="AF349" s="62">
        <v>0.2368154698576517</v>
      </c>
      <c r="AG349" s="62">
        <v>0.74749725104470499</v>
      </c>
      <c r="AH349" s="63">
        <v>0.27386631132940165</v>
      </c>
      <c r="AI349">
        <f t="shared" si="20"/>
        <v>11.142031866334174</v>
      </c>
      <c r="AJ349" s="64">
        <v>267.40876479202018</v>
      </c>
      <c r="AK349">
        <f t="shared" si="18"/>
        <v>11.142031866334174</v>
      </c>
      <c r="AM349" s="56">
        <v>318</v>
      </c>
      <c r="AN349" s="56">
        <f t="shared" si="19"/>
        <v>0.68725107004848951</v>
      </c>
    </row>
    <row r="350" spans="14:40" x14ac:dyDescent="0.25">
      <c r="N350" s="14">
        <v>106</v>
      </c>
      <c r="O350" s="14">
        <v>2.59019E-3</v>
      </c>
      <c r="P350" s="14">
        <f>O350+O349+O348</f>
        <v>0.18225374999999999</v>
      </c>
      <c r="Q350" s="57"/>
      <c r="R350" s="56">
        <f>N986</f>
        <v>318</v>
      </c>
      <c r="S350" s="56">
        <f>P986</f>
        <v>2.6691940000000001</v>
      </c>
      <c r="Z350">
        <v>318</v>
      </c>
      <c r="AA350" s="58">
        <v>208.91865210123646</v>
      </c>
      <c r="AB350" s="59">
        <v>82.074250903723922</v>
      </c>
      <c r="AC350" s="59">
        <v>290.9929030049604</v>
      </c>
      <c r="AD350" s="60">
        <v>126.84440119751254</v>
      </c>
      <c r="AE350" s="61">
        <v>0.50907248809250039</v>
      </c>
      <c r="AF350" s="62">
        <v>0.23719161941830405</v>
      </c>
      <c r="AG350" s="62">
        <v>0.74626410751080441</v>
      </c>
      <c r="AH350" s="63">
        <v>0.27188086867419636</v>
      </c>
      <c r="AI350">
        <f t="shared" si="20"/>
        <v>11.534949036836544</v>
      </c>
      <c r="AJ350" s="64">
        <v>276.83877688407705</v>
      </c>
      <c r="AK350">
        <f t="shared" si="18"/>
        <v>11.534949036836544</v>
      </c>
      <c r="AM350" s="56">
        <v>319</v>
      </c>
      <c r="AN350" s="56">
        <f t="shared" si="19"/>
        <v>0.67608151393520188</v>
      </c>
    </row>
    <row r="351" spans="14:40" x14ac:dyDescent="0.25">
      <c r="N351" s="14">
        <v>106.333</v>
      </c>
      <c r="O351" s="14">
        <v>0.18936800000000001</v>
      </c>
      <c r="P351">
        <v>0</v>
      </c>
      <c r="Q351" s="57"/>
      <c r="R351" s="56">
        <f>N989</f>
        <v>319</v>
      </c>
      <c r="S351" s="56">
        <f>P989</f>
        <v>2.6603690000000002</v>
      </c>
      <c r="Z351">
        <v>319</v>
      </c>
      <c r="AA351" s="58">
        <v>208.23140103118797</v>
      </c>
      <c r="AB351" s="59">
        <v>82.249322758070051</v>
      </c>
      <c r="AC351" s="59">
        <v>290.48072378925804</v>
      </c>
      <c r="AD351" s="60">
        <v>125.98207827311792</v>
      </c>
      <c r="AE351" s="61">
        <v>0.50746319499794712</v>
      </c>
      <c r="AF351" s="62">
        <v>0.23756838282874929</v>
      </c>
      <c r="AG351" s="62">
        <v>0.74503157782669638</v>
      </c>
      <c r="AH351" s="63">
        <v>0.26989481216919786</v>
      </c>
      <c r="AI351">
        <f t="shared" si="20"/>
        <v>11.610252209430305</v>
      </c>
      <c r="AJ351" s="64">
        <v>278.64605302632731</v>
      </c>
      <c r="AK351">
        <f t="shared" si="18"/>
        <v>11.610252209430305</v>
      </c>
      <c r="AM351" s="56">
        <v>320</v>
      </c>
      <c r="AN351" s="56">
        <f t="shared" si="19"/>
        <v>0.65491973163764783</v>
      </c>
    </row>
    <row r="352" spans="14:40" x14ac:dyDescent="0.25">
      <c r="N352" s="14">
        <v>106.667</v>
      </c>
      <c r="O352" s="14">
        <v>2.0122299999999998E-3</v>
      </c>
      <c r="P352">
        <v>0</v>
      </c>
      <c r="Q352" s="57"/>
      <c r="R352" s="56">
        <f>N992</f>
        <v>320</v>
      </c>
      <c r="S352" s="56">
        <f>P992</f>
        <v>2.6281060000000003</v>
      </c>
      <c r="Z352">
        <v>320</v>
      </c>
      <c r="AA352" s="58">
        <v>207.55531951725277</v>
      </c>
      <c r="AB352" s="59">
        <v>82.414517589697596</v>
      </c>
      <c r="AC352" s="59">
        <v>289.96983710695037</v>
      </c>
      <c r="AD352" s="60">
        <v>125.14080192755517</v>
      </c>
      <c r="AE352" s="61">
        <v>0.5058787678155241</v>
      </c>
      <c r="AF352" s="62">
        <v>0.23792278812728113</v>
      </c>
      <c r="AG352" s="62">
        <v>0.74380155594280528</v>
      </c>
      <c r="AH352" s="63">
        <v>0.26795597968824297</v>
      </c>
      <c r="AI352">
        <f t="shared" si="20"/>
        <v>11.677747298180011</v>
      </c>
      <c r="AJ352" s="64">
        <v>280.26593515632027</v>
      </c>
      <c r="AK352">
        <f t="shared" si="18"/>
        <v>11.677747298180011</v>
      </c>
      <c r="AM352" s="56">
        <v>321</v>
      </c>
      <c r="AN352" s="56">
        <f t="shared" si="19"/>
        <v>0.65441595858126789</v>
      </c>
    </row>
    <row r="353" spans="14:40" x14ac:dyDescent="0.25">
      <c r="N353" s="14">
        <v>107</v>
      </c>
      <c r="O353" s="14">
        <v>0.211037</v>
      </c>
      <c r="P353" s="14">
        <f>O353+O352+O351</f>
        <v>0.40241723000000001</v>
      </c>
      <c r="Q353" s="57"/>
      <c r="R353" s="56">
        <f>N995</f>
        <v>321</v>
      </c>
      <c r="S353" s="56">
        <f>P995</f>
        <v>2.6274690000000001</v>
      </c>
      <c r="Z353">
        <v>321</v>
      </c>
      <c r="AA353" s="58">
        <v>206.90039978561512</v>
      </c>
      <c r="AB353" s="59">
        <v>82.56072389475527</v>
      </c>
      <c r="AC353" s="59">
        <v>289.46112368037041</v>
      </c>
      <c r="AD353" s="60">
        <v>124.33967589085985</v>
      </c>
      <c r="AE353" s="61">
        <v>0.50434145145951037</v>
      </c>
      <c r="AF353" s="62">
        <v>0.23823454519739928</v>
      </c>
      <c r="AG353" s="62">
        <v>0.74257599665690965</v>
      </c>
      <c r="AH353" s="63">
        <v>0.26610690626211109</v>
      </c>
      <c r="AI353">
        <f t="shared" si="20"/>
        <v>11.745242386929718</v>
      </c>
      <c r="AJ353" s="64">
        <v>281.88581728631323</v>
      </c>
      <c r="AK353">
        <f t="shared" ref="AK353:AK416" si="21">IF(Z353&lt;=$R$12,AI353," ")</f>
        <v>11.745242386929718</v>
      </c>
      <c r="AM353" s="56">
        <v>322</v>
      </c>
      <c r="AN353" s="56">
        <f t="shared" ref="AN353:AN416" si="22">AA354-AA355</f>
        <v>0.65441595858121104</v>
      </c>
    </row>
    <row r="354" spans="14:40" x14ac:dyDescent="0.25">
      <c r="N354" s="14">
        <v>107.333</v>
      </c>
      <c r="O354" s="14">
        <v>1.3015800000000001E-3</v>
      </c>
      <c r="P354">
        <v>0</v>
      </c>
      <c r="Q354" s="57"/>
      <c r="R354" s="56">
        <f>N998</f>
        <v>322</v>
      </c>
      <c r="S354" s="56">
        <f>P998</f>
        <v>2.5994070000000002</v>
      </c>
      <c r="Z354">
        <v>322</v>
      </c>
      <c r="AA354" s="58">
        <v>206.24598382703385</v>
      </c>
      <c r="AB354" s="59">
        <v>82.70711521049202</v>
      </c>
      <c r="AC354" s="59">
        <v>288.95309903752587</v>
      </c>
      <c r="AD354" s="60">
        <v>123.53886861654183</v>
      </c>
      <c r="AE354" s="61">
        <v>0.50280525661418407</v>
      </c>
      <c r="AF354" s="62">
        <v>0.23854626718271779</v>
      </c>
      <c r="AG354" s="62">
        <v>0.74135152379690183</v>
      </c>
      <c r="AH354" s="63">
        <v>0.26425898943146631</v>
      </c>
      <c r="AI354">
        <f t="shared" ref="AI354:AI417" si="23">AJ354/24</f>
        <v>11.812737475679421</v>
      </c>
      <c r="AJ354" s="64">
        <v>283.50569941630613</v>
      </c>
      <c r="AK354">
        <f t="shared" si="21"/>
        <v>11.812737475679421</v>
      </c>
      <c r="AM354" s="56">
        <v>323</v>
      </c>
      <c r="AN354" s="56">
        <f t="shared" si="22"/>
        <v>0.65441595858126789</v>
      </c>
    </row>
    <row r="355" spans="14:40" x14ac:dyDescent="0.25">
      <c r="N355" s="14">
        <v>107.667</v>
      </c>
      <c r="O355" s="14">
        <v>0.32534299999999999</v>
      </c>
      <c r="P355">
        <v>0</v>
      </c>
      <c r="Q355" s="57"/>
      <c r="R355" s="56">
        <f>N1001</f>
        <v>323</v>
      </c>
      <c r="S355" s="56">
        <f>P1001</f>
        <v>2.5883339999999997</v>
      </c>
      <c r="Z355">
        <v>323</v>
      </c>
      <c r="AA355" s="58">
        <v>205.59156786845264</v>
      </c>
      <c r="AB355" s="59">
        <v>82.85415380861599</v>
      </c>
      <c r="AC355" s="59">
        <v>288.4457216770686</v>
      </c>
      <c r="AD355" s="60">
        <v>122.73741405983665</v>
      </c>
      <c r="AE355" s="61">
        <v>0.50126906176885788</v>
      </c>
      <c r="AF355" s="62">
        <v>0.23885898572388409</v>
      </c>
      <c r="AG355" s="62">
        <v>0.74012804749274197</v>
      </c>
      <c r="AH355" s="63">
        <v>0.26241007604497379</v>
      </c>
      <c r="AI355">
        <f t="shared" si="23"/>
        <v>11.880232564429129</v>
      </c>
      <c r="AJ355" s="64">
        <v>285.12558154629909</v>
      </c>
      <c r="AK355">
        <f t="shared" si="21"/>
        <v>11.880232564429129</v>
      </c>
      <c r="AM355" s="56">
        <v>324</v>
      </c>
      <c r="AN355" s="56">
        <f t="shared" si="22"/>
        <v>0.65441595858123947</v>
      </c>
    </row>
    <row r="356" spans="14:40" x14ac:dyDescent="0.25">
      <c r="N356" s="14">
        <v>108</v>
      </c>
      <c r="O356" s="14">
        <v>1.24344E-4</v>
      </c>
      <c r="P356" s="14">
        <f>O356+O355+O354</f>
        <v>0.32676892400000002</v>
      </c>
      <c r="Q356" s="57"/>
      <c r="R356" s="56">
        <f>N1004</f>
        <v>324</v>
      </c>
      <c r="S356" s="56">
        <f>P1004</f>
        <v>2.5864919999999998</v>
      </c>
      <c r="Z356">
        <v>324</v>
      </c>
      <c r="AA356" s="58">
        <v>204.93715190987137</v>
      </c>
      <c r="AB356" s="59">
        <v>83.001836249125347</v>
      </c>
      <c r="AC356" s="59">
        <v>287.93898815899672</v>
      </c>
      <c r="AD356" s="60">
        <v>121.93531566074603</v>
      </c>
      <c r="AE356" s="61">
        <v>0.49973286692353158</v>
      </c>
      <c r="AF356" s="62">
        <v>0.23917269691190587</v>
      </c>
      <c r="AG356" s="62">
        <v>0.73890556383543748</v>
      </c>
      <c r="AH356" s="63">
        <v>0.26056017001162568</v>
      </c>
      <c r="AI356">
        <f t="shared" si="23"/>
        <v>11.947727653178836</v>
      </c>
      <c r="AJ356" s="64">
        <v>286.74546367629205</v>
      </c>
      <c r="AK356">
        <f t="shared" si="21"/>
        <v>11.947727653178836</v>
      </c>
      <c r="AM356" s="56">
        <v>325</v>
      </c>
      <c r="AN356" s="56">
        <f t="shared" si="22"/>
        <v>0.65441595858123947</v>
      </c>
    </row>
    <row r="357" spans="14:40" x14ac:dyDescent="0.25">
      <c r="N357" s="14">
        <v>108.333</v>
      </c>
      <c r="O357" s="14">
        <v>0</v>
      </c>
      <c r="P357">
        <v>0</v>
      </c>
      <c r="Q357" s="57"/>
      <c r="R357" s="56">
        <f>N1007</f>
        <v>325</v>
      </c>
      <c r="S357" s="56">
        <f>P1007</f>
        <v>2.558681</v>
      </c>
      <c r="Z357">
        <v>325</v>
      </c>
      <c r="AA357" s="58">
        <v>204.28273595129014</v>
      </c>
      <c r="AB357" s="59">
        <v>83.150159101447741</v>
      </c>
      <c r="AC357" s="59">
        <v>287.43289505273788</v>
      </c>
      <c r="AD357" s="60">
        <v>121.13257684984239</v>
      </c>
      <c r="AE357" s="61">
        <v>0.49819667207820528</v>
      </c>
      <c r="AF357" s="62">
        <v>0.23948739684589562</v>
      </c>
      <c r="AG357" s="62">
        <v>0.73768406892410088</v>
      </c>
      <c r="AH357" s="63">
        <v>0.25870927523230969</v>
      </c>
      <c r="AI357">
        <f t="shared" si="23"/>
        <v>12.015222741928538</v>
      </c>
      <c r="AJ357" s="64">
        <v>288.36534580628489</v>
      </c>
      <c r="AK357">
        <f t="shared" si="21"/>
        <v>12.015222741928538</v>
      </c>
      <c r="AM357" s="56">
        <v>326</v>
      </c>
      <c r="AN357" s="56">
        <f t="shared" si="22"/>
        <v>0.65441595858121104</v>
      </c>
    </row>
    <row r="358" spans="14:40" x14ac:dyDescent="0.25">
      <c r="N358" s="14">
        <v>108.667</v>
      </c>
      <c r="O358" s="14">
        <v>0.26202900000000001</v>
      </c>
      <c r="P358">
        <v>0</v>
      </c>
      <c r="Q358" s="57"/>
      <c r="R358" s="56">
        <f>N1010</f>
        <v>326</v>
      </c>
      <c r="S358" s="56">
        <f>P1010</f>
        <v>2.5422690000000001</v>
      </c>
      <c r="Z358">
        <v>326</v>
      </c>
      <c r="AA358" s="58">
        <v>203.6283199927089</v>
      </c>
      <c r="AB358" s="59">
        <v>83.299118944621185</v>
      </c>
      <c r="AC358" s="59">
        <v>286.92743893733007</v>
      </c>
      <c r="AD358" s="60">
        <v>120.32920104808771</v>
      </c>
      <c r="AE358" s="61">
        <v>0.49666047723287898</v>
      </c>
      <c r="AF358" s="62">
        <v>0.23980308163318131</v>
      </c>
      <c r="AG358" s="62">
        <v>0.7364635588660603</v>
      </c>
      <c r="AH358" s="63">
        <v>0.25685739559969767</v>
      </c>
      <c r="AI358">
        <f t="shared" si="23"/>
        <v>12.082717830678249</v>
      </c>
      <c r="AJ358" s="64">
        <v>289.98522793627797</v>
      </c>
      <c r="AK358">
        <f t="shared" si="21"/>
        <v>12.082717830678249</v>
      </c>
      <c r="AM358" s="56">
        <v>327</v>
      </c>
      <c r="AN358" s="56">
        <f t="shared" si="22"/>
        <v>0.68676259915636706</v>
      </c>
    </row>
    <row r="359" spans="14:40" x14ac:dyDescent="0.25">
      <c r="N359" s="14">
        <v>109</v>
      </c>
      <c r="O359" s="14">
        <v>4.6062700000000002E-4</v>
      </c>
      <c r="P359" s="14">
        <f>O359+O358+O357</f>
        <v>0.262489627</v>
      </c>
      <c r="Q359" s="57"/>
      <c r="R359" s="56">
        <f>N1013</f>
        <v>327</v>
      </c>
      <c r="S359" s="56">
        <f>P1013</f>
        <v>2.5406870000000001</v>
      </c>
      <c r="Z359">
        <v>327</v>
      </c>
      <c r="AA359" s="58">
        <v>202.97390403412768</v>
      </c>
      <c r="AB359" s="59">
        <v>83.448712367470691</v>
      </c>
      <c r="AC359" s="59">
        <v>286.42261640159836</v>
      </c>
      <c r="AD359" s="60">
        <v>119.52519166665699</v>
      </c>
      <c r="AE359" s="61">
        <v>0.49512428238755279</v>
      </c>
      <c r="AF359" s="62">
        <v>0.24011974738941033</v>
      </c>
      <c r="AG359" s="62">
        <v>0.73524402977696313</v>
      </c>
      <c r="AH359" s="63">
        <v>0.25500453499814246</v>
      </c>
      <c r="AI359">
        <f t="shared" si="23"/>
        <v>12.150212919427952</v>
      </c>
      <c r="AJ359" s="64">
        <v>291.60511006627087</v>
      </c>
      <c r="AK359">
        <f t="shared" si="21"/>
        <v>12.150212919427952</v>
      </c>
      <c r="AM359" s="56">
        <v>328</v>
      </c>
      <c r="AN359" s="56">
        <f t="shared" si="22"/>
        <v>0.75264948981225643</v>
      </c>
    </row>
    <row r="360" spans="14:40" x14ac:dyDescent="0.25">
      <c r="N360" s="14">
        <v>109.333</v>
      </c>
      <c r="O360" s="14">
        <v>0</v>
      </c>
      <c r="P360">
        <v>0</v>
      </c>
      <c r="Q360" s="57"/>
      <c r="R360" s="56">
        <f>N1016</f>
        <v>328</v>
      </c>
      <c r="S360" s="56">
        <f>P1016</f>
        <v>2.5172400000000001</v>
      </c>
      <c r="Z360">
        <v>328</v>
      </c>
      <c r="AA360" s="58">
        <v>202.28714143497132</v>
      </c>
      <c r="AB360" s="59">
        <v>83.540968429265448</v>
      </c>
      <c r="AC360" s="59">
        <v>285.82810986423675</v>
      </c>
      <c r="AD360" s="60">
        <v>118.74617300570587</v>
      </c>
      <c r="AE360" s="61">
        <v>0.49350338626539664</v>
      </c>
      <c r="AF360" s="62">
        <v>0.24028461802466647</v>
      </c>
      <c r="AG360" s="62">
        <v>0.73378800429006308</v>
      </c>
      <c r="AH360" s="63">
        <v>0.2532187682407302</v>
      </c>
      <c r="AI360">
        <f t="shared" si="23"/>
        <v>12.217708008177659</v>
      </c>
      <c r="AJ360" s="64">
        <v>293.22499219626383</v>
      </c>
      <c r="AK360">
        <f t="shared" si="21"/>
        <v>12.217708008177659</v>
      </c>
      <c r="AM360" s="56">
        <v>329</v>
      </c>
      <c r="AN360" s="56">
        <f t="shared" si="22"/>
        <v>0.75458008152932621</v>
      </c>
    </row>
    <row r="361" spans="14:40" x14ac:dyDescent="0.25">
      <c r="N361" s="14">
        <v>109.667</v>
      </c>
      <c r="O361" s="14">
        <v>0.25492199999999998</v>
      </c>
      <c r="P361">
        <v>0</v>
      </c>
      <c r="Q361" s="57"/>
      <c r="R361" s="56">
        <f>N1019</f>
        <v>329</v>
      </c>
      <c r="S361" s="56">
        <f>P1019</f>
        <v>2.5063849999999999</v>
      </c>
      <c r="Z361">
        <v>329</v>
      </c>
      <c r="AA361" s="58">
        <v>201.53449194515906</v>
      </c>
      <c r="AB361" s="59">
        <v>83.515973145817654</v>
      </c>
      <c r="AC361" s="59">
        <v>285.05046509097673</v>
      </c>
      <c r="AD361" s="60">
        <v>118.01851879934141</v>
      </c>
      <c r="AE361" s="61">
        <v>0.49170996206410555</v>
      </c>
      <c r="AF361" s="62">
        <v>0.24013983884417869</v>
      </c>
      <c r="AG361" s="62">
        <v>0.73184980090828422</v>
      </c>
      <c r="AH361" s="63">
        <v>0.25157012321992689</v>
      </c>
      <c r="AI361">
        <f t="shared" si="23"/>
        <v>12.285203096927367</v>
      </c>
      <c r="AJ361" s="64">
        <v>294.84487432625679</v>
      </c>
      <c r="AK361">
        <f t="shared" si="21"/>
        <v>12.285203096927367</v>
      </c>
      <c r="AM361" s="56">
        <v>330</v>
      </c>
      <c r="AN361" s="56">
        <f t="shared" si="22"/>
        <v>0.74664621902465456</v>
      </c>
    </row>
    <row r="362" spans="14:40" x14ac:dyDescent="0.25">
      <c r="N362" s="14">
        <v>110</v>
      </c>
      <c r="O362" s="14">
        <v>5.3184700000000001E-4</v>
      </c>
      <c r="P362" s="14">
        <f>O362+O361+O360</f>
        <v>0.25545384699999996</v>
      </c>
      <c r="Q362" s="57"/>
      <c r="R362" s="56">
        <f>N1022</f>
        <v>330</v>
      </c>
      <c r="S362" s="56">
        <f>P1022</f>
        <v>2.4900890000000002</v>
      </c>
      <c r="Z362">
        <v>330</v>
      </c>
      <c r="AA362" s="58">
        <v>200.77991186362974</v>
      </c>
      <c r="AB362" s="59">
        <v>83.48845826429428</v>
      </c>
      <c r="AC362" s="59">
        <v>284.26837012792402</v>
      </c>
      <c r="AD362" s="60">
        <v>117.29145359933545</v>
      </c>
      <c r="AE362" s="61">
        <v>0.48991148251299871</v>
      </c>
      <c r="AF362" s="62">
        <v>0.23998780400019901</v>
      </c>
      <c r="AG362" s="62">
        <v>0.72989928651319769</v>
      </c>
      <c r="AH362" s="63">
        <v>0.2499236785127997</v>
      </c>
      <c r="AI362">
        <f t="shared" si="23"/>
        <v>12.352698185677072</v>
      </c>
      <c r="AJ362" s="64">
        <v>296.46475645624975</v>
      </c>
      <c r="AK362">
        <f t="shared" si="21"/>
        <v>12.352698185677072</v>
      </c>
      <c r="AM362" s="56">
        <v>331</v>
      </c>
      <c r="AN362" s="56">
        <f t="shared" si="22"/>
        <v>0.73115114536267356</v>
      </c>
    </row>
    <row r="363" spans="14:40" x14ac:dyDescent="0.25">
      <c r="N363" s="14">
        <v>110.333</v>
      </c>
      <c r="O363" s="14">
        <v>0</v>
      </c>
      <c r="P363">
        <v>0</v>
      </c>
      <c r="Q363" s="57"/>
      <c r="R363" s="56">
        <f>N1025</f>
        <v>331</v>
      </c>
      <c r="S363" s="56">
        <f>P1025</f>
        <v>2.48177</v>
      </c>
      <c r="Z363">
        <v>331</v>
      </c>
      <c r="AA363" s="58">
        <v>200.03326564460508</v>
      </c>
      <c r="AB363" s="59">
        <v>83.456990378663065</v>
      </c>
      <c r="AC363" s="59">
        <v>283.49025602326816</v>
      </c>
      <c r="AD363" s="60">
        <v>116.57627526594202</v>
      </c>
      <c r="AE363" s="61">
        <v>0.48813228012753401</v>
      </c>
      <c r="AF363" s="62">
        <v>0.2398273868617595</v>
      </c>
      <c r="AG363" s="62">
        <v>0.72795966698929349</v>
      </c>
      <c r="AH363" s="63">
        <v>0.24830489326577451</v>
      </c>
      <c r="AI363">
        <f t="shared" si="23"/>
        <v>12.536044588618301</v>
      </c>
      <c r="AJ363" s="64">
        <v>300.86507012683921</v>
      </c>
      <c r="AK363">
        <f t="shared" si="21"/>
        <v>12.536044588618301</v>
      </c>
      <c r="AM363" s="56">
        <v>332</v>
      </c>
      <c r="AN363" s="56">
        <f t="shared" si="22"/>
        <v>0.71172420631134514</v>
      </c>
    </row>
    <row r="364" spans="14:40" x14ac:dyDescent="0.25">
      <c r="N364" s="14">
        <v>110.667</v>
      </c>
      <c r="O364" s="14">
        <v>0.262546</v>
      </c>
      <c r="P364">
        <v>0</v>
      </c>
      <c r="Q364" s="57"/>
      <c r="R364" s="56">
        <f>N1028</f>
        <v>332</v>
      </c>
      <c r="S364" s="56">
        <f>P1028</f>
        <v>2.4686899999999996</v>
      </c>
      <c r="Z364">
        <v>332</v>
      </c>
      <c r="AA364" s="58">
        <v>199.30211449924241</v>
      </c>
      <c r="AB364" s="59">
        <v>83.416983814817584</v>
      </c>
      <c r="AC364" s="59">
        <v>282.71909831405998</v>
      </c>
      <c r="AD364" s="60">
        <v>115.88513068442482</v>
      </c>
      <c r="AE364" s="61">
        <v>0.48639072663016697</v>
      </c>
      <c r="AF364" s="62">
        <v>0.23964895939130632</v>
      </c>
      <c r="AG364" s="62">
        <v>0.72603968602147329</v>
      </c>
      <c r="AH364" s="63">
        <v>0.24674176723886065</v>
      </c>
      <c r="AI364">
        <f t="shared" si="23"/>
        <v>12.947882302810669</v>
      </c>
      <c r="AJ364" s="64">
        <v>310.74917526745605</v>
      </c>
      <c r="AK364">
        <f t="shared" si="21"/>
        <v>12.947882302810669</v>
      </c>
      <c r="AM364" s="56">
        <v>333</v>
      </c>
      <c r="AN364" s="56">
        <f t="shared" si="22"/>
        <v>0.67564141778009912</v>
      </c>
    </row>
    <row r="365" spans="14:40" x14ac:dyDescent="0.25">
      <c r="N365" s="14">
        <v>111</v>
      </c>
      <c r="O365" s="14">
        <v>4.5289400000000002E-4</v>
      </c>
      <c r="P365" s="14">
        <f>O365+O364+O363</f>
        <v>0.26299889399999998</v>
      </c>
      <c r="Q365" s="57"/>
      <c r="R365" s="56">
        <f>N1031</f>
        <v>333</v>
      </c>
      <c r="S365" s="56">
        <f>P1031</f>
        <v>2.4534449999999999</v>
      </c>
      <c r="Z365">
        <v>333</v>
      </c>
      <c r="AA365" s="58">
        <v>198.59039029293106</v>
      </c>
      <c r="AB365" s="59">
        <v>83.368776633952507</v>
      </c>
      <c r="AC365" s="59">
        <v>281.95916692688354</v>
      </c>
      <c r="AD365" s="60">
        <v>115.22161365897855</v>
      </c>
      <c r="AE365" s="61">
        <v>0.48469313695049931</v>
      </c>
      <c r="AF365" s="62">
        <v>0.2394487904655011</v>
      </c>
      <c r="AG365" s="62">
        <v>0.72414192741600036</v>
      </c>
      <c r="AH365" s="63">
        <v>0.24524434648499821</v>
      </c>
      <c r="AI365">
        <f t="shared" si="23"/>
        <v>13.365841153662222</v>
      </c>
      <c r="AJ365" s="64">
        <v>320.78018768789332</v>
      </c>
      <c r="AK365">
        <f t="shared" si="21"/>
        <v>13.365841153662222</v>
      </c>
      <c r="AM365" s="56">
        <v>334</v>
      </c>
      <c r="AN365" s="56">
        <f t="shared" si="22"/>
        <v>0.67477945721017818</v>
      </c>
    </row>
    <row r="366" spans="14:40" x14ac:dyDescent="0.25">
      <c r="N366" s="14">
        <v>111.333</v>
      </c>
      <c r="O366" s="14">
        <v>0</v>
      </c>
      <c r="P366">
        <v>0</v>
      </c>
      <c r="Q366" s="57"/>
      <c r="R366" s="56">
        <f>N1034</f>
        <v>334</v>
      </c>
      <c r="S366" s="56">
        <f>P1034</f>
        <v>2.4390879999999999</v>
      </c>
      <c r="Z366">
        <v>334</v>
      </c>
      <c r="AA366" s="58">
        <v>197.91474887515096</v>
      </c>
      <c r="AB366" s="59">
        <v>83.304375123022098</v>
      </c>
      <c r="AC366" s="59">
        <v>281.21912399817307</v>
      </c>
      <c r="AD366" s="60">
        <v>114.61037375212887</v>
      </c>
      <c r="AE366" s="61">
        <v>0.48307707622863466</v>
      </c>
      <c r="AF366" s="62">
        <v>0.23920625910469132</v>
      </c>
      <c r="AG366" s="62">
        <v>0.722283335333326</v>
      </c>
      <c r="AH366" s="63">
        <v>0.24387081712394335</v>
      </c>
      <c r="AI366">
        <f t="shared" si="23"/>
        <v>13.783800004513777</v>
      </c>
      <c r="AJ366" s="64">
        <v>330.81120010833064</v>
      </c>
      <c r="AK366">
        <f t="shared" si="21"/>
        <v>13.783800004513777</v>
      </c>
      <c r="AM366" s="56">
        <v>335</v>
      </c>
      <c r="AN366" s="56">
        <f t="shared" si="22"/>
        <v>0.67477945721017818</v>
      </c>
    </row>
    <row r="367" spans="14:40" x14ac:dyDescent="0.25">
      <c r="N367" s="14">
        <v>111.667</v>
      </c>
      <c r="O367" s="14">
        <v>0.26225799999999999</v>
      </c>
      <c r="P367">
        <v>0</v>
      </c>
      <c r="Q367" s="57"/>
      <c r="R367" s="56">
        <f>N1037</f>
        <v>335</v>
      </c>
      <c r="S367" s="56">
        <f>P1037</f>
        <v>2.4225159999999999</v>
      </c>
      <c r="Z367">
        <v>335</v>
      </c>
      <c r="AA367" s="58">
        <v>197.23996941794078</v>
      </c>
      <c r="AB367" s="59">
        <v>83.24038341413717</v>
      </c>
      <c r="AC367" s="59">
        <v>280.48035283207798</v>
      </c>
      <c r="AD367" s="60">
        <v>113.99958600380361</v>
      </c>
      <c r="AE367" s="61">
        <v>0.48146296310421988</v>
      </c>
      <c r="AF367" s="62">
        <v>0.23896437074959223</v>
      </c>
      <c r="AG367" s="62">
        <v>0.72042733385381208</v>
      </c>
      <c r="AH367" s="63">
        <v>0.24249859235462765</v>
      </c>
      <c r="AI367">
        <f t="shared" si="23"/>
        <v>14.201758855365332</v>
      </c>
      <c r="AJ367" s="64">
        <v>340.84221252876796</v>
      </c>
      <c r="AK367">
        <f t="shared" si="21"/>
        <v>14.201758855365332</v>
      </c>
      <c r="AM367" s="56">
        <v>336</v>
      </c>
      <c r="AN367" s="56">
        <f t="shared" si="22"/>
        <v>0.67477945721017818</v>
      </c>
    </row>
    <row r="368" spans="14:40" x14ac:dyDescent="0.25">
      <c r="N368" s="14">
        <v>112</v>
      </c>
      <c r="O368" s="14">
        <v>4.5412000000000002E-4</v>
      </c>
      <c r="P368" s="14">
        <f>O368+O367+O366</f>
        <v>0.26271211999999999</v>
      </c>
      <c r="Q368" s="57"/>
      <c r="R368" s="56">
        <f>N1040</f>
        <v>336</v>
      </c>
      <c r="S368" s="56">
        <f>P1040</f>
        <v>2.4126700000000003</v>
      </c>
      <c r="Z368">
        <v>336</v>
      </c>
      <c r="AA368" s="58">
        <v>196.56518996073061</v>
      </c>
      <c r="AB368" s="59">
        <v>83.177211031326536</v>
      </c>
      <c r="AC368" s="59">
        <v>279.74240099205713</v>
      </c>
      <c r="AD368" s="60">
        <v>113.38797892940407</v>
      </c>
      <c r="AE368" s="61">
        <v>0.47984884997980515</v>
      </c>
      <c r="AF368" s="62">
        <v>0.23872418488356056</v>
      </c>
      <c r="AG368" s="62">
        <v>0.71857303486336566</v>
      </c>
      <c r="AH368" s="63">
        <v>0.24112466509624458</v>
      </c>
      <c r="AI368">
        <f t="shared" si="23"/>
        <v>14.619717706216884</v>
      </c>
      <c r="AJ368" s="64">
        <v>350.87322494920522</v>
      </c>
      <c r="AK368">
        <f t="shared" si="21"/>
        <v>14.619717706216884</v>
      </c>
      <c r="AM368" s="56">
        <v>337</v>
      </c>
      <c r="AN368" s="56">
        <f t="shared" si="22"/>
        <v>0.6747794572102066</v>
      </c>
    </row>
    <row r="369" spans="14:40" x14ac:dyDescent="0.25">
      <c r="N369" s="14">
        <v>112.333</v>
      </c>
      <c r="O369" s="14">
        <v>0</v>
      </c>
      <c r="P369">
        <v>0</v>
      </c>
      <c r="Q369" s="57"/>
      <c r="R369" s="56">
        <f>N1043</f>
        <v>337</v>
      </c>
      <c r="S369" s="56">
        <f>P1043</f>
        <v>2.3970760000000002</v>
      </c>
      <c r="Z369">
        <v>337</v>
      </c>
      <c r="AA369" s="58">
        <v>195.89041050352043</v>
      </c>
      <c r="AB369" s="59">
        <v>83.114859842804165</v>
      </c>
      <c r="AC369" s="59">
        <v>279.00527034632461</v>
      </c>
      <c r="AD369" s="60">
        <v>112.77555066071626</v>
      </c>
      <c r="AE369" s="61">
        <v>0.47823473685539031</v>
      </c>
      <c r="AF369" s="62">
        <v>0.238485706650475</v>
      </c>
      <c r="AG369" s="62">
        <v>0.71672044350586528</v>
      </c>
      <c r="AH369" s="63">
        <v>0.23974903020491531</v>
      </c>
      <c r="AI369">
        <f t="shared" si="23"/>
        <v>14.640607760711346</v>
      </c>
      <c r="AJ369" s="64">
        <v>351.37458625707228</v>
      </c>
      <c r="AK369">
        <f t="shared" si="21"/>
        <v>14.640607760711346</v>
      </c>
      <c r="AM369" s="56">
        <v>338</v>
      </c>
      <c r="AN369" s="56">
        <f t="shared" si="22"/>
        <v>0.67477945721017818</v>
      </c>
    </row>
    <row r="370" spans="14:40" x14ac:dyDescent="0.25">
      <c r="N370" s="14">
        <v>112.667</v>
      </c>
      <c r="O370" s="14">
        <v>0.26216800000000001</v>
      </c>
      <c r="P370">
        <v>0</v>
      </c>
      <c r="Q370" s="57"/>
      <c r="R370" s="56">
        <f>N1046</f>
        <v>338</v>
      </c>
      <c r="S370" s="56">
        <f>P1046</f>
        <v>2.381275</v>
      </c>
      <c r="Z370">
        <v>338</v>
      </c>
      <c r="AA370" s="58">
        <v>195.21563104631022</v>
      </c>
      <c r="AB370" s="59">
        <v>83.053331698072398</v>
      </c>
      <c r="AC370" s="59">
        <v>278.26896274438263</v>
      </c>
      <c r="AD370" s="60">
        <v>112.16229934823782</v>
      </c>
      <c r="AE370" s="61">
        <v>0.47662062373097563</v>
      </c>
      <c r="AF370" s="62">
        <v>0.2382489411781637</v>
      </c>
      <c r="AG370" s="62">
        <v>0.71486956490913933</v>
      </c>
      <c r="AH370" s="63">
        <v>0.23837168255281194</v>
      </c>
      <c r="AI370">
        <f t="shared" si="23"/>
        <v>13.876713257454398</v>
      </c>
      <c r="AJ370" s="64">
        <v>333.04111817890555</v>
      </c>
      <c r="AK370">
        <f t="shared" si="21"/>
        <v>13.876713257454398</v>
      </c>
      <c r="AM370" s="56">
        <v>339</v>
      </c>
      <c r="AN370" s="56">
        <f t="shared" si="22"/>
        <v>0.6747794572102066</v>
      </c>
    </row>
    <row r="371" spans="14:40" x14ac:dyDescent="0.25">
      <c r="N371" s="14">
        <v>113</v>
      </c>
      <c r="O371" s="14">
        <v>4.53592E-4</v>
      </c>
      <c r="P371" s="14">
        <f>O371+O370+O369</f>
        <v>0.26262159200000001</v>
      </c>
      <c r="Q371" s="57"/>
      <c r="R371" s="56">
        <f>N1049</f>
        <v>339</v>
      </c>
      <c r="S371" s="56">
        <f>P1049</f>
        <v>2.3725370000000003</v>
      </c>
      <c r="Z371">
        <v>339</v>
      </c>
      <c r="AA371" s="58">
        <v>194.54085158910004</v>
      </c>
      <c r="AB371" s="59">
        <v>82.992628427668095</v>
      </c>
      <c r="AC371" s="59">
        <v>277.53348001676812</v>
      </c>
      <c r="AD371" s="60">
        <v>111.54822316143195</v>
      </c>
      <c r="AE371" s="61">
        <v>0.47500651060656085</v>
      </c>
      <c r="AF371" s="62">
        <v>0.2380138935779591</v>
      </c>
      <c r="AG371" s="62">
        <v>0.71302040418451995</v>
      </c>
      <c r="AH371" s="63">
        <v>0.23699261702860175</v>
      </c>
      <c r="AI371">
        <f t="shared" si="23"/>
        <v>13.091668418795024</v>
      </c>
      <c r="AJ371" s="64">
        <v>314.20004205108057</v>
      </c>
      <c r="AK371">
        <f t="shared" si="21"/>
        <v>13.091668418795024</v>
      </c>
      <c r="AM371" s="56">
        <v>340</v>
      </c>
      <c r="AN371" s="56">
        <f t="shared" si="22"/>
        <v>0.67477945721017818</v>
      </c>
    </row>
    <row r="372" spans="14:40" x14ac:dyDescent="0.25">
      <c r="N372" s="14">
        <v>113.333</v>
      </c>
      <c r="O372" s="14">
        <v>0</v>
      </c>
      <c r="P372">
        <v>0</v>
      </c>
      <c r="Q372" s="57"/>
      <c r="R372" s="56">
        <f>N1052</f>
        <v>340</v>
      </c>
      <c r="S372" s="56">
        <f>P1052</f>
        <v>2.3474520000000001</v>
      </c>
      <c r="Z372">
        <v>340</v>
      </c>
      <c r="AA372" s="58">
        <v>193.86607213188984</v>
      </c>
      <c r="AB372" s="59">
        <v>82.932751842910719</v>
      </c>
      <c r="AC372" s="59">
        <v>276.79882397480054</v>
      </c>
      <c r="AD372" s="60">
        <v>110.93332028897912</v>
      </c>
      <c r="AE372" s="61">
        <v>0.47339239748214612</v>
      </c>
      <c r="AF372" s="62">
        <v>0.23778056894424304</v>
      </c>
      <c r="AG372" s="62">
        <v>0.71117296642638916</v>
      </c>
      <c r="AH372" s="63">
        <v>0.23561182853790308</v>
      </c>
      <c r="AI372">
        <f t="shared" si="23"/>
        <v>12.306623580135655</v>
      </c>
      <c r="AJ372" s="64">
        <v>295.35896592325571</v>
      </c>
      <c r="AK372">
        <f t="shared" si="21"/>
        <v>12.306623580135655</v>
      </c>
      <c r="AM372" s="56">
        <v>341</v>
      </c>
      <c r="AN372" s="56">
        <f t="shared" si="22"/>
        <v>0.6747794572102066</v>
      </c>
    </row>
    <row r="373" spans="14:40" x14ac:dyDescent="0.25">
      <c r="N373" s="14">
        <v>113.667</v>
      </c>
      <c r="O373" s="14">
        <v>0.262069</v>
      </c>
      <c r="P373">
        <v>0</v>
      </c>
      <c r="Q373" s="57"/>
      <c r="R373" s="56">
        <f>N1055</f>
        <v>341</v>
      </c>
      <c r="S373" s="56">
        <f>P1055</f>
        <v>2.3454600000000001</v>
      </c>
      <c r="Z373">
        <v>341</v>
      </c>
      <c r="AA373" s="58">
        <v>193.19129267467966</v>
      </c>
      <c r="AB373" s="59">
        <v>82.87370373565156</v>
      </c>
      <c r="AC373" s="59">
        <v>276.06499641033122</v>
      </c>
      <c r="AD373" s="60">
        <v>110.3175889390281</v>
      </c>
      <c r="AE373" s="61">
        <v>0.47177828435773139</v>
      </c>
      <c r="AF373" s="62">
        <v>0.23754897235399633</v>
      </c>
      <c r="AG373" s="62">
        <v>0.70932725671172769</v>
      </c>
      <c r="AH373" s="63">
        <v>0.23422931200373506</v>
      </c>
      <c r="AI373">
        <f t="shared" si="23"/>
        <v>11.791254509315406</v>
      </c>
      <c r="AJ373" s="64">
        <v>282.99010822356973</v>
      </c>
      <c r="AK373">
        <f t="shared" si="21"/>
        <v>11.791254509315406</v>
      </c>
      <c r="AM373" s="56">
        <v>342</v>
      </c>
      <c r="AN373" s="56">
        <f t="shared" si="22"/>
        <v>0.67477945721017818</v>
      </c>
    </row>
    <row r="374" spans="14:40" x14ac:dyDescent="0.25">
      <c r="N374" s="14">
        <v>114</v>
      </c>
      <c r="O374" s="14">
        <v>4.5314500000000001E-4</v>
      </c>
      <c r="P374" s="14">
        <f>O374+O373+O372</f>
        <v>0.26252214499999998</v>
      </c>
      <c r="Q374" s="57"/>
      <c r="R374" s="56">
        <f>N1058</f>
        <v>342</v>
      </c>
      <c r="S374" s="56">
        <f>P1058</f>
        <v>2.3305990000000003</v>
      </c>
      <c r="Z374">
        <v>342</v>
      </c>
      <c r="AA374" s="58">
        <v>192.51651321746945</v>
      </c>
      <c r="AB374" s="59">
        <v>82.815485878023708</v>
      </c>
      <c r="AC374" s="59">
        <v>275.33199909549319</v>
      </c>
      <c r="AD374" s="60">
        <v>109.70102733944574</v>
      </c>
      <c r="AE374" s="61">
        <v>0.47016417123331655</v>
      </c>
      <c r="AF374" s="62">
        <v>0.23731910886634389</v>
      </c>
      <c r="AG374" s="62">
        <v>0.70748328009966044</v>
      </c>
      <c r="AH374" s="63">
        <v>0.23284506236697267</v>
      </c>
      <c r="AI374">
        <f t="shared" si="23"/>
        <v>11.824376556524006</v>
      </c>
      <c r="AJ374" s="64">
        <v>283.78503735657614</v>
      </c>
      <c r="AK374">
        <f t="shared" si="21"/>
        <v>11.824376556524006</v>
      </c>
      <c r="AM374" s="56">
        <v>343</v>
      </c>
      <c r="AN374" s="56">
        <f t="shared" si="22"/>
        <v>0.71948580637334203</v>
      </c>
    </row>
    <row r="375" spans="14:40" x14ac:dyDescent="0.25">
      <c r="N375" s="14">
        <v>114.333</v>
      </c>
      <c r="O375" s="14">
        <v>0</v>
      </c>
      <c r="P375">
        <v>0</v>
      </c>
      <c r="Q375" s="57"/>
      <c r="R375" s="56">
        <f>N1061</f>
        <v>343</v>
      </c>
      <c r="S375" s="56">
        <f>P1061</f>
        <v>2.318873</v>
      </c>
      <c r="Z375">
        <v>343</v>
      </c>
      <c r="AA375" s="58">
        <v>191.84173376025927</v>
      </c>
      <c r="AB375" s="59">
        <v>82.75810002219508</v>
      </c>
      <c r="AC375" s="59">
        <v>274.59983378245437</v>
      </c>
      <c r="AD375" s="60">
        <v>109.08363373806419</v>
      </c>
      <c r="AE375" s="61">
        <v>0.46855005810890182</v>
      </c>
      <c r="AF375" s="62">
        <v>0.2370909835220972</v>
      </c>
      <c r="AG375" s="62">
        <v>0.70564104163099906</v>
      </c>
      <c r="AH375" s="63">
        <v>0.23145907458680462</v>
      </c>
      <c r="AI375">
        <f t="shared" si="23"/>
        <v>11.873505816250272</v>
      </c>
      <c r="AJ375" s="64">
        <v>284.96413959000654</v>
      </c>
      <c r="AK375">
        <f t="shared" si="21"/>
        <v>11.873505816250272</v>
      </c>
      <c r="AM375" s="56">
        <v>344</v>
      </c>
      <c r="AN375" s="56">
        <f t="shared" si="22"/>
        <v>0.80808240259872832</v>
      </c>
    </row>
    <row r="376" spans="14:40" x14ac:dyDescent="0.25">
      <c r="N376" s="14">
        <v>114.667</v>
      </c>
      <c r="O376" s="14">
        <v>0.26197700000000002</v>
      </c>
      <c r="P376">
        <v>0</v>
      </c>
      <c r="Q376" s="57"/>
      <c r="R376" s="56">
        <f>N1064</f>
        <v>344</v>
      </c>
      <c r="S376" s="56">
        <f>P1064</f>
        <v>2.3025799999999998</v>
      </c>
      <c r="Z376">
        <v>344</v>
      </c>
      <c r="AA376" s="58">
        <v>191.12224795388593</v>
      </c>
      <c r="AB376" s="59">
        <v>82.618213084859931</v>
      </c>
      <c r="AC376" s="59">
        <v>273.74046103874588</v>
      </c>
      <c r="AD376" s="60">
        <v>108.504034869026</v>
      </c>
      <c r="AE376" s="61">
        <v>0.46681842968664766</v>
      </c>
      <c r="AF376" s="62">
        <v>0.23664338944421479</v>
      </c>
      <c r="AG376" s="62">
        <v>0.70346181913086248</v>
      </c>
      <c r="AH376" s="63">
        <v>0.23017504024243288</v>
      </c>
      <c r="AI376">
        <f t="shared" si="23"/>
        <v>11.922635075976537</v>
      </c>
      <c r="AJ376" s="64">
        <v>286.14324182343688</v>
      </c>
      <c r="AK376">
        <f t="shared" si="21"/>
        <v>11.922635075976537</v>
      </c>
      <c r="AM376" s="56">
        <v>345</v>
      </c>
      <c r="AN376" s="56">
        <f t="shared" si="22"/>
        <v>0.79746607381721901</v>
      </c>
    </row>
    <row r="377" spans="14:40" x14ac:dyDescent="0.25">
      <c r="N377" s="14">
        <v>115</v>
      </c>
      <c r="O377" s="14">
        <v>4.5263299999999997E-4</v>
      </c>
      <c r="P377" s="14">
        <f>O377+O376+O375</f>
        <v>0.262429633</v>
      </c>
      <c r="Q377" s="57"/>
      <c r="R377" s="56">
        <f>N1067</f>
        <v>345</v>
      </c>
      <c r="S377" s="56">
        <f>P1067</f>
        <v>2.293914</v>
      </c>
      <c r="Z377">
        <v>345</v>
      </c>
      <c r="AA377" s="58">
        <v>190.3141655512872</v>
      </c>
      <c r="AB377" s="59">
        <v>82.31374094509782</v>
      </c>
      <c r="AC377" s="59">
        <v>272.62790649638504</v>
      </c>
      <c r="AD377" s="60">
        <v>108.00042460618938</v>
      </c>
      <c r="AE377" s="61">
        <v>0.46485391587813729</v>
      </c>
      <c r="AF377" s="62">
        <v>0.23575854178000991</v>
      </c>
      <c r="AG377" s="62">
        <v>0.70061245765814717</v>
      </c>
      <c r="AH377" s="63">
        <v>0.22909537409812739</v>
      </c>
      <c r="AI377">
        <f t="shared" si="23"/>
        <v>11.971764335702801</v>
      </c>
      <c r="AJ377" s="64">
        <v>287.32234405686722</v>
      </c>
      <c r="AK377">
        <f t="shared" si="21"/>
        <v>11.971764335702801</v>
      </c>
      <c r="AM377" s="56">
        <v>346</v>
      </c>
      <c r="AN377" s="56">
        <f t="shared" si="22"/>
        <v>0.77235024905110095</v>
      </c>
    </row>
    <row r="378" spans="14:40" x14ac:dyDescent="0.25">
      <c r="N378" s="14">
        <v>115.333</v>
      </c>
      <c r="O378" s="14">
        <v>0</v>
      </c>
      <c r="P378">
        <v>0</v>
      </c>
      <c r="Q378" s="57"/>
      <c r="R378" s="56">
        <f>N1070</f>
        <v>346</v>
      </c>
      <c r="S378" s="56">
        <f>P1070</f>
        <v>2.2737160000000003</v>
      </c>
      <c r="Z378">
        <v>346</v>
      </c>
      <c r="AA378" s="58">
        <v>189.51669947746998</v>
      </c>
      <c r="AB378" s="59">
        <v>81.990651770963908</v>
      </c>
      <c r="AC378" s="59">
        <v>271.50735124843391</v>
      </c>
      <c r="AD378" s="60">
        <v>107.52604770650608</v>
      </c>
      <c r="AE378" s="61">
        <v>0.46291354859532452</v>
      </c>
      <c r="AF378" s="62">
        <v>0.23483190256768541</v>
      </c>
      <c r="AG378" s="62">
        <v>0.6977454511630099</v>
      </c>
      <c r="AH378" s="63">
        <v>0.22808164602763911</v>
      </c>
      <c r="AI378">
        <f t="shared" si="23"/>
        <v>12.020893595429067</v>
      </c>
      <c r="AJ378" s="64">
        <v>288.50144629029762</v>
      </c>
      <c r="AK378">
        <f t="shared" si="21"/>
        <v>12.020893595429067</v>
      </c>
      <c r="AM378" s="56">
        <v>347</v>
      </c>
      <c r="AN378" s="56">
        <f t="shared" si="22"/>
        <v>0.77171960188178446</v>
      </c>
    </row>
    <row r="379" spans="14:40" x14ac:dyDescent="0.25">
      <c r="N379" s="14">
        <v>115.667</v>
      </c>
      <c r="O379" s="14">
        <v>0.26188499999999998</v>
      </c>
      <c r="P379">
        <v>0</v>
      </c>
      <c r="Q379" s="57"/>
      <c r="R379" s="56">
        <f>N1073</f>
        <v>347</v>
      </c>
      <c r="S379" s="56">
        <f>P1073</f>
        <v>2.2688190000000001</v>
      </c>
      <c r="Z379">
        <v>347</v>
      </c>
      <c r="AA379" s="58">
        <v>188.74434922841888</v>
      </c>
      <c r="AB379" s="59">
        <v>81.639862491676539</v>
      </c>
      <c r="AC379" s="59">
        <v>270.38421172009544</v>
      </c>
      <c r="AD379" s="60">
        <v>107.10448673674234</v>
      </c>
      <c r="AE379" s="61">
        <v>0.46103194978068063</v>
      </c>
      <c r="AF379" s="62">
        <v>0.23384675766607452</v>
      </c>
      <c r="AG379" s="62">
        <v>0.69487870744675517</v>
      </c>
      <c r="AH379" s="63">
        <v>0.22718519211460611</v>
      </c>
      <c r="AI379">
        <f t="shared" si="23"/>
        <v>12.070022855155335</v>
      </c>
      <c r="AJ379" s="64">
        <v>289.68054852372802</v>
      </c>
      <c r="AK379">
        <f t="shared" si="21"/>
        <v>12.070022855155335</v>
      </c>
      <c r="AM379" s="56">
        <v>348</v>
      </c>
      <c r="AN379" s="56">
        <f t="shared" si="22"/>
        <v>0.77171960188175603</v>
      </c>
    </row>
    <row r="380" spans="14:40" x14ac:dyDescent="0.25">
      <c r="N380" s="14">
        <v>116</v>
      </c>
      <c r="O380" s="14">
        <v>4.5212699999999998E-4</v>
      </c>
      <c r="P380" s="14">
        <f>O380+O379+O378</f>
        <v>0.262337127</v>
      </c>
      <c r="Q380" s="57"/>
      <c r="R380" s="56">
        <f>N1076</f>
        <v>348</v>
      </c>
      <c r="S380" s="56">
        <f>P1076</f>
        <v>2.247201</v>
      </c>
      <c r="Z380">
        <v>348</v>
      </c>
      <c r="AA380" s="58">
        <v>187.9726296265371</v>
      </c>
      <c r="AB380" s="59">
        <v>81.288773509617016</v>
      </c>
      <c r="AC380" s="59">
        <v>269.26140313615412</v>
      </c>
      <c r="AD380" s="60">
        <v>106.68385611692008</v>
      </c>
      <c r="AE380" s="61">
        <v>0.45915182661608778</v>
      </c>
      <c r="AF380" s="62">
        <v>0.23286091404870118</v>
      </c>
      <c r="AG380" s="62">
        <v>0.69201274066478891</v>
      </c>
      <c r="AH380" s="63">
        <v>0.22629091256738659</v>
      </c>
      <c r="AI380">
        <f t="shared" si="23"/>
        <v>12.119152114881599</v>
      </c>
      <c r="AJ380" s="64">
        <v>290.85965075715836</v>
      </c>
      <c r="AK380">
        <f t="shared" si="21"/>
        <v>12.119152114881599</v>
      </c>
      <c r="AM380" s="56">
        <v>349</v>
      </c>
      <c r="AN380" s="56">
        <f t="shared" si="22"/>
        <v>0.77171960188178446</v>
      </c>
    </row>
    <row r="381" spans="14:40" x14ac:dyDescent="0.25">
      <c r="N381" s="14">
        <v>116.333</v>
      </c>
      <c r="O381" s="14">
        <v>0</v>
      </c>
      <c r="P381">
        <v>0</v>
      </c>
      <c r="Q381" s="57"/>
      <c r="R381" s="56">
        <f>N1079</f>
        <v>349</v>
      </c>
      <c r="S381" s="56">
        <f>P1079</f>
        <v>2.2414209999999999</v>
      </c>
      <c r="Z381">
        <v>349</v>
      </c>
      <c r="AA381" s="58">
        <v>187.20091002465534</v>
      </c>
      <c r="AB381" s="59">
        <v>80.938095751317363</v>
      </c>
      <c r="AC381" s="59">
        <v>268.13900577597269</v>
      </c>
      <c r="AD381" s="60">
        <v>106.26281427333798</v>
      </c>
      <c r="AE381" s="61">
        <v>0.45727170345149493</v>
      </c>
      <c r="AF381" s="62">
        <v>0.23187587049463623</v>
      </c>
      <c r="AG381" s="62">
        <v>0.68914757394613113</v>
      </c>
      <c r="AH381" s="63">
        <v>0.22539583295685869</v>
      </c>
      <c r="AI381">
        <f t="shared" si="23"/>
        <v>12.168281374607863</v>
      </c>
      <c r="AJ381" s="64">
        <v>292.0387529905887</v>
      </c>
      <c r="AK381">
        <f t="shared" si="21"/>
        <v>12.168281374607863</v>
      </c>
      <c r="AM381" s="56">
        <v>350</v>
      </c>
      <c r="AN381" s="56">
        <f t="shared" si="22"/>
        <v>0.77171960188178446</v>
      </c>
    </row>
    <row r="382" spans="14:40" x14ac:dyDescent="0.25">
      <c r="N382" s="14">
        <v>116.667</v>
      </c>
      <c r="O382" s="14">
        <v>0.26179200000000002</v>
      </c>
      <c r="P382">
        <v>0</v>
      </c>
      <c r="Q382" s="57"/>
      <c r="R382" s="56">
        <f>N1082</f>
        <v>350</v>
      </c>
      <c r="S382" s="56">
        <f>P1082</f>
        <v>2.2281459999999997</v>
      </c>
      <c r="Z382">
        <v>350</v>
      </c>
      <c r="AA382" s="58">
        <v>186.42919042277356</v>
      </c>
      <c r="AB382" s="59">
        <v>80.587834585095436</v>
      </c>
      <c r="AC382" s="59">
        <v>267.01702500786899</v>
      </c>
      <c r="AD382" s="60">
        <v>105.84135583767812</v>
      </c>
      <c r="AE382" s="61">
        <v>0.45539158028690213</v>
      </c>
      <c r="AF382" s="62">
        <v>0.23089163724371212</v>
      </c>
      <c r="AG382" s="62">
        <v>0.68628321753061428</v>
      </c>
      <c r="AH382" s="63">
        <v>0.22449994304319001</v>
      </c>
      <c r="AI382">
        <f t="shared" si="23"/>
        <v>12.217410634334129</v>
      </c>
      <c r="AJ382" s="64">
        <v>293.2178552240191</v>
      </c>
      <c r="AK382">
        <f t="shared" si="21"/>
        <v>12.217410634334129</v>
      </c>
      <c r="AM382" s="56">
        <v>351</v>
      </c>
      <c r="AN382" s="56">
        <f t="shared" si="22"/>
        <v>0.77171960188175603</v>
      </c>
    </row>
    <row r="383" spans="14:40" x14ac:dyDescent="0.25">
      <c r="N383" s="14">
        <v>117</v>
      </c>
      <c r="O383" s="14">
        <v>4.51619E-4</v>
      </c>
      <c r="P383" s="14">
        <f>O383+O382+O381</f>
        <v>0.26224361900000004</v>
      </c>
      <c r="Q383" s="57"/>
      <c r="R383" s="56">
        <f>N1085</f>
        <v>351</v>
      </c>
      <c r="S383" s="56">
        <f>P1085</f>
        <v>2.215217</v>
      </c>
      <c r="Z383">
        <v>351</v>
      </c>
      <c r="AA383" s="58">
        <v>185.65747082089177</v>
      </c>
      <c r="AB383" s="59">
        <v>80.237995466572187</v>
      </c>
      <c r="AC383" s="59">
        <v>265.89546628746393</v>
      </c>
      <c r="AD383" s="60">
        <v>105.41947535431959</v>
      </c>
      <c r="AE383" s="61">
        <v>0.45351145712230923</v>
      </c>
      <c r="AF383" s="62">
        <v>0.22990822470261169</v>
      </c>
      <c r="AG383" s="62">
        <v>0.68341968182492097</v>
      </c>
      <c r="AH383" s="63">
        <v>0.22360323241969754</v>
      </c>
      <c r="AI383">
        <f t="shared" si="23"/>
        <v>12.266539894060395</v>
      </c>
      <c r="AJ383" s="64">
        <v>294.3969574574495</v>
      </c>
      <c r="AK383">
        <f t="shared" si="21"/>
        <v>12.266539894060395</v>
      </c>
      <c r="AM383" s="56">
        <v>352</v>
      </c>
      <c r="AN383" s="56">
        <f t="shared" si="22"/>
        <v>0.77171960188178446</v>
      </c>
    </row>
    <row r="384" spans="14:40" x14ac:dyDescent="0.25">
      <c r="N384" s="14">
        <v>117.333</v>
      </c>
      <c r="O384" s="14">
        <v>0</v>
      </c>
      <c r="P384">
        <v>0</v>
      </c>
      <c r="Q384" s="57"/>
      <c r="R384" s="56">
        <f>N1088</f>
        <v>352</v>
      </c>
      <c r="S384" s="56">
        <f>P1088</f>
        <v>2.2032290000000003</v>
      </c>
      <c r="Z384">
        <v>352</v>
      </c>
      <c r="AA384" s="58">
        <v>184.88575121901002</v>
      </c>
      <c r="AB384" s="59">
        <v>79.888583940299384</v>
      </c>
      <c r="AC384" s="59">
        <v>264.77433515930943</v>
      </c>
      <c r="AD384" s="60">
        <v>104.99716727871063</v>
      </c>
      <c r="AE384" s="61">
        <v>0.45163133395771632</v>
      </c>
      <c r="AF384" s="62">
        <v>0.22892564344808386</v>
      </c>
      <c r="AG384" s="62">
        <v>0.68055697740580023</v>
      </c>
      <c r="AH384" s="63">
        <v>0.22270569050963246</v>
      </c>
      <c r="AI384">
        <f t="shared" si="23"/>
        <v>12.31566915378666</v>
      </c>
      <c r="AJ384" s="64">
        <v>295.57605969087984</v>
      </c>
      <c r="AK384">
        <f t="shared" si="21"/>
        <v>12.31566915378666</v>
      </c>
      <c r="AM384" s="56">
        <v>353</v>
      </c>
      <c r="AN384" s="56">
        <f t="shared" si="22"/>
        <v>0.77171960188172761</v>
      </c>
    </row>
    <row r="385" spans="14:40" x14ac:dyDescent="0.25">
      <c r="N385" s="14">
        <v>117.667</v>
      </c>
      <c r="O385" s="14">
        <v>0.26169700000000001</v>
      </c>
      <c r="P385">
        <v>0</v>
      </c>
      <c r="Q385" s="57"/>
      <c r="R385" s="56">
        <f>N1091</f>
        <v>353</v>
      </c>
      <c r="S385" s="56">
        <f>P1091</f>
        <v>2.1881079999999997</v>
      </c>
      <c r="Z385">
        <v>353</v>
      </c>
      <c r="AA385" s="58">
        <v>184.11403161712823</v>
      </c>
      <c r="AB385" s="59">
        <v>79.539605641419797</v>
      </c>
      <c r="AC385" s="59">
        <v>263.65363725854803</v>
      </c>
      <c r="AD385" s="60">
        <v>104.57442597570844</v>
      </c>
      <c r="AE385" s="61">
        <v>0.44975121079312352</v>
      </c>
      <c r="AF385" s="62">
        <v>0.22794390423022892</v>
      </c>
      <c r="AG385" s="62">
        <v>0.67769511502335245</v>
      </c>
      <c r="AH385" s="63">
        <v>0.2218073065628946</v>
      </c>
      <c r="AI385">
        <f t="shared" si="23"/>
        <v>12.364798413512924</v>
      </c>
      <c r="AJ385" s="64">
        <v>296.75516192431019</v>
      </c>
      <c r="AK385">
        <f t="shared" si="21"/>
        <v>12.364798413512924</v>
      </c>
      <c r="AM385" s="56">
        <v>354</v>
      </c>
      <c r="AN385" s="56">
        <f t="shared" si="22"/>
        <v>0.75741445540253949</v>
      </c>
    </row>
    <row r="386" spans="14:40" x14ac:dyDescent="0.25">
      <c r="N386" s="14">
        <v>118</v>
      </c>
      <c r="O386" s="14">
        <v>4.5113800000000002E-4</v>
      </c>
      <c r="P386" s="14">
        <f>O386+O385+O384</f>
        <v>0.26214813800000003</v>
      </c>
      <c r="Q386" s="57"/>
      <c r="R386" s="56">
        <f>N1094</f>
        <v>354</v>
      </c>
      <c r="S386" s="56">
        <f>P1094</f>
        <v>2.1797810000000002</v>
      </c>
      <c r="Z386">
        <v>354</v>
      </c>
      <c r="AA386" s="58">
        <v>183.34231201524651</v>
      </c>
      <c r="AB386" s="59">
        <v>79.191066297357878</v>
      </c>
      <c r="AC386" s="59">
        <v>262.53337831260438</v>
      </c>
      <c r="AD386" s="60">
        <v>104.15124571788863</v>
      </c>
      <c r="AE386" s="61">
        <v>0.44787108762853067</v>
      </c>
      <c r="AF386" s="62">
        <v>0.22696301797585483</v>
      </c>
      <c r="AG386" s="62">
        <v>0.6748341056043855</v>
      </c>
      <c r="AH386" s="63">
        <v>0.22090806965267584</v>
      </c>
      <c r="AI386">
        <f t="shared" si="23"/>
        <v>12.158273498854962</v>
      </c>
      <c r="AJ386" s="64">
        <v>291.7985639725191</v>
      </c>
      <c r="AK386">
        <f t="shared" si="21"/>
        <v>12.158273498854962</v>
      </c>
      <c r="AM386" s="56">
        <v>355</v>
      </c>
      <c r="AN386" s="56">
        <f t="shared" si="22"/>
        <v>0.7279899767085567</v>
      </c>
    </row>
    <row r="387" spans="14:40" x14ac:dyDescent="0.25">
      <c r="N387" s="14">
        <v>118.333</v>
      </c>
      <c r="O387" s="14">
        <v>0</v>
      </c>
      <c r="P387">
        <v>0</v>
      </c>
      <c r="Q387" s="57"/>
      <c r="R387" s="56">
        <f>N1097</f>
        <v>355</v>
      </c>
      <c r="S387" s="56">
        <f>P1097</f>
        <v>2.1646649999999998</v>
      </c>
      <c r="Z387">
        <v>355</v>
      </c>
      <c r="AA387" s="58">
        <v>182.58489755984397</v>
      </c>
      <c r="AB387" s="59">
        <v>78.836362666631146</v>
      </c>
      <c r="AC387" s="59">
        <v>261.42126022647511</v>
      </c>
      <c r="AD387" s="60">
        <v>103.74853489321282</v>
      </c>
      <c r="AE387" s="61">
        <v>0.44602309564757381</v>
      </c>
      <c r="AF387" s="62">
        <v>0.22596552658636063</v>
      </c>
      <c r="AG387" s="62">
        <v>0.67198862223393441</v>
      </c>
      <c r="AH387" s="63">
        <v>0.22005756906121318</v>
      </c>
      <c r="AI387">
        <f t="shared" si="23"/>
        <v>11.429137677270319</v>
      </c>
      <c r="AJ387" s="64">
        <v>274.29930425448765</v>
      </c>
      <c r="AK387">
        <f t="shared" si="21"/>
        <v>11.429137677270319</v>
      </c>
      <c r="AM387" s="56">
        <v>356</v>
      </c>
      <c r="AN387" s="56">
        <f t="shared" si="22"/>
        <v>0.72710476167353022</v>
      </c>
    </row>
    <row r="388" spans="14:40" x14ac:dyDescent="0.25">
      <c r="N388" s="14">
        <v>118.667</v>
      </c>
      <c r="O388" s="14">
        <v>0.2616</v>
      </c>
      <c r="P388">
        <v>0</v>
      </c>
      <c r="Q388" s="57"/>
      <c r="R388" s="56">
        <f>N1100</f>
        <v>356</v>
      </c>
      <c r="S388" s="56">
        <f>P1100</f>
        <v>2.1548380000000003</v>
      </c>
      <c r="Z388">
        <v>356</v>
      </c>
      <c r="AA388" s="58">
        <v>181.85690758313541</v>
      </c>
      <c r="AB388" s="59">
        <v>78.468310556968291</v>
      </c>
      <c r="AC388" s="59">
        <v>260.32521814010369</v>
      </c>
      <c r="AD388" s="60">
        <v>103.38859702616712</v>
      </c>
      <c r="AE388" s="61">
        <v>0.44424119479890173</v>
      </c>
      <c r="AF388" s="62">
        <v>0.22493261268792403</v>
      </c>
      <c r="AG388" s="62">
        <v>0.66917380748682576</v>
      </c>
      <c r="AH388" s="63">
        <v>0.2193085821109777</v>
      </c>
      <c r="AI388">
        <f t="shared" si="23"/>
        <v>10.925547844524973</v>
      </c>
      <c r="AJ388" s="64">
        <v>262.21314826859935</v>
      </c>
      <c r="AK388">
        <f t="shared" si="21"/>
        <v>10.925547844524973</v>
      </c>
      <c r="AM388" s="56">
        <v>357</v>
      </c>
      <c r="AN388" s="56">
        <f t="shared" si="22"/>
        <v>0.72710476167344495</v>
      </c>
    </row>
    <row r="389" spans="14:40" x14ac:dyDescent="0.25">
      <c r="N389" s="14">
        <v>119</v>
      </c>
      <c r="O389" s="14">
        <v>4.5068300000000001E-4</v>
      </c>
      <c r="P389" s="14">
        <f>O389+O388+O387</f>
        <v>0.26205068300000001</v>
      </c>
      <c r="Q389" s="57"/>
      <c r="R389" s="56">
        <f>N1103</f>
        <v>357</v>
      </c>
      <c r="S389" s="56">
        <f>P1103</f>
        <v>2.1403440000000002</v>
      </c>
      <c r="Z389">
        <v>357</v>
      </c>
      <c r="AA389" s="58">
        <v>181.12980282146188</v>
      </c>
      <c r="AB389" s="59">
        <v>78.099992552772051</v>
      </c>
      <c r="AC389" s="59">
        <v>259.22979537423396</v>
      </c>
      <c r="AD389" s="60">
        <v>103.02981026868983</v>
      </c>
      <c r="AE389" s="61">
        <v>0.44246128225610898</v>
      </c>
      <c r="AF389" s="62">
        <v>0.22389894555539908</v>
      </c>
      <c r="AG389" s="62">
        <v>0.66636022781150805</v>
      </c>
      <c r="AH389" s="63">
        <v>0.2185623367007099</v>
      </c>
      <c r="AI389">
        <f t="shared" si="23"/>
        <v>10.914182575360632</v>
      </c>
      <c r="AJ389" s="64">
        <v>261.94038180865516</v>
      </c>
      <c r="AK389">
        <f t="shared" si="21"/>
        <v>10.914182575360632</v>
      </c>
      <c r="AM389" s="56">
        <v>358</v>
      </c>
      <c r="AN389" s="56">
        <f t="shared" si="22"/>
        <v>0.72710476167347338</v>
      </c>
    </row>
    <row r="390" spans="14:40" x14ac:dyDescent="0.25">
      <c r="N390" s="14">
        <v>119.333</v>
      </c>
      <c r="O390" s="14">
        <v>0</v>
      </c>
      <c r="P390">
        <v>0</v>
      </c>
      <c r="Q390" s="57"/>
      <c r="R390" s="56">
        <f>N1106</f>
        <v>358</v>
      </c>
      <c r="S390" s="56">
        <f>P1106</f>
        <v>2.1307100000000001</v>
      </c>
      <c r="Z390">
        <v>358</v>
      </c>
      <c r="AA390" s="58">
        <v>180.40269805978843</v>
      </c>
      <c r="AB390" s="59">
        <v>77.731819067541792</v>
      </c>
      <c r="AC390" s="59">
        <v>258.13451712733024</v>
      </c>
      <c r="AD390" s="60">
        <v>102.67087899224664</v>
      </c>
      <c r="AE390" s="61">
        <v>0.44068136971331623</v>
      </c>
      <c r="AF390" s="62">
        <v>0.22286560972338085</v>
      </c>
      <c r="AG390" s="62">
        <v>0.66354697943669705</v>
      </c>
      <c r="AH390" s="63">
        <v>0.21781575998993538</v>
      </c>
      <c r="AI390">
        <f t="shared" si="23"/>
        <v>10.917345127358667</v>
      </c>
      <c r="AJ390" s="64">
        <v>262.01628305660802</v>
      </c>
      <c r="AK390">
        <f t="shared" si="21"/>
        <v>10.917345127358667</v>
      </c>
      <c r="AM390" s="56">
        <v>359</v>
      </c>
      <c r="AN390" s="56">
        <f t="shared" si="22"/>
        <v>0.72710476167344495</v>
      </c>
    </row>
    <row r="391" spans="14:40" x14ac:dyDescent="0.25">
      <c r="N391" s="14">
        <v>119.667</v>
      </c>
      <c r="O391" s="14">
        <v>0.256274</v>
      </c>
      <c r="P391">
        <v>0</v>
      </c>
      <c r="Q391" s="57"/>
      <c r="R391" s="56">
        <f>N1109</f>
        <v>359</v>
      </c>
      <c r="S391" s="56">
        <f>P1109</f>
        <v>2.1162770000000002</v>
      </c>
      <c r="Z391">
        <v>359</v>
      </c>
      <c r="AA391" s="58">
        <v>179.67559329811496</v>
      </c>
      <c r="AB391" s="59">
        <v>77.363792164570683</v>
      </c>
      <c r="AC391" s="59">
        <v>257.03938546268563</v>
      </c>
      <c r="AD391" s="60">
        <v>102.31180113354428</v>
      </c>
      <c r="AE391" s="61">
        <v>0.43890145717052342</v>
      </c>
      <c r="AF391" s="62">
        <v>0.22183260982164038</v>
      </c>
      <c r="AG391" s="62">
        <v>0.66073406699216375</v>
      </c>
      <c r="AH391" s="63">
        <v>0.21706884734888304</v>
      </c>
      <c r="AI391">
        <f t="shared" si="23"/>
        <v>10.920507679356708</v>
      </c>
      <c r="AJ391" s="64">
        <v>262.09218430456099</v>
      </c>
      <c r="AK391">
        <f t="shared" si="21"/>
        <v>10.920507679356708</v>
      </c>
      <c r="AM391" s="56">
        <v>360</v>
      </c>
      <c r="AN391" s="56">
        <f t="shared" si="22"/>
        <v>0.7271047616735018</v>
      </c>
    </row>
    <row r="392" spans="14:40" x14ac:dyDescent="0.25">
      <c r="N392" s="14">
        <v>120</v>
      </c>
      <c r="O392" s="14">
        <v>5.0217399999999998E-4</v>
      </c>
      <c r="P392" s="14">
        <f>O392+O391+O390</f>
        <v>0.25677617400000002</v>
      </c>
      <c r="Q392" s="57"/>
      <c r="R392" s="56">
        <f>N1112</f>
        <v>360</v>
      </c>
      <c r="S392" s="56">
        <f>P1112</f>
        <v>2.1068069999999999</v>
      </c>
      <c r="Z392">
        <v>360</v>
      </c>
      <c r="AA392" s="58">
        <v>178.94848853644152</v>
      </c>
      <c r="AB392" s="59">
        <v>76.99591394577071</v>
      </c>
      <c r="AC392" s="59">
        <v>255.94440248221224</v>
      </c>
      <c r="AD392" s="60">
        <v>101.95257459067081</v>
      </c>
      <c r="AE392" s="61">
        <v>0.43712154462773073</v>
      </c>
      <c r="AF392" s="62">
        <v>0.22079995056506865</v>
      </c>
      <c r="AG392" s="62">
        <v>0.65792149519279941</v>
      </c>
      <c r="AH392" s="63">
        <v>0.21632159406266208</v>
      </c>
      <c r="AI392">
        <f t="shared" si="23"/>
        <v>10.923670231354748</v>
      </c>
      <c r="AJ392" s="64">
        <v>262.16808555251396</v>
      </c>
      <c r="AK392">
        <f t="shared" si="21"/>
        <v>10.923670231354748</v>
      </c>
      <c r="AM392" s="56">
        <v>361</v>
      </c>
      <c r="AN392" s="56">
        <f t="shared" si="22"/>
        <v>0.72710476167347338</v>
      </c>
    </row>
    <row r="393" spans="14:40" x14ac:dyDescent="0.25">
      <c r="N393" s="14">
        <v>120.333</v>
      </c>
      <c r="O393" s="14">
        <v>0</v>
      </c>
      <c r="P393">
        <v>0</v>
      </c>
      <c r="Q393" s="57"/>
      <c r="R393" s="56">
        <f>N1115</f>
        <v>361</v>
      </c>
      <c r="S393" s="56">
        <f>P1115</f>
        <v>2.090541</v>
      </c>
      <c r="Z393">
        <v>361</v>
      </c>
      <c r="AA393" s="58">
        <v>178.22138377476801</v>
      </c>
      <c r="AB393" s="59">
        <v>76.628186552560436</v>
      </c>
      <c r="AC393" s="59">
        <v>254.84957032732845</v>
      </c>
      <c r="AD393" s="60">
        <v>101.59319722220758</v>
      </c>
      <c r="AE393" s="61">
        <v>0.43534163208493798</v>
      </c>
      <c r="AF393" s="62">
        <v>0.21976763675560676</v>
      </c>
      <c r="AG393" s="62">
        <v>0.65510926884054477</v>
      </c>
      <c r="AH393" s="63">
        <v>0.21557399532933122</v>
      </c>
      <c r="AI393">
        <f t="shared" si="23"/>
        <v>10.926832783352785</v>
      </c>
      <c r="AJ393" s="64">
        <v>262.24398680046681</v>
      </c>
      <c r="AK393">
        <f t="shared" si="21"/>
        <v>10.926832783352785</v>
      </c>
      <c r="AM393" s="56">
        <v>362</v>
      </c>
      <c r="AN393" s="56">
        <f t="shared" si="22"/>
        <v>0.72710476167347338</v>
      </c>
    </row>
    <row r="394" spans="14:40" x14ac:dyDescent="0.25">
      <c r="N394" s="14">
        <v>120.667</v>
      </c>
      <c r="O394" s="14">
        <v>0.26108799999999999</v>
      </c>
      <c r="P394">
        <v>0</v>
      </c>
      <c r="Q394" s="57"/>
      <c r="R394" s="56">
        <f>N1118</f>
        <v>362</v>
      </c>
      <c r="S394" s="56">
        <f>P1118</f>
        <v>2.0840939999999999</v>
      </c>
      <c r="Z394">
        <v>362</v>
      </c>
      <c r="AA394" s="58">
        <v>177.49427901309454</v>
      </c>
      <c r="AB394" s="59">
        <v>76.260612166775061</v>
      </c>
      <c r="AC394" s="59">
        <v>253.75489117986962</v>
      </c>
      <c r="AD394" s="60">
        <v>101.23366684631948</v>
      </c>
      <c r="AE394" s="61">
        <v>0.43356171954214523</v>
      </c>
      <c r="AF394" s="62">
        <v>0.2187356732842238</v>
      </c>
      <c r="AG394" s="62">
        <v>0.652297392826369</v>
      </c>
      <c r="AH394" s="63">
        <v>0.21482604625792143</v>
      </c>
      <c r="AI394">
        <f t="shared" si="23"/>
        <v>10.929995335350824</v>
      </c>
      <c r="AJ394" s="64">
        <v>262.31988804841978</v>
      </c>
      <c r="AK394">
        <f t="shared" si="21"/>
        <v>10.929995335350824</v>
      </c>
      <c r="AM394" s="56">
        <v>363</v>
      </c>
      <c r="AN394" s="56">
        <f t="shared" si="22"/>
        <v>0.7271047616735018</v>
      </c>
    </row>
    <row r="395" spans="14:40" x14ac:dyDescent="0.25">
      <c r="N395" s="14">
        <v>121</v>
      </c>
      <c r="O395" s="14">
        <v>4.5305900000000001E-4</v>
      </c>
      <c r="P395" s="14">
        <f>O395+O394+O393</f>
        <v>0.26154105899999996</v>
      </c>
      <c r="Q395" s="57"/>
      <c r="R395" s="56">
        <f>N1121</f>
        <v>363</v>
      </c>
      <c r="S395" s="56">
        <f>P1121</f>
        <v>2.068314</v>
      </c>
      <c r="Z395">
        <v>363</v>
      </c>
      <c r="AA395" s="58">
        <v>176.76717425142107</v>
      </c>
      <c r="AB395" s="59">
        <v>75.893193011602719</v>
      </c>
      <c r="AC395" s="59">
        <v>252.66036726302377</v>
      </c>
      <c r="AD395" s="60">
        <v>100.87398123981835</v>
      </c>
      <c r="AE395" s="61">
        <v>0.43178180699935248</v>
      </c>
      <c r="AF395" s="62">
        <v>0.21770406513295085</v>
      </c>
      <c r="AG395" s="62">
        <v>0.64948587213230335</v>
      </c>
      <c r="AH395" s="63">
        <v>0.21407774186640163</v>
      </c>
      <c r="AI395">
        <f t="shared" si="23"/>
        <v>10.933157887348862</v>
      </c>
      <c r="AJ395" s="64">
        <v>262.3957892963727</v>
      </c>
      <c r="AK395">
        <f t="shared" si="21"/>
        <v>10.933157887348862</v>
      </c>
      <c r="AM395" s="56">
        <v>364</v>
      </c>
      <c r="AN395" s="56">
        <f t="shared" si="22"/>
        <v>0.72710476167344495</v>
      </c>
    </row>
    <row r="396" spans="14:40" x14ac:dyDescent="0.25">
      <c r="N396" s="14">
        <v>121.333</v>
      </c>
      <c r="O396" s="14">
        <v>0</v>
      </c>
      <c r="P396">
        <v>0</v>
      </c>
      <c r="Q396" s="57"/>
      <c r="R396" s="56">
        <f>N1124</f>
        <v>364</v>
      </c>
      <c r="S396" s="56">
        <f>P1124</f>
        <v>2.0600379999999996</v>
      </c>
      <c r="Z396">
        <v>364</v>
      </c>
      <c r="AA396" s="58">
        <v>176.04006948974757</v>
      </c>
      <c r="AB396" s="59">
        <v>75.525931352544731</v>
      </c>
      <c r="AC396" s="59">
        <v>251.56600084229228</v>
      </c>
      <c r="AD396" s="60">
        <v>100.51413813720283</v>
      </c>
      <c r="AE396" s="61">
        <v>0.43000189445655973</v>
      </c>
      <c r="AF396" s="62">
        <v>0.21667281737696673</v>
      </c>
      <c r="AG396" s="62">
        <v>0.64667471183352643</v>
      </c>
      <c r="AH396" s="63">
        <v>0.213329077079593</v>
      </c>
      <c r="AI396">
        <f t="shared" si="23"/>
        <v>10.9363204393469</v>
      </c>
      <c r="AJ396" s="64">
        <v>262.47169054432561</v>
      </c>
      <c r="AK396">
        <f t="shared" si="21"/>
        <v>10.9363204393469</v>
      </c>
      <c r="AM396" s="56">
        <v>365</v>
      </c>
      <c r="AN396" s="56">
        <f t="shared" si="22"/>
        <v>0.72710476167344495</v>
      </c>
    </row>
    <row r="397" spans="14:40" x14ac:dyDescent="0.25">
      <c r="N397" s="14">
        <v>121.667</v>
      </c>
      <c r="O397" s="14">
        <v>0.25536300000000001</v>
      </c>
      <c r="P397">
        <v>0</v>
      </c>
      <c r="Q397" s="57"/>
      <c r="R397" s="56">
        <f>N1127</f>
        <v>365</v>
      </c>
      <c r="S397" s="56">
        <f>P1127</f>
        <v>2.0457550000000002</v>
      </c>
      <c r="Z397">
        <v>365</v>
      </c>
      <c r="AA397" s="58">
        <v>175.31296472807412</v>
      </c>
      <c r="AB397" s="59">
        <v>75.158829498402881</v>
      </c>
      <c r="AC397" s="59">
        <v>250.47179422647702</v>
      </c>
      <c r="AD397" s="60">
        <v>100.15413522967124</v>
      </c>
      <c r="AE397" s="61">
        <v>0.42822198191376698</v>
      </c>
      <c r="AF397" s="62">
        <v>0.21564193518674307</v>
      </c>
      <c r="AG397" s="62">
        <v>0.64386391710051005</v>
      </c>
      <c r="AH397" s="63">
        <v>0.21258004672702391</v>
      </c>
      <c r="AI397">
        <f t="shared" si="23"/>
        <v>10.93948299134494</v>
      </c>
      <c r="AJ397" s="64">
        <v>262.54759179227858</v>
      </c>
      <c r="AK397">
        <f t="shared" si="21"/>
        <v>10.93948299134494</v>
      </c>
      <c r="AM397" s="56">
        <v>366</v>
      </c>
      <c r="AN397" s="56">
        <f t="shared" si="22"/>
        <v>0.72710476167347338</v>
      </c>
    </row>
    <row r="398" spans="14:40" x14ac:dyDescent="0.25">
      <c r="N398" s="14">
        <v>122</v>
      </c>
      <c r="O398" s="14">
        <v>5.0868400000000002E-4</v>
      </c>
      <c r="P398" s="14">
        <f>O398+O397+O396</f>
        <v>0.25587168399999999</v>
      </c>
      <c r="Q398" s="57"/>
      <c r="R398" s="56">
        <f>N1130</f>
        <v>366</v>
      </c>
      <c r="S398" s="56">
        <f>P1130</f>
        <v>2.036708</v>
      </c>
      <c r="Z398">
        <v>366</v>
      </c>
      <c r="AA398" s="58">
        <v>174.58585996640068</v>
      </c>
      <c r="AB398" s="59">
        <v>74.791889802294293</v>
      </c>
      <c r="AC398" s="59">
        <v>249.37774976869497</v>
      </c>
      <c r="AD398" s="60">
        <v>99.793970164106383</v>
      </c>
      <c r="AE398" s="61">
        <v>0.42644206937097423</v>
      </c>
      <c r="AF398" s="62">
        <v>0.21461142383024653</v>
      </c>
      <c r="AG398" s="62">
        <v>0.64105349320122074</v>
      </c>
      <c r="AH398" s="63">
        <v>0.2118306455407277</v>
      </c>
      <c r="AI398">
        <f t="shared" si="23"/>
        <v>10.942645543342978</v>
      </c>
      <c r="AJ398" s="64">
        <v>262.62349304023149</v>
      </c>
      <c r="AK398">
        <f t="shared" si="21"/>
        <v>10.942645543342978</v>
      </c>
      <c r="AM398" s="56">
        <v>367</v>
      </c>
      <c r="AN398" s="56">
        <f t="shared" si="22"/>
        <v>0.72710476167347338</v>
      </c>
    </row>
    <row r="399" spans="14:40" x14ac:dyDescent="0.25">
      <c r="N399" s="14">
        <v>122.333</v>
      </c>
      <c r="O399" s="14">
        <v>0</v>
      </c>
      <c r="P399">
        <v>0</v>
      </c>
      <c r="Q399" s="57"/>
      <c r="R399" s="56">
        <f>N1133</f>
        <v>367</v>
      </c>
      <c r="S399" s="56">
        <f>P1133</f>
        <v>2.0228889999999997</v>
      </c>
      <c r="Z399">
        <v>367</v>
      </c>
      <c r="AA399" s="58">
        <v>173.8587552047272</v>
      </c>
      <c r="AB399" s="59">
        <v>74.425114662692152</v>
      </c>
      <c r="AC399" s="59">
        <v>248.28386986741936</v>
      </c>
      <c r="AD399" s="60">
        <v>99.43364054203505</v>
      </c>
      <c r="AE399" s="61">
        <v>0.42466215682818148</v>
      </c>
      <c r="AF399" s="62">
        <v>0.21358128867519902</v>
      </c>
      <c r="AG399" s="62">
        <v>0.63824344550338052</v>
      </c>
      <c r="AH399" s="63">
        <v>0.21108086815298246</v>
      </c>
      <c r="AI399">
        <f t="shared" si="23"/>
        <v>10.945808095341016</v>
      </c>
      <c r="AJ399" s="64">
        <v>262.69939428818441</v>
      </c>
      <c r="AK399">
        <f t="shared" si="21"/>
        <v>10.945808095341016</v>
      </c>
      <c r="AM399" s="56">
        <v>368</v>
      </c>
      <c r="AN399" s="56">
        <f t="shared" si="22"/>
        <v>0.72710476167347338</v>
      </c>
    </row>
    <row r="400" spans="14:40" x14ac:dyDescent="0.25">
      <c r="N400" s="14">
        <v>122.667</v>
      </c>
      <c r="O400" s="14">
        <v>0.25511</v>
      </c>
      <c r="P400">
        <v>0</v>
      </c>
      <c r="Q400" s="57"/>
      <c r="R400" s="56">
        <f>N1136</f>
        <v>368</v>
      </c>
      <c r="S400" s="56">
        <f>P1136</f>
        <v>2.011679</v>
      </c>
      <c r="Z400">
        <v>368</v>
      </c>
      <c r="AA400" s="58">
        <v>173.13165044305373</v>
      </c>
      <c r="AB400" s="59">
        <v>74.058506524497474</v>
      </c>
      <c r="AC400" s="59">
        <v>247.19015696755122</v>
      </c>
      <c r="AD400" s="60">
        <v>99.073143918556255</v>
      </c>
      <c r="AE400" s="61">
        <v>0.42288224428538873</v>
      </c>
      <c r="AF400" s="62">
        <v>0.21255153519140371</v>
      </c>
      <c r="AG400" s="62">
        <v>0.63543377947679247</v>
      </c>
      <c r="AH400" s="63">
        <v>0.21033070909398502</v>
      </c>
      <c r="AI400">
        <f t="shared" si="23"/>
        <v>10.948970647339058</v>
      </c>
      <c r="AJ400" s="64">
        <v>262.77529553613738</v>
      </c>
      <c r="AK400">
        <f t="shared" si="21"/>
        <v>10.948970647339058</v>
      </c>
      <c r="AM400" s="56">
        <v>369</v>
      </c>
      <c r="AN400" s="56">
        <f t="shared" si="22"/>
        <v>0.72710476167347338</v>
      </c>
    </row>
    <row r="401" spans="14:40" x14ac:dyDescent="0.25">
      <c r="N401" s="14">
        <v>123</v>
      </c>
      <c r="O401" s="14">
        <v>5.1019399999999995E-4</v>
      </c>
      <c r="P401" s="14">
        <f>O401+O400+O399</f>
        <v>0.25562019400000002</v>
      </c>
      <c r="Q401" s="57"/>
      <c r="R401" s="56">
        <f>N1139</f>
        <v>369</v>
      </c>
      <c r="S401" s="56">
        <f>P1139</f>
        <v>2.0015960000000002</v>
      </c>
      <c r="Z401">
        <v>369</v>
      </c>
      <c r="AA401" s="58">
        <v>172.40454568138026</v>
      </c>
      <c r="AB401" s="59">
        <v>73.692067880138964</v>
      </c>
      <c r="AC401" s="59">
        <v>246.09661356151923</v>
      </c>
      <c r="AD401" s="60">
        <v>98.712477801241292</v>
      </c>
      <c r="AE401" s="61">
        <v>0.42110233174259598</v>
      </c>
      <c r="AF401" s="62">
        <v>0.21152216895313208</v>
      </c>
      <c r="AG401" s="62">
        <v>0.63262450069572806</v>
      </c>
      <c r="AH401" s="63">
        <v>0.2095801627894639</v>
      </c>
      <c r="AI401">
        <f t="shared" si="23"/>
        <v>10.952133199337093</v>
      </c>
      <c r="AJ401" s="64">
        <v>262.85119678409023</v>
      </c>
      <c r="AK401">
        <f t="shared" si="21"/>
        <v>10.952133199337093</v>
      </c>
      <c r="AM401" s="56">
        <v>370</v>
      </c>
      <c r="AN401" s="56">
        <f t="shared" si="22"/>
        <v>0.72710476167347338</v>
      </c>
    </row>
    <row r="402" spans="14:40" x14ac:dyDescent="0.25">
      <c r="N402" s="14">
        <v>123.333</v>
      </c>
      <c r="O402" s="14">
        <v>0</v>
      </c>
      <c r="P402">
        <v>0</v>
      </c>
      <c r="Q402" s="57"/>
      <c r="R402" s="56">
        <f>N1142</f>
        <v>370</v>
      </c>
      <c r="S402" s="56">
        <f>P1142</f>
        <v>1.9906170000000001</v>
      </c>
      <c r="Z402">
        <v>370</v>
      </c>
      <c r="AA402" s="58">
        <v>171.67744091970678</v>
      </c>
      <c r="AB402" s="59">
        <v>73.32580127070419</v>
      </c>
      <c r="AC402" s="59">
        <v>245.00324219041096</v>
      </c>
      <c r="AD402" s="60">
        <v>98.351639649002593</v>
      </c>
      <c r="AE402" s="61">
        <v>0.41932241919980318</v>
      </c>
      <c r="AF402" s="62">
        <v>0.21049319564157684</v>
      </c>
      <c r="AG402" s="62">
        <v>0.62981561484138004</v>
      </c>
      <c r="AH402" s="63">
        <v>0.20882922355822633</v>
      </c>
      <c r="AI402">
        <f t="shared" si="23"/>
        <v>10.955295751335134</v>
      </c>
      <c r="AJ402" s="64">
        <v>262.9270980320432</v>
      </c>
      <c r="AK402">
        <f t="shared" si="21"/>
        <v>10.955295751335134</v>
      </c>
      <c r="AM402" s="56">
        <v>371</v>
      </c>
      <c r="AN402" s="56">
        <f t="shared" si="22"/>
        <v>0.7271047616735018</v>
      </c>
    </row>
    <row r="403" spans="14:40" x14ac:dyDescent="0.25">
      <c r="N403" s="14">
        <v>123.667</v>
      </c>
      <c r="O403" s="14">
        <v>0.25320700000000002</v>
      </c>
      <c r="P403">
        <v>0</v>
      </c>
      <c r="Q403" s="57"/>
      <c r="R403" s="56">
        <f>N1145</f>
        <v>371</v>
      </c>
      <c r="S403" s="56">
        <f>P1145</f>
        <v>1.978205</v>
      </c>
      <c r="Z403">
        <v>371</v>
      </c>
      <c r="AA403" s="58">
        <v>170.95033615803331</v>
      </c>
      <c r="AB403" s="59">
        <v>72.95970928710183</v>
      </c>
      <c r="AC403" s="59">
        <v>243.91004544513515</v>
      </c>
      <c r="AD403" s="60">
        <v>97.990626870931479</v>
      </c>
      <c r="AE403" s="61">
        <v>0.41754250665701043</v>
      </c>
      <c r="AF403" s="62">
        <v>0.20946462104737334</v>
      </c>
      <c r="AG403" s="62">
        <v>0.62700712770438383</v>
      </c>
      <c r="AH403" s="63">
        <v>0.20807788560963708</v>
      </c>
      <c r="AI403">
        <f t="shared" si="23"/>
        <v>10.958458303333174</v>
      </c>
      <c r="AJ403" s="64">
        <v>263.00299927999617</v>
      </c>
      <c r="AK403">
        <f t="shared" si="21"/>
        <v>10.958458303333174</v>
      </c>
      <c r="AM403" s="56">
        <v>372</v>
      </c>
      <c r="AN403" s="56">
        <f t="shared" si="22"/>
        <v>0.72710476167347338</v>
      </c>
    </row>
    <row r="404" spans="14:40" x14ac:dyDescent="0.25">
      <c r="N404" s="14">
        <v>124</v>
      </c>
      <c r="O404" s="14">
        <v>5.2911699999999996E-4</v>
      </c>
      <c r="P404" s="14">
        <f>O404+O403+O402</f>
        <v>0.25373611700000004</v>
      </c>
      <c r="Q404" s="57"/>
      <c r="R404" s="56">
        <f>N1148</f>
        <v>372</v>
      </c>
      <c r="S404" s="56">
        <f>P1148</f>
        <v>1.9686349999999999</v>
      </c>
      <c r="Z404">
        <v>372</v>
      </c>
      <c r="AA404" s="58">
        <v>170.22323139635981</v>
      </c>
      <c r="AB404" s="59">
        <v>72.593794571256865</v>
      </c>
      <c r="AC404" s="59">
        <v>242.81702596761667</v>
      </c>
      <c r="AD404" s="60">
        <v>97.629436825102943</v>
      </c>
      <c r="AE404" s="61">
        <v>0.41576259411421773</v>
      </c>
      <c r="AF404" s="62">
        <v>0.20843645107319225</v>
      </c>
      <c r="AG404" s="62">
        <v>0.62419904518740998</v>
      </c>
      <c r="AH404" s="63">
        <v>0.20732614304102548</v>
      </c>
      <c r="AI404">
        <f t="shared" si="23"/>
        <v>10.96162085533121</v>
      </c>
      <c r="AJ404" s="64">
        <v>263.07890052794903</v>
      </c>
      <c r="AK404">
        <f t="shared" si="21"/>
        <v>10.96162085533121</v>
      </c>
      <c r="AM404" s="56">
        <v>373</v>
      </c>
      <c r="AN404" s="56">
        <f t="shared" si="22"/>
        <v>0.72710476167344495</v>
      </c>
    </row>
    <row r="405" spans="14:40" x14ac:dyDescent="0.25">
      <c r="N405" s="14">
        <v>124.333</v>
      </c>
      <c r="O405" s="14">
        <v>0</v>
      </c>
      <c r="P405">
        <v>0</v>
      </c>
      <c r="Q405" s="57"/>
      <c r="R405" s="56">
        <f>N1151</f>
        <v>373</v>
      </c>
      <c r="S405" s="56">
        <f>P1151</f>
        <v>1.9560849999999999</v>
      </c>
      <c r="Z405">
        <v>373</v>
      </c>
      <c r="AA405" s="58">
        <v>169.49612663468633</v>
      </c>
      <c r="AB405" s="59">
        <v>72.228059817338874</v>
      </c>
      <c r="AC405" s="59">
        <v>241.72418645202521</v>
      </c>
      <c r="AD405" s="60">
        <v>97.26806681734746</v>
      </c>
      <c r="AE405" s="61">
        <v>0.41398268157142493</v>
      </c>
      <c r="AF405" s="62">
        <v>0.20740869173640183</v>
      </c>
      <c r="AG405" s="62">
        <v>0.62139137330782679</v>
      </c>
      <c r="AH405" s="63">
        <v>0.20657398983502309</v>
      </c>
      <c r="AI405">
        <f t="shared" si="23"/>
        <v>10.96478340732925</v>
      </c>
      <c r="AJ405" s="64">
        <v>263.154801775902</v>
      </c>
      <c r="AK405">
        <f t="shared" si="21"/>
        <v>10.96478340732925</v>
      </c>
      <c r="AM405" s="56">
        <v>374</v>
      </c>
      <c r="AN405" s="56">
        <f t="shared" si="22"/>
        <v>0.72710476167347338</v>
      </c>
    </row>
    <row r="406" spans="14:40" x14ac:dyDescent="0.25">
      <c r="N406" s="14">
        <v>124.667</v>
      </c>
      <c r="O406" s="14">
        <v>0.246452</v>
      </c>
      <c r="P406">
        <v>0</v>
      </c>
      <c r="Q406" s="57"/>
      <c r="R406" s="56">
        <f>N1154</f>
        <v>374</v>
      </c>
      <c r="S406" s="56">
        <f>P1154</f>
        <v>1.946536</v>
      </c>
      <c r="Z406">
        <v>374</v>
      </c>
      <c r="AA406" s="58">
        <v>168.76902187301289</v>
      </c>
      <c r="AB406" s="59">
        <v>71.862507773025257</v>
      </c>
      <c r="AC406" s="59">
        <v>240.63152964603813</v>
      </c>
      <c r="AD406" s="60">
        <v>96.906514099987632</v>
      </c>
      <c r="AE406" s="61">
        <v>0.41220276902863218</v>
      </c>
      <c r="AF406" s="62">
        <v>0.20638134917180642</v>
      </c>
      <c r="AG406" s="62">
        <v>0.61858411820043857</v>
      </c>
      <c r="AH406" s="63">
        <v>0.20582141985682575</v>
      </c>
      <c r="AI406">
        <f t="shared" si="23"/>
        <v>10.967945959327288</v>
      </c>
      <c r="AJ406" s="64">
        <v>263.23070302385491</v>
      </c>
      <c r="AK406">
        <f t="shared" si="21"/>
        <v>10.967945959327288</v>
      </c>
      <c r="AM406" s="56">
        <v>375</v>
      </c>
      <c r="AN406" s="56">
        <f t="shared" si="22"/>
        <v>0.7271047616735018</v>
      </c>
    </row>
    <row r="407" spans="14:40" x14ac:dyDescent="0.25">
      <c r="N407" s="14">
        <v>125</v>
      </c>
      <c r="O407" s="14">
        <v>6.0678399999999997E-4</v>
      </c>
      <c r="P407" s="14">
        <f>O407+O406+O405</f>
        <v>0.247058784</v>
      </c>
      <c r="Q407" s="57"/>
      <c r="R407" s="56">
        <f>N1157</f>
        <v>375</v>
      </c>
      <c r="S407" s="56">
        <f>P1157</f>
        <v>1.9342600000000001</v>
      </c>
      <c r="Z407">
        <v>375</v>
      </c>
      <c r="AA407" s="58">
        <v>168.04191711133942</v>
      </c>
      <c r="AB407" s="59">
        <v>71.497141240800516</v>
      </c>
      <c r="AC407" s="59">
        <v>239.53905835213993</v>
      </c>
      <c r="AD407" s="60">
        <v>96.544775870538899</v>
      </c>
      <c r="AE407" s="61">
        <v>0.41042285648583948</v>
      </c>
      <c r="AF407" s="62">
        <v>0.20535442963446232</v>
      </c>
      <c r="AG407" s="62">
        <v>0.6157772861203018</v>
      </c>
      <c r="AH407" s="63">
        <v>0.20506842685137716</v>
      </c>
      <c r="AI407">
        <f t="shared" si="23"/>
        <v>10.971108511325326</v>
      </c>
      <c r="AJ407" s="64">
        <v>263.30660427180783</v>
      </c>
      <c r="AK407">
        <f t="shared" si="21"/>
        <v>10.971108511325326</v>
      </c>
      <c r="AM407" s="56">
        <v>376</v>
      </c>
      <c r="AN407" s="56">
        <f t="shared" si="22"/>
        <v>0.72710476167347338</v>
      </c>
    </row>
    <row r="408" spans="14:40" x14ac:dyDescent="0.25">
      <c r="N408" s="14">
        <v>125.333</v>
      </c>
      <c r="O408" s="14">
        <v>0</v>
      </c>
      <c r="P408">
        <v>0</v>
      </c>
      <c r="Q408" s="57"/>
      <c r="R408" s="56">
        <f>N1160</f>
        <v>376</v>
      </c>
      <c r="S408" s="56">
        <f>P1160</f>
        <v>1.9240599999999999</v>
      </c>
      <c r="Z408">
        <v>376</v>
      </c>
      <c r="AA408" s="58">
        <v>167.31481234966591</v>
      </c>
      <c r="AB408" s="59">
        <v>71.131963079291324</v>
      </c>
      <c r="AC408" s="59">
        <v>238.44677542895724</v>
      </c>
      <c r="AD408" s="60">
        <v>96.182849270374589</v>
      </c>
      <c r="AE408" s="61">
        <v>0.40864294394304673</v>
      </c>
      <c r="AF408" s="62">
        <v>0.2043279395025715</v>
      </c>
      <c r="AG408" s="62">
        <v>0.61297088344561823</v>
      </c>
      <c r="AH408" s="63">
        <v>0.20431500444047523</v>
      </c>
      <c r="AI408">
        <f t="shared" si="23"/>
        <v>10.974271063323366</v>
      </c>
      <c r="AJ408" s="64">
        <v>263.3825055197608</v>
      </c>
      <c r="AK408">
        <f t="shared" si="21"/>
        <v>10.974271063323366</v>
      </c>
      <c r="AM408" s="56">
        <v>377</v>
      </c>
      <c r="AN408" s="56">
        <f t="shared" si="22"/>
        <v>0.72142796116830255</v>
      </c>
    </row>
    <row r="409" spans="14:40" x14ac:dyDescent="0.25">
      <c r="N409" s="14">
        <v>125.667</v>
      </c>
      <c r="O409" s="14">
        <v>0.251857</v>
      </c>
      <c r="P409">
        <v>0</v>
      </c>
      <c r="Q409" s="57"/>
      <c r="R409" s="56">
        <f>N1163</f>
        <v>377</v>
      </c>
      <c r="S409" s="56">
        <f>P1163</f>
        <v>1.911972</v>
      </c>
      <c r="Z409">
        <v>377</v>
      </c>
      <c r="AA409" s="58">
        <v>166.58770758799244</v>
      </c>
      <c r="AB409" s="59">
        <v>70.766976204640542</v>
      </c>
      <c r="AC409" s="59">
        <v>237.35468379263298</v>
      </c>
      <c r="AD409" s="60">
        <v>95.820731383351898</v>
      </c>
      <c r="AE409" s="61">
        <v>0.40686303140025398</v>
      </c>
      <c r="AF409" s="62">
        <v>0.20330188528045812</v>
      </c>
      <c r="AG409" s="62">
        <v>0.61016491668071215</v>
      </c>
      <c r="AH409" s="63">
        <v>0.20356114611979587</v>
      </c>
      <c r="AI409">
        <f t="shared" si="23"/>
        <v>10.977433615321404</v>
      </c>
      <c r="AJ409" s="64">
        <v>263.45840676771371</v>
      </c>
      <c r="AK409">
        <f t="shared" si="21"/>
        <v>10.977433615321404</v>
      </c>
      <c r="AM409" s="56">
        <v>378</v>
      </c>
      <c r="AN409" s="56">
        <f t="shared" si="22"/>
        <v>0.71052413205700304</v>
      </c>
    </row>
    <row r="410" spans="14:40" x14ac:dyDescent="0.25">
      <c r="N410" s="14">
        <v>126</v>
      </c>
      <c r="O410" s="14">
        <v>5.4090500000000005E-4</v>
      </c>
      <c r="P410" s="14">
        <f>O410+O409+O408</f>
        <v>0.25239790499999998</v>
      </c>
      <c r="Q410" s="57"/>
      <c r="R410" s="56">
        <f>N1166</f>
        <v>378</v>
      </c>
      <c r="S410" s="56">
        <f>P1166</f>
        <v>1.903354</v>
      </c>
      <c r="Z410">
        <v>378</v>
      </c>
      <c r="AA410" s="58">
        <v>165.86627962682414</v>
      </c>
      <c r="AB410" s="59">
        <v>70.397498035886926</v>
      </c>
      <c r="AC410" s="59">
        <v>236.26377766271105</v>
      </c>
      <c r="AD410" s="60">
        <v>95.468781590937212</v>
      </c>
      <c r="AE410" s="61">
        <v>0.40509575667593023</v>
      </c>
      <c r="AF410" s="62">
        <v>0.20226563206925605</v>
      </c>
      <c r="AG410" s="62">
        <v>0.6073613887451863</v>
      </c>
      <c r="AH410" s="63">
        <v>0.20283012460667418</v>
      </c>
      <c r="AI410">
        <f t="shared" si="23"/>
        <v>10.980596167319442</v>
      </c>
      <c r="AJ410" s="64">
        <v>263.53430801566662</v>
      </c>
      <c r="AK410">
        <f t="shared" si="21"/>
        <v>10.980596167319442</v>
      </c>
      <c r="AM410" s="56">
        <v>379</v>
      </c>
      <c r="AN410" s="56">
        <f t="shared" si="22"/>
        <v>0.71025365207606228</v>
      </c>
    </row>
    <row r="411" spans="14:40" x14ac:dyDescent="0.25">
      <c r="N411" s="14">
        <v>126.333</v>
      </c>
      <c r="O411" s="14">
        <v>0</v>
      </c>
      <c r="P411">
        <v>0</v>
      </c>
      <c r="Q411" s="57"/>
      <c r="R411" s="56">
        <f>N1169</f>
        <v>379</v>
      </c>
      <c r="S411" s="56">
        <f>P1169</f>
        <v>1.891187</v>
      </c>
      <c r="Z411">
        <v>379</v>
      </c>
      <c r="AA411" s="58">
        <v>165.15575549476713</v>
      </c>
      <c r="AB411" s="59">
        <v>70.019242899280385</v>
      </c>
      <c r="AC411" s="59">
        <v>235.17499839404752</v>
      </c>
      <c r="AD411" s="60">
        <v>95.136512595486749</v>
      </c>
      <c r="AE411" s="61">
        <v>0.40335275629642503</v>
      </c>
      <c r="AF411" s="62">
        <v>0.20120943004789837</v>
      </c>
      <c r="AG411" s="62">
        <v>0.60456218634432335</v>
      </c>
      <c r="AH411" s="63">
        <v>0.20214332624852666</v>
      </c>
      <c r="AI411">
        <f t="shared" si="23"/>
        <v>10.983758719317484</v>
      </c>
      <c r="AJ411" s="64">
        <v>263.61020926361959</v>
      </c>
      <c r="AK411">
        <f t="shared" si="21"/>
        <v>10.983758719317484</v>
      </c>
      <c r="AM411" s="56">
        <v>380</v>
      </c>
      <c r="AN411" s="56">
        <f t="shared" si="22"/>
        <v>0.7102536520760907</v>
      </c>
    </row>
    <row r="412" spans="14:40" x14ac:dyDescent="0.25">
      <c r="N412" s="14">
        <v>126.667</v>
      </c>
      <c r="O412" s="14">
        <v>0.24182300000000001</v>
      </c>
      <c r="P412">
        <v>0</v>
      </c>
      <c r="Q412" s="57"/>
      <c r="R412" s="56">
        <f>N1172</f>
        <v>380</v>
      </c>
      <c r="S412" s="56">
        <f>P1172</f>
        <v>1.8819510000000004</v>
      </c>
      <c r="Z412">
        <v>380</v>
      </c>
      <c r="AA412" s="58">
        <v>164.44550184269107</v>
      </c>
      <c r="AB412" s="59">
        <v>69.641004824665529</v>
      </c>
      <c r="AC412" s="59">
        <v>234.08650666735662</v>
      </c>
      <c r="AD412" s="60">
        <v>94.804497018025543</v>
      </c>
      <c r="AE412" s="61">
        <v>0.401610358065418</v>
      </c>
      <c r="AF412" s="62">
        <v>0.20015324242418606</v>
      </c>
      <c r="AG412" s="62">
        <v>0.60176360048960409</v>
      </c>
      <c r="AH412" s="63">
        <v>0.20145711564123195</v>
      </c>
      <c r="AI412">
        <f t="shared" si="23"/>
        <v>10.986921271315518</v>
      </c>
      <c r="AJ412" s="64">
        <v>263.68611051157245</v>
      </c>
      <c r="AK412">
        <f t="shared" si="21"/>
        <v>10.986921271315518</v>
      </c>
      <c r="AM412" s="56">
        <v>381</v>
      </c>
      <c r="AN412" s="56">
        <f t="shared" si="22"/>
        <v>0.71221499506049213</v>
      </c>
    </row>
    <row r="413" spans="14:40" x14ac:dyDescent="0.25">
      <c r="N413" s="14">
        <v>127</v>
      </c>
      <c r="O413" s="14">
        <v>6.6453900000000002E-4</v>
      </c>
      <c r="P413" s="14">
        <f>O413+O412+O411</f>
        <v>0.242487539</v>
      </c>
      <c r="Q413" s="57"/>
      <c r="R413" s="56">
        <f>N1175</f>
        <v>381</v>
      </c>
      <c r="S413" s="56">
        <f>P1175</f>
        <v>1.8702130000000001</v>
      </c>
      <c r="Z413">
        <v>381</v>
      </c>
      <c r="AA413" s="58">
        <v>163.73524819061498</v>
      </c>
      <c r="AB413" s="59">
        <v>69.263010922348556</v>
      </c>
      <c r="AC413" s="59">
        <v>232.99825911296352</v>
      </c>
      <c r="AD413" s="60">
        <v>94.472237268266426</v>
      </c>
      <c r="AE413" s="61">
        <v>0.39986795983441092</v>
      </c>
      <c r="AF413" s="62">
        <v>0.19909758439612826</v>
      </c>
      <c r="AG413" s="62">
        <v>0.59896554423053916</v>
      </c>
      <c r="AH413" s="63">
        <v>0.20077037543828266</v>
      </c>
      <c r="AI413">
        <f t="shared" si="23"/>
        <v>10.962977210770172</v>
      </c>
      <c r="AJ413" s="64">
        <v>263.11145305848413</v>
      </c>
      <c r="AK413">
        <f t="shared" si="21"/>
        <v>10.962977210770172</v>
      </c>
      <c r="AM413" s="56">
        <v>382</v>
      </c>
      <c r="AN413" s="56">
        <f t="shared" si="22"/>
        <v>0.71619962048646357</v>
      </c>
    </row>
    <row r="414" spans="14:40" x14ac:dyDescent="0.25">
      <c r="N414" s="14">
        <v>127.333</v>
      </c>
      <c r="O414" s="14">
        <v>0</v>
      </c>
      <c r="P414">
        <v>0</v>
      </c>
      <c r="Q414" s="57"/>
      <c r="R414" s="56">
        <f>N1178</f>
        <v>382</v>
      </c>
      <c r="S414" s="56">
        <f>P1178</f>
        <v>1.8606389999999999</v>
      </c>
      <c r="Z414">
        <v>382</v>
      </c>
      <c r="AA414" s="58">
        <v>163.02303319555449</v>
      </c>
      <c r="AB414" s="59">
        <v>68.886274533160019</v>
      </c>
      <c r="AC414" s="59">
        <v>231.90930772871451</v>
      </c>
      <c r="AD414" s="60">
        <v>94.13675866239447</v>
      </c>
      <c r="AE414" s="61">
        <v>0.39812079606410061</v>
      </c>
      <c r="AF414" s="62">
        <v>0.19804459253897441</v>
      </c>
      <c r="AG414" s="62">
        <v>0.596165388603075</v>
      </c>
      <c r="AH414" s="63">
        <v>0.2000762035251262</v>
      </c>
      <c r="AI414">
        <f t="shared" si="23"/>
        <v>10.884896968837793</v>
      </c>
      <c r="AJ414" s="64">
        <v>261.23752725210704</v>
      </c>
      <c r="AK414">
        <f t="shared" si="21"/>
        <v>10.884896968837793</v>
      </c>
      <c r="AM414" s="56">
        <v>383</v>
      </c>
      <c r="AN414" s="56">
        <f t="shared" si="22"/>
        <v>0.71631554870961622</v>
      </c>
    </row>
    <row r="415" spans="14:40" x14ac:dyDescent="0.25">
      <c r="N415" s="14">
        <v>127.667</v>
      </c>
      <c r="O415" s="14">
        <v>0.25125500000000001</v>
      </c>
      <c r="P415">
        <v>0</v>
      </c>
      <c r="Q415" s="57"/>
      <c r="R415" s="56">
        <f>N1181</f>
        <v>383</v>
      </c>
      <c r="S415" s="56">
        <f>P1181</f>
        <v>1.8476379999999999</v>
      </c>
      <c r="Z415">
        <v>383</v>
      </c>
      <c r="AA415" s="58">
        <v>162.30683357506803</v>
      </c>
      <c r="AB415" s="59">
        <v>68.511831864924858</v>
      </c>
      <c r="AC415" s="59">
        <v>230.81866543999288</v>
      </c>
      <c r="AD415" s="60">
        <v>93.795001710143168</v>
      </c>
      <c r="AE415" s="61">
        <v>0.39636395071885583</v>
      </c>
      <c r="AF415" s="62">
        <v>0.19699645022396028</v>
      </c>
      <c r="AG415" s="62">
        <v>0.59336040094281617</v>
      </c>
      <c r="AH415" s="63">
        <v>0.19936750049489554</v>
      </c>
      <c r="AI415">
        <f t="shared" si="23"/>
        <v>10.805314251086026</v>
      </c>
      <c r="AJ415" s="64">
        <v>259.32754202606463</v>
      </c>
      <c r="AK415">
        <f t="shared" si="21"/>
        <v>10.805314251086026</v>
      </c>
      <c r="AM415" s="56">
        <v>384</v>
      </c>
      <c r="AN415" s="56">
        <f t="shared" si="22"/>
        <v>0.71631554870961622</v>
      </c>
    </row>
    <row r="416" spans="14:40" x14ac:dyDescent="0.25">
      <c r="N416" s="14">
        <v>128</v>
      </c>
      <c r="O416" s="14">
        <v>5.4455699999999998E-4</v>
      </c>
      <c r="P416" s="14">
        <f>O416+O415+O414</f>
        <v>0.25179955700000001</v>
      </c>
      <c r="Q416" s="57"/>
      <c r="R416" s="56">
        <f>N1184</f>
        <v>384</v>
      </c>
      <c r="S416" s="56">
        <f>P1184</f>
        <v>1.8411560000000002</v>
      </c>
      <c r="Z416">
        <v>384</v>
      </c>
      <c r="AA416" s="58">
        <v>161.59051802635841</v>
      </c>
      <c r="AB416" s="59">
        <v>68.137691291257369</v>
      </c>
      <c r="AC416" s="59">
        <v>229.72820931761578</v>
      </c>
      <c r="AD416" s="60">
        <v>93.452826735101041</v>
      </c>
      <c r="AE416" s="61">
        <v>0.39460682369900957</v>
      </c>
      <c r="AF416" s="62">
        <v>0.19594895742609528</v>
      </c>
      <c r="AG416" s="62">
        <v>0.59055578112510487</v>
      </c>
      <c r="AH416" s="63">
        <v>0.19865786627291429</v>
      </c>
      <c r="AI416">
        <f t="shared" si="23"/>
        <v>10.72573153333426</v>
      </c>
      <c r="AJ416" s="64">
        <v>257.41755680002223</v>
      </c>
      <c r="AK416">
        <f t="shared" si="21"/>
        <v>10.72573153333426</v>
      </c>
      <c r="AM416" s="56">
        <v>385</v>
      </c>
      <c r="AN416" s="56">
        <f t="shared" si="22"/>
        <v>0.70591345030013031</v>
      </c>
    </row>
    <row r="417" spans="14:40" x14ac:dyDescent="0.25">
      <c r="N417" s="14">
        <v>128.333</v>
      </c>
      <c r="O417" s="14">
        <v>0</v>
      </c>
      <c r="P417">
        <v>0</v>
      </c>
      <c r="Q417" s="57"/>
      <c r="R417" s="56">
        <f>N1187</f>
        <v>385</v>
      </c>
      <c r="S417" s="56">
        <f>P1187</f>
        <v>1.8283510000000001</v>
      </c>
      <c r="Z417">
        <v>385</v>
      </c>
      <c r="AA417" s="58">
        <v>160.87420247764879</v>
      </c>
      <c r="AB417" s="59">
        <v>67.763797158108531</v>
      </c>
      <c r="AC417" s="59">
        <v>228.63799963575732</v>
      </c>
      <c r="AD417" s="60">
        <v>93.110405319540263</v>
      </c>
      <c r="AE417" s="61">
        <v>0.39284969667916325</v>
      </c>
      <c r="AF417" s="62">
        <v>0.19490199677940934</v>
      </c>
      <c r="AG417" s="62">
        <v>0.58775169345857259</v>
      </c>
      <c r="AH417" s="63">
        <v>0.19794769989975391</v>
      </c>
      <c r="AI417">
        <f t="shared" si="23"/>
        <v>10.646148815582492</v>
      </c>
      <c r="AJ417" s="64">
        <v>255.50757157397982</v>
      </c>
      <c r="AK417">
        <f t="shared" ref="AK417:AK480" si="24">IF(Z417&lt;=$R$12,AI417," ")</f>
        <v>10.646148815582492</v>
      </c>
      <c r="AM417" s="56">
        <v>386</v>
      </c>
      <c r="AN417" s="56">
        <f t="shared" ref="AN417:AN480" si="25">AA418-AA419</f>
        <v>0.68506415954800559</v>
      </c>
    </row>
    <row r="418" spans="14:40" x14ac:dyDescent="0.25">
      <c r="N418" s="14">
        <v>128.667</v>
      </c>
      <c r="O418" s="14">
        <v>0.246695</v>
      </c>
      <c r="P418">
        <v>0</v>
      </c>
      <c r="Q418" s="57"/>
      <c r="R418" s="56">
        <f>N1190</f>
        <v>386</v>
      </c>
      <c r="S418" s="56">
        <f>P1190</f>
        <v>1.81948</v>
      </c>
      <c r="Z418">
        <v>386</v>
      </c>
      <c r="AA418" s="58">
        <v>160.16828902734866</v>
      </c>
      <c r="AB418" s="59">
        <v>67.409198094333917</v>
      </c>
      <c r="AC418" s="59">
        <v>227.57748712168257</v>
      </c>
      <c r="AD418" s="60">
        <v>92.759090933014747</v>
      </c>
      <c r="AE418" s="61">
        <v>0.39111980806804592</v>
      </c>
      <c r="AF418" s="62">
        <v>0.19390551473513162</v>
      </c>
      <c r="AG418" s="62">
        <v>0.58502532280317754</v>
      </c>
      <c r="AH418" s="63">
        <v>0.19721429333291429</v>
      </c>
      <c r="AI418">
        <f t="shared" ref="AI418:AI481" si="26">AJ418/24</f>
        <v>10.566566097830728</v>
      </c>
      <c r="AJ418" s="64">
        <v>253.59758634793747</v>
      </c>
      <c r="AK418">
        <f t="shared" si="24"/>
        <v>10.566566097830728</v>
      </c>
      <c r="AM418" s="56">
        <v>387</v>
      </c>
      <c r="AN418" s="56">
        <f t="shared" si="25"/>
        <v>0.68447970103991906</v>
      </c>
    </row>
    <row r="419" spans="14:40" x14ac:dyDescent="0.25">
      <c r="N419" s="14">
        <v>129</v>
      </c>
      <c r="O419" s="14">
        <v>5.9704699999999996E-4</v>
      </c>
      <c r="P419" s="14">
        <f>O419+O418+O417</f>
        <v>0.24729204699999999</v>
      </c>
      <c r="Q419" s="57"/>
      <c r="R419" s="56">
        <f>N1193</f>
        <v>387</v>
      </c>
      <c r="S419" s="56">
        <f>P1193</f>
        <v>1.8085589999999998</v>
      </c>
      <c r="Z419">
        <v>387</v>
      </c>
      <c r="AA419" s="58">
        <v>159.48322486780066</v>
      </c>
      <c r="AB419" s="59">
        <v>67.093206276418883</v>
      </c>
      <c r="AC419" s="59">
        <v>226.57643114421955</v>
      </c>
      <c r="AD419" s="60">
        <v>92.390018591381775</v>
      </c>
      <c r="AE419" s="61">
        <v>0.38944451435507854</v>
      </c>
      <c r="AF419" s="62">
        <v>0.19301010077682698</v>
      </c>
      <c r="AG419" s="62">
        <v>0.58245461513190555</v>
      </c>
      <c r="AH419" s="63">
        <v>0.19643441357825156</v>
      </c>
      <c r="AI419">
        <f t="shared" si="26"/>
        <v>10.486983380078961</v>
      </c>
      <c r="AJ419" s="64">
        <v>251.68760112189506</v>
      </c>
      <c r="AK419">
        <f t="shared" si="24"/>
        <v>10.486983380078961</v>
      </c>
      <c r="AM419" s="56">
        <v>388</v>
      </c>
      <c r="AN419" s="56">
        <f t="shared" si="25"/>
        <v>0.68447970103991906</v>
      </c>
    </row>
    <row r="420" spans="14:40" x14ac:dyDescent="0.25">
      <c r="N420" s="14">
        <v>129.333</v>
      </c>
      <c r="O420" s="14">
        <v>0</v>
      </c>
      <c r="P420">
        <v>0</v>
      </c>
      <c r="Q420" s="57"/>
      <c r="R420" s="56">
        <f>N1196</f>
        <v>388</v>
      </c>
      <c r="S420" s="56">
        <f>P1196</f>
        <v>1.7990089999999999</v>
      </c>
      <c r="Z420">
        <v>388</v>
      </c>
      <c r="AA420" s="58">
        <v>158.79874516676074</v>
      </c>
      <c r="AB420" s="59">
        <v>66.778824024106129</v>
      </c>
      <c r="AC420" s="59">
        <v>225.57756919086688</v>
      </c>
      <c r="AD420" s="60">
        <v>92.01992114265461</v>
      </c>
      <c r="AE420" s="61">
        <v>0.38777075107559716</v>
      </c>
      <c r="AF420" s="62">
        <v>0.19211871248320847</v>
      </c>
      <c r="AG420" s="62">
        <v>0.57988946355880566</v>
      </c>
      <c r="AH420" s="63">
        <v>0.19565203859238869</v>
      </c>
      <c r="AI420">
        <f t="shared" si="26"/>
        <v>10.407400662327195</v>
      </c>
      <c r="AJ420" s="64">
        <v>249.77761589585268</v>
      </c>
      <c r="AK420">
        <f t="shared" si="24"/>
        <v>10.407400662327195</v>
      </c>
      <c r="AM420" s="56">
        <v>389</v>
      </c>
      <c r="AN420" s="56">
        <f t="shared" si="25"/>
        <v>0.67933821166135999</v>
      </c>
    </row>
    <row r="421" spans="14:40" x14ac:dyDescent="0.25">
      <c r="N421" s="14">
        <v>129.667</v>
      </c>
      <c r="O421" s="14">
        <v>0.250998</v>
      </c>
      <c r="P421">
        <v>0</v>
      </c>
      <c r="Q421" s="57"/>
      <c r="R421" s="56">
        <f>N1199</f>
        <v>389</v>
      </c>
      <c r="S421" s="56">
        <f>P1199</f>
        <v>1.7884540000000002</v>
      </c>
      <c r="Z421">
        <v>389</v>
      </c>
      <c r="AA421" s="58">
        <v>158.11426546572082</v>
      </c>
      <c r="AB421" s="59">
        <v>66.464988745441673</v>
      </c>
      <c r="AC421" s="59">
        <v>224.57925421116249</v>
      </c>
      <c r="AD421" s="60">
        <v>91.649276720279147</v>
      </c>
      <c r="AE421" s="61">
        <v>0.38609698779611579</v>
      </c>
      <c r="AF421" s="62">
        <v>0.19122856059863447</v>
      </c>
      <c r="AG421" s="62">
        <v>0.57732554839475025</v>
      </c>
      <c r="AH421" s="63">
        <v>0.19486842719748132</v>
      </c>
      <c r="AI421">
        <f t="shared" si="26"/>
        <v>10.327817944575429</v>
      </c>
      <c r="AJ421" s="64">
        <v>247.8676306698103</v>
      </c>
      <c r="AK421">
        <f t="shared" si="24"/>
        <v>10.327817944575429</v>
      </c>
      <c r="AM421" s="56">
        <v>390</v>
      </c>
      <c r="AN421" s="56">
        <f t="shared" si="25"/>
        <v>0.66031238193701824</v>
      </c>
    </row>
    <row r="422" spans="14:40" x14ac:dyDescent="0.25">
      <c r="N422" s="14">
        <v>130</v>
      </c>
      <c r="O422" s="14">
        <v>5.4432799999999996E-4</v>
      </c>
      <c r="P422" s="14">
        <f>O422+O421+O420</f>
        <v>0.25154232799999998</v>
      </c>
      <c r="Q422" s="57"/>
      <c r="R422" s="56">
        <f>N1202</f>
        <v>390</v>
      </c>
      <c r="S422" s="56">
        <f>P1202</f>
        <v>1.7788240000000002</v>
      </c>
      <c r="Z422">
        <v>390</v>
      </c>
      <c r="AA422" s="58">
        <v>157.43492725405946</v>
      </c>
      <c r="AB422" s="59">
        <v>66.151161898574244</v>
      </c>
      <c r="AC422" s="59">
        <v>223.58608915263369</v>
      </c>
      <c r="AD422" s="60">
        <v>91.283765355485215</v>
      </c>
      <c r="AE422" s="61">
        <v>0.38443540820595412</v>
      </c>
      <c r="AF422" s="62">
        <v>0.19033776486021561</v>
      </c>
      <c r="AG422" s="62">
        <v>0.57477317306616971</v>
      </c>
      <c r="AH422" s="63">
        <v>0.19409764334573851</v>
      </c>
      <c r="AI422">
        <f t="shared" si="26"/>
        <v>10.248235226823661</v>
      </c>
      <c r="AJ422" s="64">
        <v>245.95764544376789</v>
      </c>
      <c r="AK422">
        <f t="shared" si="24"/>
        <v>10.248235226823661</v>
      </c>
      <c r="AM422" s="56">
        <v>391</v>
      </c>
      <c r="AN422" s="56">
        <f t="shared" si="25"/>
        <v>0.64248819675498225</v>
      </c>
    </row>
    <row r="423" spans="14:40" x14ac:dyDescent="0.25">
      <c r="N423" s="14">
        <v>130.333</v>
      </c>
      <c r="O423" s="14">
        <v>0</v>
      </c>
      <c r="P423">
        <v>0</v>
      </c>
      <c r="Q423" s="57"/>
      <c r="R423" s="56">
        <f>N1205</f>
        <v>391</v>
      </c>
      <c r="S423" s="56">
        <f>P1205</f>
        <v>1.76817</v>
      </c>
      <c r="Z423">
        <v>391</v>
      </c>
      <c r="AA423" s="58">
        <v>156.77461487212244</v>
      </c>
      <c r="AB423" s="59">
        <v>65.831782322820899</v>
      </c>
      <c r="AC423" s="59">
        <v>222.60639719494333</v>
      </c>
      <c r="AD423" s="60">
        <v>90.942832549301542</v>
      </c>
      <c r="AE423" s="61">
        <v>0.38281782831278155</v>
      </c>
      <c r="AF423" s="62">
        <v>0.18943196402450074</v>
      </c>
      <c r="AG423" s="62">
        <v>0.57224979233728224</v>
      </c>
      <c r="AH423" s="63">
        <v>0.19338586428828081</v>
      </c>
      <c r="AI423">
        <f t="shared" si="26"/>
        <v>10.168652509071896</v>
      </c>
      <c r="AJ423" s="64">
        <v>244.04766021772551</v>
      </c>
      <c r="AK423">
        <f t="shared" si="24"/>
        <v>10.168652509071896</v>
      </c>
      <c r="AM423" s="56">
        <v>392</v>
      </c>
      <c r="AN423" s="56">
        <f t="shared" si="25"/>
        <v>0.64204834164695512</v>
      </c>
    </row>
    <row r="424" spans="14:40" x14ac:dyDescent="0.25">
      <c r="N424" s="14">
        <v>130.667</v>
      </c>
      <c r="O424" s="14">
        <v>0.25132900000000002</v>
      </c>
      <c r="P424">
        <v>0</v>
      </c>
      <c r="Q424" s="57"/>
      <c r="R424" s="56">
        <f>N1208</f>
        <v>392</v>
      </c>
      <c r="S424" s="56">
        <f>P1208</f>
        <v>1.7580940000000003</v>
      </c>
      <c r="Z424">
        <v>392</v>
      </c>
      <c r="AA424" s="58">
        <v>156.13212667536746</v>
      </c>
      <c r="AB424" s="59">
        <v>65.503160096848617</v>
      </c>
      <c r="AC424" s="59">
        <v>221.63528677221609</v>
      </c>
      <c r="AD424" s="60">
        <v>90.628966578518842</v>
      </c>
      <c r="AE424" s="61">
        <v>0.38124039495049056</v>
      </c>
      <c r="AF424" s="62">
        <v>0.18850298260387641</v>
      </c>
      <c r="AG424" s="62">
        <v>0.56974337755436699</v>
      </c>
      <c r="AH424" s="63">
        <v>0.19273741234661415</v>
      </c>
      <c r="AI424">
        <f t="shared" si="26"/>
        <v>10.08906979132013</v>
      </c>
      <c r="AJ424" s="64">
        <v>242.13767499168313</v>
      </c>
      <c r="AK424">
        <f t="shared" si="24"/>
        <v>10.08906979132013</v>
      </c>
      <c r="AM424" s="56">
        <v>393</v>
      </c>
      <c r="AN424" s="56">
        <f t="shared" si="25"/>
        <v>0.64204834164698354</v>
      </c>
    </row>
    <row r="425" spans="14:40" x14ac:dyDescent="0.25">
      <c r="N425" s="14">
        <v>131</v>
      </c>
      <c r="O425" s="14">
        <v>5.3898499999999996E-4</v>
      </c>
      <c r="P425" s="14">
        <f>O425+O424+O423</f>
        <v>0.25186798500000002</v>
      </c>
      <c r="Q425" s="57"/>
      <c r="R425" s="56">
        <f>N1211</f>
        <v>393</v>
      </c>
      <c r="S425" s="56">
        <f>P1211</f>
        <v>1.7495400000000001</v>
      </c>
      <c r="Z425">
        <v>393</v>
      </c>
      <c r="AA425" s="58">
        <v>155.4900783337205</v>
      </c>
      <c r="AB425" s="59">
        <v>65.174866489385749</v>
      </c>
      <c r="AC425" s="59">
        <v>220.66494482310625</v>
      </c>
      <c r="AD425" s="60">
        <v>90.315211844334755</v>
      </c>
      <c r="AE425" s="61">
        <v>0.37966395157455635</v>
      </c>
      <c r="AF425" s="62">
        <v>0.18757468961150775</v>
      </c>
      <c r="AG425" s="62">
        <v>0.56723864118606415</v>
      </c>
      <c r="AH425" s="63">
        <v>0.1920892619630486</v>
      </c>
      <c r="AI425">
        <f t="shared" si="26"/>
        <v>10.009487073568364</v>
      </c>
      <c r="AJ425" s="64">
        <v>240.22768976564072</v>
      </c>
      <c r="AK425">
        <f t="shared" si="24"/>
        <v>10.009487073568364</v>
      </c>
      <c r="AM425" s="56">
        <v>394</v>
      </c>
      <c r="AN425" s="56">
        <f t="shared" si="25"/>
        <v>0.64204834164698354</v>
      </c>
    </row>
    <row r="426" spans="14:40" x14ac:dyDescent="0.25">
      <c r="N426" s="14">
        <v>131.333</v>
      </c>
      <c r="O426" s="14">
        <v>0</v>
      </c>
      <c r="P426">
        <v>0</v>
      </c>
      <c r="Q426" s="57"/>
      <c r="R426" s="56">
        <f>N1214</f>
        <v>394</v>
      </c>
      <c r="S426" s="56">
        <f>P1214</f>
        <v>1.739074</v>
      </c>
      <c r="Z426">
        <v>394</v>
      </c>
      <c r="AA426" s="58">
        <v>154.84802999207352</v>
      </c>
      <c r="AB426" s="59">
        <v>64.847155058096959</v>
      </c>
      <c r="AC426" s="59">
        <v>219.69518505017049</v>
      </c>
      <c r="AD426" s="60">
        <v>90.000874933976561</v>
      </c>
      <c r="AE426" s="61">
        <v>0.37808750819862225</v>
      </c>
      <c r="AF426" s="62">
        <v>0.18664771442346598</v>
      </c>
      <c r="AG426" s="62">
        <v>0.5647352226220882</v>
      </c>
      <c r="AH426" s="63">
        <v>0.19143979377515627</v>
      </c>
      <c r="AI426">
        <f t="shared" si="26"/>
        <v>9.929904355816598</v>
      </c>
      <c r="AJ426" s="64">
        <v>238.31770453959834</v>
      </c>
      <c r="AK426">
        <f t="shared" si="24"/>
        <v>9.929904355816598</v>
      </c>
      <c r="AM426" s="56">
        <v>395</v>
      </c>
      <c r="AN426" s="56">
        <f t="shared" si="25"/>
        <v>0.64204834164698354</v>
      </c>
    </row>
    <row r="427" spans="14:40" x14ac:dyDescent="0.25">
      <c r="N427" s="14">
        <v>131.667</v>
      </c>
      <c r="O427" s="14">
        <v>0.25128899999999998</v>
      </c>
      <c r="P427">
        <v>0</v>
      </c>
      <c r="Q427" s="57"/>
      <c r="R427" s="56">
        <f>N1217</f>
        <v>395</v>
      </c>
      <c r="S427" s="56">
        <f>P1217</f>
        <v>1.7298459999999998</v>
      </c>
      <c r="Z427">
        <v>395</v>
      </c>
      <c r="AA427" s="58">
        <v>154.20598165042654</v>
      </c>
      <c r="AB427" s="59">
        <v>64.520034673984796</v>
      </c>
      <c r="AC427" s="59">
        <v>218.72601632441132</v>
      </c>
      <c r="AD427" s="60">
        <v>89.685946976441741</v>
      </c>
      <c r="AE427" s="61">
        <v>0.37651106482268798</v>
      </c>
      <c r="AF427" s="62">
        <v>0.18572207677200972</v>
      </c>
      <c r="AG427" s="62">
        <v>0.56223314159469773</v>
      </c>
      <c r="AH427" s="63">
        <v>0.19078898805067826</v>
      </c>
      <c r="AI427">
        <f t="shared" si="26"/>
        <v>9.8503216380648322</v>
      </c>
      <c r="AJ427" s="64">
        <v>236.40771931355596</v>
      </c>
      <c r="AK427">
        <f t="shared" si="24"/>
        <v>9.8503216380648322</v>
      </c>
      <c r="AM427" s="56">
        <v>396</v>
      </c>
      <c r="AN427" s="56">
        <f t="shared" si="25"/>
        <v>0.64204834164695512</v>
      </c>
    </row>
    <row r="428" spans="14:40" x14ac:dyDescent="0.25">
      <c r="N428" s="14">
        <v>132</v>
      </c>
      <c r="O428" s="14">
        <v>5.3791099999999997E-4</v>
      </c>
      <c r="P428" s="14">
        <f>O428+O427+O426</f>
        <v>0.25182691099999999</v>
      </c>
      <c r="Q428" s="57"/>
      <c r="R428" s="56">
        <f>N1220</f>
        <v>396</v>
      </c>
      <c r="S428" s="56">
        <f>P1220</f>
        <v>1.7198899999999999</v>
      </c>
      <c r="Z428">
        <v>396</v>
      </c>
      <c r="AA428" s="58">
        <v>153.56393330877955</v>
      </c>
      <c r="AB428" s="59">
        <v>64.193514372709473</v>
      </c>
      <c r="AC428" s="59">
        <v>217.75744768148903</v>
      </c>
      <c r="AD428" s="60">
        <v>89.370418936070081</v>
      </c>
      <c r="AE428" s="61">
        <v>0.37493462144675388</v>
      </c>
      <c r="AF428" s="62">
        <v>0.18479779675598637</v>
      </c>
      <c r="AG428" s="62">
        <v>0.55973241820274022</v>
      </c>
      <c r="AH428" s="63">
        <v>0.19013682469076751</v>
      </c>
      <c r="AI428">
        <f t="shared" si="26"/>
        <v>9.7707389203130646</v>
      </c>
      <c r="AJ428" s="64">
        <v>234.49773408751355</v>
      </c>
      <c r="AK428">
        <f t="shared" si="24"/>
        <v>9.7707389203130646</v>
      </c>
      <c r="AM428" s="56">
        <v>397</v>
      </c>
      <c r="AN428" s="56">
        <f t="shared" si="25"/>
        <v>0.63721303292098241</v>
      </c>
    </row>
    <row r="429" spans="14:40" x14ac:dyDescent="0.25">
      <c r="N429" s="14">
        <v>132.333</v>
      </c>
      <c r="O429" s="14">
        <v>0</v>
      </c>
      <c r="P429">
        <v>0</v>
      </c>
      <c r="Q429" s="57"/>
      <c r="R429" s="56">
        <f>N1223</f>
        <v>397</v>
      </c>
      <c r="S429" s="56">
        <f>P1223</f>
        <v>1.7103200000000003</v>
      </c>
      <c r="Z429">
        <v>397</v>
      </c>
      <c r="AA429" s="58">
        <v>152.9218849671326</v>
      </c>
      <c r="AB429" s="59">
        <v>63.867603357962494</v>
      </c>
      <c r="AC429" s="59">
        <v>216.78948832509508</v>
      </c>
      <c r="AD429" s="60">
        <v>89.054281609170104</v>
      </c>
      <c r="AE429" s="61">
        <v>0.37335817807081972</v>
      </c>
      <c r="AF429" s="62">
        <v>0.18387489484858907</v>
      </c>
      <c r="AG429" s="62">
        <v>0.55723307291940882</v>
      </c>
      <c r="AH429" s="63">
        <v>0.18948328322223065</v>
      </c>
      <c r="AI429">
        <f t="shared" si="26"/>
        <v>9.6911562025612987</v>
      </c>
      <c r="AJ429" s="64">
        <v>232.58774886147117</v>
      </c>
      <c r="AK429">
        <f t="shared" si="24"/>
        <v>9.6911562025612987</v>
      </c>
      <c r="AM429" s="56">
        <v>398</v>
      </c>
      <c r="AN429" s="56">
        <f t="shared" si="25"/>
        <v>0.62777207672695567</v>
      </c>
    </row>
    <row r="430" spans="14:40" x14ac:dyDescent="0.25">
      <c r="N430" s="14">
        <v>132.667</v>
      </c>
      <c r="O430" s="14">
        <v>0.25119999999999998</v>
      </c>
      <c r="P430">
        <v>0</v>
      </c>
      <c r="Q430" s="57"/>
      <c r="R430" s="56">
        <f>N1226</f>
        <v>398</v>
      </c>
      <c r="S430" s="56">
        <f>P1226</f>
        <v>1.7009440000000002</v>
      </c>
      <c r="Z430">
        <v>398</v>
      </c>
      <c r="AA430" s="58">
        <v>152.28467193421162</v>
      </c>
      <c r="AB430" s="59">
        <v>63.536959366228658</v>
      </c>
      <c r="AC430" s="59">
        <v>215.82163130044029</v>
      </c>
      <c r="AD430" s="60">
        <v>88.747712567982958</v>
      </c>
      <c r="AE430" s="61">
        <v>0.37179304882410863</v>
      </c>
      <c r="AF430" s="62">
        <v>0.18294212254995562</v>
      </c>
      <c r="AG430" s="62">
        <v>0.55473517137406425</v>
      </c>
      <c r="AH430" s="63">
        <v>0.18885092627415301</v>
      </c>
      <c r="AI430">
        <f t="shared" si="26"/>
        <v>9.6418585715333975</v>
      </c>
      <c r="AJ430" s="64">
        <v>231.40460571680154</v>
      </c>
      <c r="AK430">
        <f t="shared" si="24"/>
        <v>9.6418585715333975</v>
      </c>
      <c r="AM430" s="56">
        <v>399</v>
      </c>
      <c r="AN430" s="56">
        <f t="shared" si="25"/>
        <v>0.6275263700328253</v>
      </c>
    </row>
    <row r="431" spans="14:40" x14ac:dyDescent="0.25">
      <c r="N431" s="14">
        <v>133</v>
      </c>
      <c r="O431" s="14">
        <v>5.3739399999999996E-4</v>
      </c>
      <c r="P431" s="14">
        <f>O431+O430+O429</f>
        <v>0.251737394</v>
      </c>
      <c r="Q431" s="57"/>
      <c r="R431" s="56">
        <f>N1229</f>
        <v>399</v>
      </c>
      <c r="S431" s="56">
        <f>P1229</f>
        <v>1.6897880000000001</v>
      </c>
      <c r="Z431">
        <v>399</v>
      </c>
      <c r="AA431" s="58">
        <v>151.65689985748466</v>
      </c>
      <c r="AB431" s="59">
        <v>63.196499319865289</v>
      </c>
      <c r="AC431" s="59">
        <v>214.85339917734996</v>
      </c>
      <c r="AD431" s="60">
        <v>88.460400537619364</v>
      </c>
      <c r="AE431" s="61">
        <v>0.37025001045192557</v>
      </c>
      <c r="AF431" s="62">
        <v>0.18198877936579178</v>
      </c>
      <c r="AG431" s="62">
        <v>0.55223878981771735</v>
      </c>
      <c r="AH431" s="63">
        <v>0.1882612310861338</v>
      </c>
      <c r="AI431">
        <f t="shared" si="26"/>
        <v>9.6514267239106868</v>
      </c>
      <c r="AJ431" s="64">
        <v>231.63424137385647</v>
      </c>
      <c r="AK431">
        <f t="shared" si="24"/>
        <v>9.6514267239106868</v>
      </c>
      <c r="AM431" s="56">
        <v>400</v>
      </c>
      <c r="AN431" s="56">
        <f t="shared" si="25"/>
        <v>0.6275263700328253</v>
      </c>
    </row>
    <row r="432" spans="14:40" x14ac:dyDescent="0.25">
      <c r="N432" s="14">
        <v>133.333</v>
      </c>
      <c r="O432" s="14">
        <v>0</v>
      </c>
      <c r="P432">
        <v>0</v>
      </c>
      <c r="Q432" s="57"/>
      <c r="R432" s="56">
        <f>N1232</f>
        <v>400</v>
      </c>
      <c r="S432" s="56">
        <f>P1232</f>
        <v>1.682823</v>
      </c>
      <c r="Z432">
        <v>400</v>
      </c>
      <c r="AA432" s="58">
        <v>151.02937348745183</v>
      </c>
      <c r="AB432" s="59">
        <v>62.856413518643492</v>
      </c>
      <c r="AC432" s="59">
        <v>213.88578700609531</v>
      </c>
      <c r="AD432" s="60">
        <v>88.172959968808343</v>
      </c>
      <c r="AE432" s="61">
        <v>0.36870754700834474</v>
      </c>
      <c r="AF432" s="62">
        <v>0.18103632589185389</v>
      </c>
      <c r="AG432" s="62">
        <v>0.54974387290019866</v>
      </c>
      <c r="AH432" s="63">
        <v>0.18767122111649084</v>
      </c>
      <c r="AI432">
        <f t="shared" si="26"/>
        <v>9.6625069830675248</v>
      </c>
      <c r="AJ432" s="64">
        <v>231.90016759362061</v>
      </c>
      <c r="AK432">
        <f t="shared" si="24"/>
        <v>9.6625069830675248</v>
      </c>
      <c r="AM432" s="56">
        <v>401</v>
      </c>
      <c r="AN432" s="56">
        <f t="shared" si="25"/>
        <v>0.62752637003285372</v>
      </c>
    </row>
    <row r="433" spans="14:40" x14ac:dyDescent="0.25">
      <c r="N433" s="14">
        <v>133.667</v>
      </c>
      <c r="O433" s="14">
        <v>0.251112</v>
      </c>
      <c r="P433">
        <v>0</v>
      </c>
      <c r="Q433" s="57"/>
      <c r="R433" s="56">
        <f>N1235</f>
        <v>401</v>
      </c>
      <c r="S433" s="56">
        <f>P1235</f>
        <v>1.6721649999999997</v>
      </c>
      <c r="Z433">
        <v>401</v>
      </c>
      <c r="AA433" s="58">
        <v>150.40184711741901</v>
      </c>
      <c r="AB433" s="59">
        <v>62.516984391114612</v>
      </c>
      <c r="AC433" s="59">
        <v>212.91883150853363</v>
      </c>
      <c r="AD433" s="60">
        <v>87.884862726304391</v>
      </c>
      <c r="AE433" s="61">
        <v>0.36716508356476396</v>
      </c>
      <c r="AF433" s="62">
        <v>0.18008535786430696</v>
      </c>
      <c r="AG433" s="62">
        <v>0.54725044142907087</v>
      </c>
      <c r="AH433" s="63">
        <v>0.187079725700457</v>
      </c>
      <c r="AI433">
        <f t="shared" si="26"/>
        <v>9.6735872422243663</v>
      </c>
      <c r="AJ433" s="64">
        <v>232.16609381338478</v>
      </c>
      <c r="AK433">
        <f t="shared" si="24"/>
        <v>9.6735872422243663</v>
      </c>
      <c r="AM433" s="56">
        <v>402</v>
      </c>
      <c r="AN433" s="56">
        <f t="shared" si="25"/>
        <v>0.62752637003285372</v>
      </c>
    </row>
    <row r="434" spans="14:40" x14ac:dyDescent="0.25">
      <c r="N434" s="14">
        <v>134</v>
      </c>
      <c r="O434" s="14">
        <v>5.3685500000000004E-4</v>
      </c>
      <c r="P434" s="14">
        <f>O434+O433+O432</f>
        <v>0.251648855</v>
      </c>
      <c r="Q434" s="57"/>
      <c r="R434" s="56">
        <f>N1238</f>
        <v>402</v>
      </c>
      <c r="S434" s="56">
        <f>P1238</f>
        <v>1.6636609999999998</v>
      </c>
      <c r="Z434">
        <v>402</v>
      </c>
      <c r="AA434" s="58">
        <v>149.77432074738616</v>
      </c>
      <c r="AB434" s="59">
        <v>62.178222691568102</v>
      </c>
      <c r="AC434" s="59">
        <v>211.95254343895425</v>
      </c>
      <c r="AD434" s="60">
        <v>87.596098055818061</v>
      </c>
      <c r="AE434" s="61">
        <v>0.36562262012118329</v>
      </c>
      <c r="AF434" s="62">
        <v>0.17913589894025339</v>
      </c>
      <c r="AG434" s="62">
        <v>0.54475851906143669</v>
      </c>
      <c r="AH434" s="63">
        <v>0.1864867211809299</v>
      </c>
      <c r="AI434">
        <f t="shared" si="26"/>
        <v>9.6846675013812042</v>
      </c>
      <c r="AJ434" s="64">
        <v>232.43202003314892</v>
      </c>
      <c r="AK434">
        <f t="shared" si="24"/>
        <v>9.6846675013812042</v>
      </c>
      <c r="AM434" s="56">
        <v>403</v>
      </c>
      <c r="AN434" s="56">
        <f t="shared" si="25"/>
        <v>0.6027446381409618</v>
      </c>
    </row>
    <row r="435" spans="14:40" x14ac:dyDescent="0.25">
      <c r="N435" s="14">
        <v>134.333</v>
      </c>
      <c r="O435" s="14">
        <v>0</v>
      </c>
      <c r="P435">
        <v>0</v>
      </c>
      <c r="Q435" s="57"/>
      <c r="R435" s="56">
        <f>N1241</f>
        <v>403</v>
      </c>
      <c r="S435" s="56">
        <f>P1241</f>
        <v>1.6538149999999998</v>
      </c>
      <c r="Z435">
        <v>403</v>
      </c>
      <c r="AA435" s="58">
        <v>149.1467943773533</v>
      </c>
      <c r="AB435" s="59">
        <v>61.84013938856215</v>
      </c>
      <c r="AC435" s="59">
        <v>210.98693376591547</v>
      </c>
      <c r="AD435" s="60">
        <v>87.306654988791152</v>
      </c>
      <c r="AE435" s="61">
        <v>0.36408015667760246</v>
      </c>
      <c r="AF435" s="62">
        <v>0.17818797324307098</v>
      </c>
      <c r="AG435" s="62">
        <v>0.54226812992067341</v>
      </c>
      <c r="AH435" s="63">
        <v>0.18589218343453148</v>
      </c>
      <c r="AI435">
        <f t="shared" si="26"/>
        <v>9.6957477605380458</v>
      </c>
      <c r="AJ435" s="64">
        <v>232.69794625291308</v>
      </c>
      <c r="AK435">
        <f t="shared" si="24"/>
        <v>9.6957477605380458</v>
      </c>
      <c r="AM435" s="56">
        <v>404</v>
      </c>
      <c r="AN435" s="56">
        <f t="shared" si="25"/>
        <v>0.55464455636064258</v>
      </c>
    </row>
    <row r="436" spans="14:40" x14ac:dyDescent="0.25">
      <c r="N436" s="14">
        <v>134.667</v>
      </c>
      <c r="O436" s="14">
        <v>0.25102400000000002</v>
      </c>
      <c r="P436">
        <v>0</v>
      </c>
      <c r="Q436" s="57"/>
      <c r="R436" s="56">
        <f>N1244</f>
        <v>404</v>
      </c>
      <c r="S436" s="56">
        <f>P1244</f>
        <v>1.6450400000000001</v>
      </c>
      <c r="Z436">
        <v>404</v>
      </c>
      <c r="AA436" s="58">
        <v>148.54404973921234</v>
      </c>
      <c r="AB436" s="59">
        <v>61.543596617710058</v>
      </c>
      <c r="AC436" s="59">
        <v>210.08764635692239</v>
      </c>
      <c r="AD436" s="60">
        <v>87.000453121502289</v>
      </c>
      <c r="AE436" s="61">
        <v>0.36260283459892323</v>
      </c>
      <c r="AF436" s="62">
        <v>0.17735125118056977</v>
      </c>
      <c r="AG436" s="62">
        <v>0.539954085779493</v>
      </c>
      <c r="AH436" s="63">
        <v>0.18525158341835346</v>
      </c>
      <c r="AI436">
        <f t="shared" si="26"/>
        <v>9.7068280196948837</v>
      </c>
      <c r="AJ436" s="64">
        <v>232.96387247267722</v>
      </c>
      <c r="AK436">
        <f t="shared" si="24"/>
        <v>9.7068280196948837</v>
      </c>
      <c r="AM436" s="56">
        <v>405</v>
      </c>
      <c r="AN436" s="56">
        <f t="shared" si="25"/>
        <v>0.55341412358532693</v>
      </c>
    </row>
    <row r="437" spans="14:40" x14ac:dyDescent="0.25">
      <c r="N437" s="14">
        <v>135</v>
      </c>
      <c r="O437" s="14">
        <v>5.3630300000000002E-4</v>
      </c>
      <c r="P437" s="14">
        <f>O437+O436+O435</f>
        <v>0.25156030300000004</v>
      </c>
      <c r="Q437" s="57"/>
      <c r="R437" s="56">
        <f>N1247</f>
        <v>405</v>
      </c>
      <c r="S437" s="56">
        <f>P1247</f>
        <v>1.6354760000000002</v>
      </c>
      <c r="Z437">
        <v>405</v>
      </c>
      <c r="AA437" s="58">
        <v>147.9894051828517</v>
      </c>
      <c r="AB437" s="59">
        <v>61.326688390664323</v>
      </c>
      <c r="AC437" s="59">
        <v>209.31609357351601</v>
      </c>
      <c r="AD437" s="60">
        <v>86.662716792187382</v>
      </c>
      <c r="AE437" s="61">
        <v>0.36125194859794468</v>
      </c>
      <c r="AF437" s="62">
        <v>0.17672807218808217</v>
      </c>
      <c r="AG437" s="62">
        <v>0.5379800207860268</v>
      </c>
      <c r="AH437" s="63">
        <v>0.18452387640986251</v>
      </c>
      <c r="AI437">
        <f t="shared" si="26"/>
        <v>9.7179082788517235</v>
      </c>
      <c r="AJ437" s="64">
        <v>233.22979869244136</v>
      </c>
      <c r="AK437">
        <f t="shared" si="24"/>
        <v>9.7179082788517235</v>
      </c>
      <c r="AM437" s="56">
        <v>406</v>
      </c>
      <c r="AN437" s="56">
        <f t="shared" si="25"/>
        <v>0.54433256111778405</v>
      </c>
    </row>
    <row r="438" spans="14:40" x14ac:dyDescent="0.25">
      <c r="N438" s="14">
        <v>135.333</v>
      </c>
      <c r="O438" s="14">
        <v>0</v>
      </c>
      <c r="P438">
        <v>0</v>
      </c>
      <c r="Q438" s="57"/>
      <c r="R438" s="56">
        <f>N1250</f>
        <v>406</v>
      </c>
      <c r="S438" s="56">
        <f>P1250</f>
        <v>1.6265000000000001</v>
      </c>
      <c r="Z438">
        <v>406</v>
      </c>
      <c r="AA438" s="58">
        <v>147.43599105926637</v>
      </c>
      <c r="AB438" s="59">
        <v>61.111982121088147</v>
      </c>
      <c r="AC438" s="59">
        <v>208.54797318035452</v>
      </c>
      <c r="AD438" s="60">
        <v>86.324008938178224</v>
      </c>
      <c r="AE438" s="61">
        <v>0.35990429691774534</v>
      </c>
      <c r="AF438" s="62">
        <v>0.17611064928650927</v>
      </c>
      <c r="AG438" s="62">
        <v>0.53601494620425461</v>
      </c>
      <c r="AH438" s="63">
        <v>0.18379364763123607</v>
      </c>
      <c r="AI438">
        <f t="shared" si="26"/>
        <v>9.7289885380085632</v>
      </c>
      <c r="AJ438" s="64">
        <v>233.49572491220553</v>
      </c>
      <c r="AK438">
        <f t="shared" si="24"/>
        <v>9.7289885380085632</v>
      </c>
      <c r="AM438" s="56">
        <v>407</v>
      </c>
      <c r="AN438" s="56">
        <f t="shared" si="25"/>
        <v>0.52611866283012887</v>
      </c>
    </row>
    <row r="439" spans="14:40" x14ac:dyDescent="0.25">
      <c r="N439" s="14">
        <v>135.667</v>
      </c>
      <c r="O439" s="14">
        <v>0.258523</v>
      </c>
      <c r="P439">
        <v>0</v>
      </c>
      <c r="Q439" s="57"/>
      <c r="R439" s="56">
        <f>N1253</f>
        <v>407</v>
      </c>
      <c r="S439" s="56">
        <f>P1253</f>
        <v>1.6163220000000003</v>
      </c>
      <c r="Z439">
        <v>407</v>
      </c>
      <c r="AA439" s="58">
        <v>146.89165849814859</v>
      </c>
      <c r="AB439" s="59">
        <v>60.892216369005418</v>
      </c>
      <c r="AC439" s="59">
        <v>207.783874867154</v>
      </c>
      <c r="AD439" s="60">
        <v>85.999442129143176</v>
      </c>
      <c r="AE439" s="61">
        <v>0.35857704358521564</v>
      </c>
      <c r="AF439" s="62">
        <v>0.17548057167081207</v>
      </c>
      <c r="AG439" s="62">
        <v>0.53405761525602768</v>
      </c>
      <c r="AH439" s="63">
        <v>0.18309647191440356</v>
      </c>
      <c r="AI439">
        <f t="shared" si="26"/>
        <v>9.7400687971654047</v>
      </c>
      <c r="AJ439" s="64">
        <v>233.7616511319697</v>
      </c>
      <c r="AK439">
        <f t="shared" si="24"/>
        <v>9.7400687971654047</v>
      </c>
      <c r="AM439" s="56">
        <v>408</v>
      </c>
      <c r="AN439" s="56">
        <f t="shared" si="25"/>
        <v>0.52560719172640802</v>
      </c>
    </row>
    <row r="440" spans="14:40" x14ac:dyDescent="0.25">
      <c r="N440" s="14">
        <v>136</v>
      </c>
      <c r="O440" s="14">
        <v>4.57565E-4</v>
      </c>
      <c r="P440" s="14">
        <f>O440+O439+O438</f>
        <v>0.258980565</v>
      </c>
      <c r="Q440" s="57"/>
      <c r="R440" s="56">
        <f>N1256</f>
        <v>408</v>
      </c>
      <c r="S440" s="56">
        <f>P1256</f>
        <v>1.6095780000000002</v>
      </c>
      <c r="Z440">
        <v>408</v>
      </c>
      <c r="AA440" s="58">
        <v>146.36553983531846</v>
      </c>
      <c r="AB440" s="59">
        <v>60.662041751669754</v>
      </c>
      <c r="AC440" s="59">
        <v>207.02758158698822</v>
      </c>
      <c r="AD440" s="60">
        <v>85.703498083648697</v>
      </c>
      <c r="AE440" s="61">
        <v>0.35729070099145105</v>
      </c>
      <c r="AF440" s="62">
        <v>0.17482464982026483</v>
      </c>
      <c r="AG440" s="62">
        <v>0.5321153508117159</v>
      </c>
      <c r="AH440" s="63">
        <v>0.18246605117118622</v>
      </c>
      <c r="AI440">
        <f t="shared" si="26"/>
        <v>9.7511490563222427</v>
      </c>
      <c r="AJ440" s="64">
        <v>234.02757735173384</v>
      </c>
      <c r="AK440">
        <f t="shared" si="24"/>
        <v>9.7511490563222427</v>
      </c>
      <c r="AM440" s="56">
        <v>409</v>
      </c>
      <c r="AN440" s="56">
        <f t="shared" si="25"/>
        <v>0.52560719172646486</v>
      </c>
    </row>
    <row r="441" spans="14:40" x14ac:dyDescent="0.25">
      <c r="N441" s="14">
        <v>136.333</v>
      </c>
      <c r="O441" s="14">
        <v>0</v>
      </c>
      <c r="P441">
        <v>0</v>
      </c>
      <c r="Q441" s="57"/>
      <c r="R441" s="56">
        <f>N1259</f>
        <v>409</v>
      </c>
      <c r="S441" s="56">
        <f>P1259</f>
        <v>1.598929</v>
      </c>
      <c r="Z441">
        <v>409</v>
      </c>
      <c r="AA441" s="58">
        <v>145.83993264359205</v>
      </c>
      <c r="AB441" s="59">
        <v>60.431616462074366</v>
      </c>
      <c r="AC441" s="59">
        <v>206.27154910566642</v>
      </c>
      <c r="AD441" s="60">
        <v>85.408316181517677</v>
      </c>
      <c r="AE441" s="61">
        <v>0.35600550722702418</v>
      </c>
      <c r="AF441" s="62">
        <v>0.17416808431444072</v>
      </c>
      <c r="AG441" s="62">
        <v>0.53017359154146493</v>
      </c>
      <c r="AH441" s="63">
        <v>0.18183742291258345</v>
      </c>
      <c r="AI441">
        <f t="shared" si="26"/>
        <v>9.7622293154790825</v>
      </c>
      <c r="AJ441" s="64">
        <v>234.29350357149798</v>
      </c>
      <c r="AK441">
        <f t="shared" si="24"/>
        <v>9.7622293154790825</v>
      </c>
      <c r="AM441" s="56">
        <v>410</v>
      </c>
      <c r="AN441" s="56">
        <f t="shared" si="25"/>
        <v>0.52560719172643644</v>
      </c>
    </row>
    <row r="442" spans="14:40" x14ac:dyDescent="0.25">
      <c r="N442" s="14">
        <v>136.667</v>
      </c>
      <c r="O442" s="14">
        <v>0.25349100000000002</v>
      </c>
      <c r="P442">
        <v>0</v>
      </c>
      <c r="Q442" s="57"/>
      <c r="R442" s="56">
        <f>N1262</f>
        <v>410</v>
      </c>
      <c r="S442" s="56">
        <f>P1262</f>
        <v>1.591418</v>
      </c>
      <c r="Z442">
        <v>410</v>
      </c>
      <c r="AA442" s="58">
        <v>145.31432545186559</v>
      </c>
      <c r="AB442" s="59">
        <v>60.201235490023222</v>
      </c>
      <c r="AC442" s="59">
        <v>205.51556094188879</v>
      </c>
      <c r="AD442" s="60">
        <v>85.113089961842363</v>
      </c>
      <c r="AE442" s="61">
        <v>0.35472031346259747</v>
      </c>
      <c r="AF442" s="62">
        <v>0.17351160595924597</v>
      </c>
      <c r="AG442" s="62">
        <v>0.52823191942184344</v>
      </c>
      <c r="AH442" s="63">
        <v>0.1812087075033515</v>
      </c>
      <c r="AI442">
        <f t="shared" si="26"/>
        <v>9.7733095746359222</v>
      </c>
      <c r="AJ442" s="64">
        <v>234.55942979126215</v>
      </c>
      <c r="AK442">
        <f t="shared" si="24"/>
        <v>9.7733095746359222</v>
      </c>
      <c r="AM442" s="56">
        <v>411</v>
      </c>
      <c r="AN442" s="56">
        <f t="shared" si="25"/>
        <v>0.52560719172643644</v>
      </c>
    </row>
    <row r="443" spans="14:40" x14ac:dyDescent="0.25">
      <c r="N443" s="14">
        <v>137</v>
      </c>
      <c r="O443" s="14">
        <v>5.0672599999999999E-4</v>
      </c>
      <c r="P443" s="14">
        <f>O443+O442+O441</f>
        <v>0.25399772600000003</v>
      </c>
      <c r="Q443" s="57"/>
      <c r="R443" s="56">
        <f>N1265</f>
        <v>411</v>
      </c>
      <c r="S443" s="56">
        <f>P1265</f>
        <v>1.5814509999999999</v>
      </c>
      <c r="Z443">
        <v>411</v>
      </c>
      <c r="AA443" s="58">
        <v>144.78871826013915</v>
      </c>
      <c r="AB443" s="59">
        <v>59.970899346259465</v>
      </c>
      <c r="AC443" s="59">
        <v>204.75961760639862</v>
      </c>
      <c r="AD443" s="60">
        <v>84.817818913879677</v>
      </c>
      <c r="AE443" s="61">
        <v>0.35343511969817071</v>
      </c>
      <c r="AF443" s="62">
        <v>0.17285521574763624</v>
      </c>
      <c r="AG443" s="62">
        <v>0.52629033544580694</v>
      </c>
      <c r="AH443" s="63">
        <v>0.18057990395053447</v>
      </c>
      <c r="AI443">
        <f t="shared" si="26"/>
        <v>9.7843898337927619</v>
      </c>
      <c r="AJ443" s="64">
        <v>234.82535601102629</v>
      </c>
      <c r="AK443">
        <f t="shared" si="24"/>
        <v>9.7843898337927619</v>
      </c>
      <c r="AM443" s="56">
        <v>412</v>
      </c>
      <c r="AN443" s="56">
        <f t="shared" si="25"/>
        <v>0.52560719172640802</v>
      </c>
    </row>
    <row r="444" spans="14:40" x14ac:dyDescent="0.25">
      <c r="N444" s="14">
        <v>137.333</v>
      </c>
      <c r="O444" s="14">
        <v>0</v>
      </c>
      <c r="P444">
        <v>0</v>
      </c>
      <c r="Q444" s="57"/>
      <c r="R444" s="56">
        <f>N1268</f>
        <v>412</v>
      </c>
      <c r="S444" s="56">
        <f>P1268</f>
        <v>1.5737579999999998</v>
      </c>
      <c r="Z444">
        <v>412</v>
      </c>
      <c r="AA444" s="58">
        <v>144.26311106841271</v>
      </c>
      <c r="AB444" s="59">
        <v>59.740608549303822</v>
      </c>
      <c r="AC444" s="59">
        <v>204.00371961771654</v>
      </c>
      <c r="AD444" s="60">
        <v>84.522502519108883</v>
      </c>
      <c r="AE444" s="61">
        <v>0.35214992593374383</v>
      </c>
      <c r="AF444" s="62">
        <v>0.17219891468757256</v>
      </c>
      <c r="AG444" s="62">
        <v>0.52434884062131637</v>
      </c>
      <c r="AH444" s="63">
        <v>0.17995101124617127</v>
      </c>
      <c r="AI444">
        <f t="shared" si="26"/>
        <v>9.7954700929496017</v>
      </c>
      <c r="AJ444" s="64">
        <v>235.09128223079045</v>
      </c>
      <c r="AK444">
        <f t="shared" si="24"/>
        <v>9.7954700929496017</v>
      </c>
      <c r="AM444" s="56">
        <v>413</v>
      </c>
      <c r="AN444" s="56">
        <f t="shared" si="25"/>
        <v>0.52560719172646486</v>
      </c>
    </row>
    <row r="445" spans="14:40" x14ac:dyDescent="0.25">
      <c r="N445" s="14">
        <v>137.667</v>
      </c>
      <c r="O445" s="14">
        <v>0.25830900000000001</v>
      </c>
      <c r="P445">
        <v>0</v>
      </c>
      <c r="Q445" s="57"/>
      <c r="R445" s="56">
        <f>N1271</f>
        <v>413</v>
      </c>
      <c r="S445" s="56">
        <f>P1271</f>
        <v>1.5637940000000001</v>
      </c>
      <c r="Z445">
        <v>413</v>
      </c>
      <c r="AA445" s="58">
        <v>143.7375038766863</v>
      </c>
      <c r="AB445" s="59">
        <v>59.510363625599844</v>
      </c>
      <c r="AC445" s="59">
        <v>203.24786750228614</v>
      </c>
      <c r="AD445" s="60">
        <v>84.227140251086468</v>
      </c>
      <c r="AE445" s="61">
        <v>0.35086473216931713</v>
      </c>
      <c r="AF445" s="62">
        <v>0.17154270380230241</v>
      </c>
      <c r="AG445" s="62">
        <v>0.52240743597161954</v>
      </c>
      <c r="AH445" s="63">
        <v>0.17932202836701472</v>
      </c>
      <c r="AI445">
        <f t="shared" si="26"/>
        <v>9.8065503521064414</v>
      </c>
      <c r="AJ445" s="64">
        <v>235.35720845055459</v>
      </c>
      <c r="AK445">
        <f t="shared" si="24"/>
        <v>9.8065503521064414</v>
      </c>
      <c r="AM445" s="56">
        <v>414</v>
      </c>
      <c r="AN445" s="56">
        <f t="shared" si="25"/>
        <v>0.52560719172640802</v>
      </c>
    </row>
    <row r="446" spans="14:40" x14ac:dyDescent="0.25">
      <c r="N446" s="14">
        <v>138</v>
      </c>
      <c r="O446" s="14">
        <v>4.5688400000000001E-4</v>
      </c>
      <c r="P446" s="14">
        <f>O446+O445+O444</f>
        <v>0.258765884</v>
      </c>
      <c r="Q446" s="57"/>
      <c r="R446" s="56">
        <f>N1274</f>
        <v>414</v>
      </c>
      <c r="S446" s="56">
        <f>P1274</f>
        <v>1.555023</v>
      </c>
      <c r="Z446">
        <v>414</v>
      </c>
      <c r="AA446" s="58">
        <v>143.21189668495984</v>
      </c>
      <c r="AB446" s="59">
        <v>59.280165109664644</v>
      </c>
      <c r="AC446" s="59">
        <v>202.49206179462448</v>
      </c>
      <c r="AD446" s="60">
        <v>83.931731575295203</v>
      </c>
      <c r="AE446" s="61">
        <v>0.34957953840489037</v>
      </c>
      <c r="AF446" s="62">
        <v>0.17088658413065014</v>
      </c>
      <c r="AG446" s="62">
        <v>0.52046612253554048</v>
      </c>
      <c r="AH446" s="63">
        <v>0.17869295427424023</v>
      </c>
      <c r="AI446">
        <f t="shared" si="26"/>
        <v>9.4270339234938287</v>
      </c>
      <c r="AJ446" s="64">
        <v>226.24881416385188</v>
      </c>
      <c r="AK446">
        <f t="shared" si="24"/>
        <v>9.4270339234938287</v>
      </c>
      <c r="AM446" s="56">
        <v>415</v>
      </c>
      <c r="AN446" s="56">
        <f t="shared" si="25"/>
        <v>0.52560719172643644</v>
      </c>
    </row>
    <row r="447" spans="14:40" x14ac:dyDescent="0.25">
      <c r="N447" s="14">
        <v>138.333</v>
      </c>
      <c r="O447" s="14">
        <v>0</v>
      </c>
      <c r="P447">
        <v>0</v>
      </c>
      <c r="Q447" s="57"/>
      <c r="R447" s="56">
        <f>N1277</f>
        <v>415</v>
      </c>
      <c r="S447" s="56">
        <f>P1277</f>
        <v>1.547409</v>
      </c>
      <c r="Z447">
        <v>415</v>
      </c>
      <c r="AA447" s="58">
        <v>142.68628949323343</v>
      </c>
      <c r="AB447" s="59">
        <v>59.050013544241239</v>
      </c>
      <c r="AC447" s="59">
        <v>201.73630303747467</v>
      </c>
      <c r="AD447" s="60">
        <v>83.636275948992193</v>
      </c>
      <c r="AE447" s="61">
        <v>0.34829434464046349</v>
      </c>
      <c r="AF447" s="62">
        <v>0.17023055672730966</v>
      </c>
      <c r="AG447" s="62">
        <v>0.51852490136777318</v>
      </c>
      <c r="AH447" s="63">
        <v>0.17806378791315383</v>
      </c>
      <c r="AI447">
        <f t="shared" si="26"/>
        <v>5.7419983146763931</v>
      </c>
      <c r="AJ447" s="64">
        <v>137.80795955223343</v>
      </c>
      <c r="AK447">
        <f t="shared" si="24"/>
        <v>5.7419983146763931</v>
      </c>
      <c r="AM447" s="56">
        <v>416</v>
      </c>
      <c r="AN447" s="56">
        <f t="shared" si="25"/>
        <v>0.52560719172643644</v>
      </c>
    </row>
    <row r="448" spans="14:40" x14ac:dyDescent="0.25">
      <c r="N448" s="14">
        <v>138.667</v>
      </c>
      <c r="O448" s="14">
        <v>0.25885200000000003</v>
      </c>
      <c r="P448">
        <v>0</v>
      </c>
      <c r="Q448" s="57"/>
      <c r="R448" s="56">
        <f>N1280</f>
        <v>416</v>
      </c>
      <c r="S448" s="56">
        <f>P1280</f>
        <v>1.5387529999999998</v>
      </c>
      <c r="Z448">
        <v>416</v>
      </c>
      <c r="AA448" s="58">
        <v>142.16068230150699</v>
      </c>
      <c r="AB448" s="59">
        <v>58.819909480456275</v>
      </c>
      <c r="AC448" s="59">
        <v>200.98059178196326</v>
      </c>
      <c r="AD448" s="60">
        <v>83.34077282105072</v>
      </c>
      <c r="AE448" s="61">
        <v>0.34700915087603679</v>
      </c>
      <c r="AF448" s="62">
        <v>0.16957462266314613</v>
      </c>
      <c r="AG448" s="62">
        <v>0.51658377353918294</v>
      </c>
      <c r="AH448" s="63">
        <v>0.17743452821289066</v>
      </c>
      <c r="AI448">
        <f t="shared" si="26"/>
        <v>4.6982306534253988</v>
      </c>
      <c r="AJ448" s="64">
        <v>112.75753568220956</v>
      </c>
      <c r="AK448">
        <f t="shared" si="24"/>
        <v>4.6982306534253988</v>
      </c>
      <c r="AM448" s="56">
        <v>417</v>
      </c>
      <c r="AN448" s="56">
        <f t="shared" si="25"/>
        <v>0.52560719172643644</v>
      </c>
    </row>
    <row r="449" spans="14:40" x14ac:dyDescent="0.25">
      <c r="N449" s="14">
        <v>139</v>
      </c>
      <c r="O449" s="14">
        <v>4.4983000000000002E-4</v>
      </c>
      <c r="P449" s="14">
        <f>O449+O448+O447</f>
        <v>0.25930183000000001</v>
      </c>
      <c r="Q449" s="57"/>
      <c r="R449" s="56">
        <f>N1283</f>
        <v>417</v>
      </c>
      <c r="S449" s="56">
        <f>P1283</f>
        <v>1.5299830000000001</v>
      </c>
      <c r="Z449">
        <v>417</v>
      </c>
      <c r="AA449" s="58">
        <v>141.63507510978056</v>
      </c>
      <c r="AB449" s="59">
        <v>58.589853477979119</v>
      </c>
      <c r="AC449" s="59">
        <v>200.22492858775968</v>
      </c>
      <c r="AD449" s="60">
        <v>83.045221631801439</v>
      </c>
      <c r="AE449" s="61">
        <v>0.34572395711160997</v>
      </c>
      <c r="AF449" s="62">
        <v>0.16891878302550539</v>
      </c>
      <c r="AG449" s="62">
        <v>0.51464274013711542</v>
      </c>
      <c r="AH449" s="63">
        <v>0.17680517408610458</v>
      </c>
      <c r="AI449">
        <f t="shared" si="26"/>
        <v>16.635756878194584</v>
      </c>
      <c r="AJ449" s="64">
        <v>399.25816507667002</v>
      </c>
      <c r="AK449">
        <f t="shared" si="24"/>
        <v>16.635756878194584</v>
      </c>
      <c r="AM449" s="56">
        <v>418</v>
      </c>
      <c r="AN449" s="56">
        <f t="shared" si="25"/>
        <v>0.52560719172646486</v>
      </c>
    </row>
    <row r="450" spans="14:40" x14ac:dyDescent="0.25">
      <c r="N450" s="14">
        <v>139.333</v>
      </c>
      <c r="O450" s="14">
        <v>0</v>
      </c>
      <c r="P450">
        <v>0</v>
      </c>
      <c r="Q450" s="57"/>
      <c r="R450" s="56">
        <f>N1286</f>
        <v>418</v>
      </c>
      <c r="S450" s="56">
        <f>P1286</f>
        <v>1.5218690000000001</v>
      </c>
      <c r="Z450">
        <v>418</v>
      </c>
      <c r="AA450" s="58">
        <v>141.10946791805412</v>
      </c>
      <c r="AB450" s="59">
        <v>58.35984610518662</v>
      </c>
      <c r="AC450" s="59">
        <v>199.46931402324074</v>
      </c>
      <c r="AD450" s="60">
        <v>82.749621812867503</v>
      </c>
      <c r="AE450" s="61">
        <v>0.34443876334718315</v>
      </c>
      <c r="AF450" s="62">
        <v>0.16826303891852723</v>
      </c>
      <c r="AG450" s="62">
        <v>0.51270180226571038</v>
      </c>
      <c r="AH450" s="63">
        <v>0.17617572442865592</v>
      </c>
      <c r="AI450">
        <f t="shared" si="26"/>
        <v>23.599080212996387</v>
      </c>
      <c r="AJ450" s="64">
        <v>566.37792511191333</v>
      </c>
      <c r="AK450">
        <f t="shared" si="24"/>
        <v>23.599080212996387</v>
      </c>
      <c r="AM450" s="56">
        <v>419</v>
      </c>
      <c r="AN450" s="56">
        <f t="shared" si="25"/>
        <v>0.52560719172640802</v>
      </c>
    </row>
    <row r="451" spans="14:40" x14ac:dyDescent="0.25">
      <c r="N451" s="14">
        <v>139.667</v>
      </c>
      <c r="O451" s="14">
        <v>0.25949299999999997</v>
      </c>
      <c r="P451">
        <v>0</v>
      </c>
      <c r="Q451" s="57"/>
      <c r="R451" s="56">
        <f>N1289</f>
        <v>419</v>
      </c>
      <c r="S451" s="56">
        <f>P1289</f>
        <v>1.512775</v>
      </c>
      <c r="Z451">
        <v>419</v>
      </c>
      <c r="AA451" s="58">
        <v>140.58386072632766</v>
      </c>
      <c r="AB451" s="59">
        <v>58.129887939330118</v>
      </c>
      <c r="AC451" s="59">
        <v>198.71374866565776</v>
      </c>
      <c r="AD451" s="60">
        <v>82.453972786997539</v>
      </c>
      <c r="AE451" s="61">
        <v>0.34315356958275639</v>
      </c>
      <c r="AF451" s="62">
        <v>0.16760739146346884</v>
      </c>
      <c r="AG451" s="62">
        <v>0.51076096104622526</v>
      </c>
      <c r="AH451" s="63">
        <v>0.17554617811928755</v>
      </c>
      <c r="AI451">
        <f t="shared" si="26"/>
        <v>22.881283781761187</v>
      </c>
      <c r="AJ451" s="64">
        <v>549.15081076226852</v>
      </c>
      <c r="AK451">
        <f t="shared" si="24"/>
        <v>22.881283781761187</v>
      </c>
      <c r="AM451" s="56">
        <v>420</v>
      </c>
      <c r="AN451" s="56">
        <f t="shared" si="25"/>
        <v>0.52560719172646486</v>
      </c>
    </row>
    <row r="452" spans="14:40" x14ac:dyDescent="0.25">
      <c r="N452" s="14">
        <v>140</v>
      </c>
      <c r="O452" s="14">
        <v>4.4269099999999999E-4</v>
      </c>
      <c r="P452" s="14">
        <f>O452+O451+O450</f>
        <v>0.25993569099999997</v>
      </c>
      <c r="Q452" s="57"/>
      <c r="R452" s="56">
        <f>N1292</f>
        <v>420</v>
      </c>
      <c r="S452" s="56">
        <f>P1292</f>
        <v>1.5055719999999999</v>
      </c>
      <c r="Z452">
        <v>420</v>
      </c>
      <c r="AA452" s="58">
        <v>140.05825353460125</v>
      </c>
      <c r="AB452" s="59">
        <v>57.899979566706968</v>
      </c>
      <c r="AC452" s="59">
        <v>197.95823310130822</v>
      </c>
      <c r="AD452" s="60">
        <v>82.158273967894274</v>
      </c>
      <c r="AE452" s="61">
        <v>0.34186837581832963</v>
      </c>
      <c r="AF452" s="62">
        <v>0.16695184179903452</v>
      </c>
      <c r="AG452" s="62">
        <v>0.50882021761736418</v>
      </c>
      <c r="AH452" s="63">
        <v>0.17491653401929511</v>
      </c>
      <c r="AI452">
        <f t="shared" si="26"/>
        <v>19.098560088704513</v>
      </c>
      <c r="AJ452" s="64">
        <v>458.36544212890828</v>
      </c>
      <c r="AK452">
        <f t="shared" si="24"/>
        <v>19.098560088704513</v>
      </c>
      <c r="AM452" s="56">
        <v>421</v>
      </c>
      <c r="AN452" s="56">
        <f t="shared" si="25"/>
        <v>0.52560719172640802</v>
      </c>
    </row>
    <row r="453" spans="14:40" x14ac:dyDescent="0.25">
      <c r="N453" s="14">
        <v>140.333</v>
      </c>
      <c r="O453" s="14">
        <v>0</v>
      </c>
      <c r="P453">
        <v>0</v>
      </c>
      <c r="Q453" s="57"/>
      <c r="R453" s="56">
        <f>N1295</f>
        <v>421</v>
      </c>
      <c r="S453" s="56">
        <f>P1295</f>
        <v>1.4941629999999999</v>
      </c>
      <c r="Z453">
        <v>421</v>
      </c>
      <c r="AA453" s="58">
        <v>139.53264634287478</v>
      </c>
      <c r="AB453" s="59">
        <v>57.670121582836224</v>
      </c>
      <c r="AC453" s="59">
        <v>197.20276792571102</v>
      </c>
      <c r="AD453" s="60">
        <v>81.862524760038553</v>
      </c>
      <c r="AE453" s="61">
        <v>0.34058318205390292</v>
      </c>
      <c r="AF453" s="62">
        <v>0.16629639108171257</v>
      </c>
      <c r="AG453" s="62">
        <v>0.50687957313561549</v>
      </c>
      <c r="AH453" s="63">
        <v>0.17428679097219035</v>
      </c>
      <c r="AI453">
        <f t="shared" si="26"/>
        <v>15.247862004227249</v>
      </c>
      <c r="AJ453" s="64">
        <v>365.94868810145397</v>
      </c>
      <c r="AK453">
        <f t="shared" si="24"/>
        <v>15.247862004227249</v>
      </c>
      <c r="AM453" s="56">
        <v>422</v>
      </c>
      <c r="AN453" s="56">
        <f t="shared" si="25"/>
        <v>0.52560719172643644</v>
      </c>
    </row>
    <row r="454" spans="14:40" x14ac:dyDescent="0.25">
      <c r="N454" s="14">
        <v>140.667</v>
      </c>
      <c r="O454" s="14">
        <v>0</v>
      </c>
      <c r="P454">
        <v>0</v>
      </c>
      <c r="Q454" s="57"/>
      <c r="R454" s="56">
        <f>N1298</f>
        <v>422</v>
      </c>
      <c r="S454" s="56">
        <f>P1298</f>
        <v>1.4901979999999999</v>
      </c>
      <c r="Z454">
        <v>422</v>
      </c>
      <c r="AA454" s="58">
        <v>139.00703915114838</v>
      </c>
      <c r="AB454" s="59">
        <v>57.440314592637172</v>
      </c>
      <c r="AC454" s="59">
        <v>196.44735374378556</v>
      </c>
      <c r="AD454" s="60">
        <v>81.566724558511197</v>
      </c>
      <c r="AE454" s="61">
        <v>0.33929798828947605</v>
      </c>
      <c r="AF454" s="62">
        <v>0.16564104048612074</v>
      </c>
      <c r="AG454" s="62">
        <v>0.50493902877559682</v>
      </c>
      <c r="AH454" s="63">
        <v>0.1736569478033553</v>
      </c>
      <c r="AI454">
        <f t="shared" si="26"/>
        <v>11.397163919749985</v>
      </c>
      <c r="AJ454" s="64">
        <v>273.53193407399965</v>
      </c>
      <c r="AK454">
        <f t="shared" si="24"/>
        <v>11.397163919749985</v>
      </c>
      <c r="AM454" s="56">
        <v>423</v>
      </c>
      <c r="AN454" s="56">
        <f t="shared" si="25"/>
        <v>0.52560719172643644</v>
      </c>
    </row>
    <row r="455" spans="14:40" x14ac:dyDescent="0.25">
      <c r="N455" s="14">
        <v>141</v>
      </c>
      <c r="O455" s="14">
        <v>0</v>
      </c>
      <c r="P455" s="14">
        <f>O455+O454+O453</f>
        <v>0</v>
      </c>
      <c r="Q455" s="57"/>
      <c r="R455" s="56">
        <f>N1301</f>
        <v>423</v>
      </c>
      <c r="S455" s="56">
        <f>P1301</f>
        <v>1.478898</v>
      </c>
      <c r="Z455">
        <v>423</v>
      </c>
      <c r="AA455" s="58">
        <v>138.48143195942194</v>
      </c>
      <c r="AB455" s="59">
        <v>57.210559210613894</v>
      </c>
      <c r="AC455" s="59">
        <v>195.69199117003583</v>
      </c>
      <c r="AD455" s="60">
        <v>81.270872748808046</v>
      </c>
      <c r="AE455" s="61">
        <v>0.33801279452504923</v>
      </c>
      <c r="AF455" s="62">
        <v>0.16498579120535856</v>
      </c>
      <c r="AG455" s="62">
        <v>0.50299858573040779</v>
      </c>
      <c r="AH455" s="63">
        <v>0.17302700331969068</v>
      </c>
      <c r="AI455">
        <f t="shared" si="26"/>
        <v>8.6130807067006572</v>
      </c>
      <c r="AJ455" s="64">
        <v>206.71393696081577</v>
      </c>
      <c r="AK455">
        <f t="shared" si="24"/>
        <v>8.6130807067006572</v>
      </c>
      <c r="AM455" s="56">
        <v>424</v>
      </c>
      <c r="AN455" s="56">
        <f t="shared" si="25"/>
        <v>0.52560719172643644</v>
      </c>
    </row>
    <row r="456" spans="14:40" x14ac:dyDescent="0.25">
      <c r="N456" s="14">
        <v>141.333</v>
      </c>
      <c r="O456" s="14">
        <v>0</v>
      </c>
      <c r="P456">
        <v>0</v>
      </c>
      <c r="Q456" s="57"/>
      <c r="R456" s="56">
        <f>N1304</f>
        <v>424</v>
      </c>
      <c r="S456" s="56">
        <f>P1304</f>
        <v>1.4726589999999999</v>
      </c>
      <c r="Z456">
        <v>424</v>
      </c>
      <c r="AA456" s="58">
        <v>137.9558247676955</v>
      </c>
      <c r="AB456" s="59">
        <v>56.980856061042019</v>
      </c>
      <c r="AC456" s="59">
        <v>194.93668082873751</v>
      </c>
      <c r="AD456" s="60">
        <v>80.974968706653485</v>
      </c>
      <c r="AE456" s="61">
        <v>0.33672760076062247</v>
      </c>
      <c r="AF456" s="62">
        <v>0.16433064445136897</v>
      </c>
      <c r="AG456" s="62">
        <v>0.50105824521199138</v>
      </c>
      <c r="AH456" s="63">
        <v>0.1723969563092535</v>
      </c>
      <c r="AI456">
        <f t="shared" si="26"/>
        <v>7.9241632819001433</v>
      </c>
      <c r="AJ456" s="64">
        <v>190.17991876560345</v>
      </c>
      <c r="AK456">
        <f t="shared" si="24"/>
        <v>7.9241632819001433</v>
      </c>
      <c r="AM456" s="56">
        <v>425</v>
      </c>
      <c r="AN456" s="56">
        <f t="shared" si="25"/>
        <v>0.52560719172643644</v>
      </c>
    </row>
    <row r="457" spans="14:40" x14ac:dyDescent="0.25">
      <c r="N457" s="14">
        <v>141.667</v>
      </c>
      <c r="O457" s="14">
        <v>0</v>
      </c>
      <c r="P457">
        <v>0</v>
      </c>
      <c r="Q457" s="57"/>
      <c r="R457" s="56">
        <f>N1307</f>
        <v>425</v>
      </c>
      <c r="S457" s="56">
        <f>P1307</f>
        <v>1.463327</v>
      </c>
      <c r="Z457">
        <v>425</v>
      </c>
      <c r="AA457" s="58">
        <v>137.43021757596907</v>
      </c>
      <c r="AB457" s="59">
        <v>56.751205778161506</v>
      </c>
      <c r="AC457" s="59">
        <v>194.18142335413057</v>
      </c>
      <c r="AD457" s="60">
        <v>80.679011797807561</v>
      </c>
      <c r="AE457" s="61">
        <v>0.33544240699619565</v>
      </c>
      <c r="AF457" s="62">
        <v>0.16367560145530879</v>
      </c>
      <c r="AG457" s="62">
        <v>0.49911800845150445</v>
      </c>
      <c r="AH457" s="63">
        <v>0.17176680554088686</v>
      </c>
      <c r="AI457">
        <f t="shared" si="26"/>
        <v>7.2907287142508723</v>
      </c>
      <c r="AJ457" s="64">
        <v>174.97748914202094</v>
      </c>
      <c r="AK457">
        <f t="shared" si="24"/>
        <v>7.2907287142508723</v>
      </c>
      <c r="AM457" s="56">
        <v>426</v>
      </c>
      <c r="AN457" s="56">
        <f t="shared" si="25"/>
        <v>0.52560719172643644</v>
      </c>
    </row>
    <row r="458" spans="14:40" x14ac:dyDescent="0.25">
      <c r="N458" s="14">
        <v>142</v>
      </c>
      <c r="O458" s="14">
        <v>0</v>
      </c>
      <c r="P458" s="14">
        <f>O458+O457+O456</f>
        <v>0</v>
      </c>
      <c r="Q458" s="57"/>
      <c r="R458" s="56">
        <f>N1310</f>
        <v>426</v>
      </c>
      <c r="S458" s="56">
        <f>P1310</f>
        <v>1.456053</v>
      </c>
      <c r="Z458">
        <v>426</v>
      </c>
      <c r="AA458" s="58">
        <v>136.90461038424263</v>
      </c>
      <c r="AB458" s="59">
        <v>56.521609006372834</v>
      </c>
      <c r="AC458" s="59">
        <v>193.42621939061547</v>
      </c>
      <c r="AD458" s="60">
        <v>80.383001377869789</v>
      </c>
      <c r="AE458" s="61">
        <v>0.33415721323176895</v>
      </c>
      <c r="AF458" s="62">
        <v>0.16302066346792521</v>
      </c>
      <c r="AG458" s="62">
        <v>0.49717787669969415</v>
      </c>
      <c r="AH458" s="63">
        <v>0.17113654976384374</v>
      </c>
      <c r="AI458">
        <f t="shared" si="26"/>
        <v>5.644194403303441</v>
      </c>
      <c r="AJ458" s="64">
        <v>135.46066567928258</v>
      </c>
      <c r="AK458">
        <f t="shared" si="24"/>
        <v>5.644194403303441</v>
      </c>
      <c r="AM458" s="56">
        <v>427</v>
      </c>
      <c r="AN458" s="56">
        <f t="shared" si="25"/>
        <v>0.52560719172643644</v>
      </c>
    </row>
    <row r="459" spans="14:40" x14ac:dyDescent="0.25">
      <c r="N459" s="14">
        <v>142.333</v>
      </c>
      <c r="O459" s="14">
        <v>0</v>
      </c>
      <c r="P459">
        <v>0</v>
      </c>
      <c r="Q459" s="57"/>
      <c r="R459" s="56">
        <f>N1313</f>
        <v>427</v>
      </c>
      <c r="S459" s="56">
        <f>P1313</f>
        <v>0.47627799999999998</v>
      </c>
      <c r="Z459">
        <v>427</v>
      </c>
      <c r="AA459" s="58">
        <v>136.37900319251619</v>
      </c>
      <c r="AB459" s="59">
        <v>56.292066400438138</v>
      </c>
      <c r="AC459" s="59">
        <v>192.67106959295432</v>
      </c>
      <c r="AD459" s="60">
        <v>80.086936792078063</v>
      </c>
      <c r="AE459" s="61">
        <v>0.33287201946734218</v>
      </c>
      <c r="AF459" s="62">
        <v>0.16236583175994471</v>
      </c>
      <c r="AG459" s="62">
        <v>0.49523785122728692</v>
      </c>
      <c r="AH459" s="63">
        <v>0.17050618770739748</v>
      </c>
      <c r="AI459">
        <f t="shared" si="26"/>
        <v>3.5954803246079443</v>
      </c>
      <c r="AJ459" s="64">
        <v>86.291527790590663</v>
      </c>
      <c r="AK459">
        <f t="shared" si="24"/>
        <v>3.5954803246079443</v>
      </c>
      <c r="AM459" s="56">
        <v>428</v>
      </c>
      <c r="AN459" s="56">
        <f t="shared" si="25"/>
        <v>0.52560719172640802</v>
      </c>
    </row>
    <row r="460" spans="14:40" x14ac:dyDescent="0.25">
      <c r="N460" s="14">
        <v>142.667</v>
      </c>
      <c r="O460" s="14">
        <v>0</v>
      </c>
      <c r="P460">
        <v>0</v>
      </c>
      <c r="Q460" s="57"/>
      <c r="R460" s="56">
        <f>N1316</f>
        <v>428</v>
      </c>
      <c r="S460" s="56">
        <f>P1316</f>
        <v>1.641707</v>
      </c>
      <c r="Z460">
        <v>428</v>
      </c>
      <c r="AA460" s="58">
        <v>135.85339600078976</v>
      </c>
      <c r="AB460" s="59">
        <v>56.062578625687443</v>
      </c>
      <c r="AC460" s="59">
        <v>191.91597462647721</v>
      </c>
      <c r="AD460" s="60">
        <v>79.790817375102307</v>
      </c>
      <c r="AE460" s="61">
        <v>0.33158682570291531</v>
      </c>
      <c r="AF460" s="62">
        <v>0.16171110762246835</v>
      </c>
      <c r="AG460" s="62">
        <v>0.49329793332538363</v>
      </c>
      <c r="AH460" s="63">
        <v>0.16987571808044696</v>
      </c>
      <c r="AI460">
        <f t="shared" si="26"/>
        <v>4.3460669636255016</v>
      </c>
      <c r="AJ460" s="64">
        <v>104.30560712701204</v>
      </c>
      <c r="AK460">
        <f t="shared" si="24"/>
        <v>4.3460669636255016</v>
      </c>
      <c r="AM460" s="56">
        <v>429</v>
      </c>
      <c r="AN460" s="56">
        <f t="shared" si="25"/>
        <v>0.52560719172643644</v>
      </c>
    </row>
    <row r="461" spans="14:40" x14ac:dyDescent="0.25">
      <c r="N461" s="14">
        <v>143</v>
      </c>
      <c r="O461" s="14">
        <v>0</v>
      </c>
      <c r="P461" s="14">
        <f>O461+O460+O459</f>
        <v>0</v>
      </c>
      <c r="Q461" s="57"/>
      <c r="R461" s="56">
        <f>N1319</f>
        <v>429</v>
      </c>
      <c r="S461" s="56">
        <f>P1319</f>
        <v>1.703986</v>
      </c>
      <c r="Z461">
        <v>429</v>
      </c>
      <c r="AA461" s="58">
        <v>135.32778880906335</v>
      </c>
      <c r="AB461" s="59">
        <v>55.833146358229286</v>
      </c>
      <c r="AC461" s="59">
        <v>191.16093516729262</v>
      </c>
      <c r="AD461" s="60">
        <v>79.494642450834064</v>
      </c>
      <c r="AE461" s="61">
        <v>0.33030163193848855</v>
      </c>
      <c r="AF461" s="62">
        <v>0.16105649236737746</v>
      </c>
      <c r="AG461" s="62">
        <v>0.49135812430586601</v>
      </c>
      <c r="AH461" s="63">
        <v>0.16924513957111109</v>
      </c>
      <c r="AI461">
        <f t="shared" si="26"/>
        <v>5.1634000917145917</v>
      </c>
      <c r="AJ461" s="64">
        <v>123.92160220115021</v>
      </c>
      <c r="AK461">
        <f t="shared" si="24"/>
        <v>5.1634000917145917</v>
      </c>
      <c r="AM461" s="56">
        <v>430</v>
      </c>
      <c r="AN461" s="56">
        <f t="shared" si="25"/>
        <v>0.52560719172643644</v>
      </c>
    </row>
    <row r="462" spans="14:40" x14ac:dyDescent="0.25">
      <c r="N462" s="14">
        <v>143.333</v>
      </c>
      <c r="O462" s="14">
        <v>0</v>
      </c>
      <c r="P462">
        <v>0</v>
      </c>
      <c r="Q462" s="57"/>
      <c r="R462" s="56">
        <f>N1322</f>
        <v>430</v>
      </c>
      <c r="S462" s="56">
        <f>P1322</f>
        <v>1.5475190000000001</v>
      </c>
      <c r="Z462">
        <v>430</v>
      </c>
      <c r="AA462" s="58">
        <v>134.80218161733691</v>
      </c>
      <c r="AB462" s="59">
        <v>55.603770285166156</v>
      </c>
      <c r="AC462" s="59">
        <v>190.40595190250306</v>
      </c>
      <c r="AD462" s="60">
        <v>79.198411332170764</v>
      </c>
      <c r="AE462" s="61">
        <v>0.32901643817406179</v>
      </c>
      <c r="AF462" s="62">
        <v>0.16040198732774888</v>
      </c>
      <c r="AG462" s="62">
        <v>0.48941842550181069</v>
      </c>
      <c r="AH462" s="63">
        <v>0.16861445084631291</v>
      </c>
      <c r="AI462">
        <f t="shared" si="26"/>
        <v>5.9807332198036827</v>
      </c>
      <c r="AJ462" s="64">
        <v>143.53759727528839</v>
      </c>
      <c r="AK462">
        <f t="shared" si="24"/>
        <v>5.9807332198036827</v>
      </c>
      <c r="AM462" s="56">
        <v>431</v>
      </c>
      <c r="AN462" s="56">
        <f t="shared" si="25"/>
        <v>0.52560719172643644</v>
      </c>
    </row>
    <row r="463" spans="14:40" x14ac:dyDescent="0.25">
      <c r="N463" s="14">
        <v>143.667</v>
      </c>
      <c r="O463" s="14">
        <v>0</v>
      </c>
      <c r="P463">
        <v>0</v>
      </c>
      <c r="Q463" s="57"/>
      <c r="R463" s="56">
        <f>N1325</f>
        <v>431</v>
      </c>
      <c r="S463" s="56">
        <f>P1325</f>
        <v>1.7663009999999999</v>
      </c>
      <c r="Z463">
        <v>431</v>
      </c>
      <c r="AA463" s="58">
        <v>134.27657442561048</v>
      </c>
      <c r="AB463" s="59">
        <v>55.374451104815478</v>
      </c>
      <c r="AC463" s="59">
        <v>189.65102553042595</v>
      </c>
      <c r="AD463" s="60">
        <v>78.902123320794999</v>
      </c>
      <c r="AE463" s="61">
        <v>0.32773124440963497</v>
      </c>
      <c r="AF463" s="62">
        <v>0.15974759385828066</v>
      </c>
      <c r="AG463" s="62">
        <v>0.4874788382679156</v>
      </c>
      <c r="AH463" s="63">
        <v>0.16798365055135431</v>
      </c>
      <c r="AI463">
        <f t="shared" si="26"/>
        <v>6.7980663478927736</v>
      </c>
      <c r="AJ463" s="64">
        <v>163.15359234942656</v>
      </c>
      <c r="AK463">
        <f t="shared" si="24"/>
        <v>6.7980663478927736</v>
      </c>
      <c r="AM463" s="56">
        <v>432</v>
      </c>
      <c r="AN463" s="56">
        <f t="shared" si="25"/>
        <v>0.52560719172643644</v>
      </c>
    </row>
    <row r="464" spans="14:40" x14ac:dyDescent="0.25">
      <c r="N464" s="14">
        <v>144</v>
      </c>
      <c r="O464" s="14">
        <v>0</v>
      </c>
      <c r="P464" s="14">
        <f>O464+O463+O462</f>
        <v>0</v>
      </c>
      <c r="Q464" s="57"/>
      <c r="R464" s="56">
        <f>N1328</f>
        <v>432</v>
      </c>
      <c r="S464" s="56">
        <f>P1328</f>
        <v>1.517617</v>
      </c>
      <c r="Z464">
        <v>432</v>
      </c>
      <c r="AA464" s="58">
        <v>133.75096723388404</v>
      </c>
      <c r="AB464" s="59">
        <v>55.145189526935908</v>
      </c>
      <c r="AC464" s="59">
        <v>188.89615676081996</v>
      </c>
      <c r="AD464" s="60">
        <v>78.605777706948132</v>
      </c>
      <c r="AE464" s="61">
        <v>0.32644605064520821</v>
      </c>
      <c r="AF464" s="62">
        <v>0.15909331333572685</v>
      </c>
      <c r="AG464" s="62">
        <v>0.48553936398093506</v>
      </c>
      <c r="AH464" s="63">
        <v>0.16735273730948136</v>
      </c>
      <c r="AI464">
        <f t="shared" si="26"/>
        <v>7.1280705823479558</v>
      </c>
      <c r="AJ464" s="64">
        <v>171.07369397635094</v>
      </c>
      <c r="AK464">
        <f t="shared" si="24"/>
        <v>7.1280705823479558</v>
      </c>
      <c r="AM464" s="56">
        <v>433</v>
      </c>
      <c r="AN464" s="56">
        <f t="shared" si="25"/>
        <v>0.52560719172643644</v>
      </c>
    </row>
    <row r="465" spans="14:40" x14ac:dyDescent="0.25">
      <c r="N465" s="14">
        <v>144.333</v>
      </c>
      <c r="O465" s="14">
        <v>0</v>
      </c>
      <c r="P465">
        <v>0</v>
      </c>
      <c r="Q465" s="57"/>
      <c r="R465" s="56">
        <f>N1331</f>
        <v>433</v>
      </c>
      <c r="S465" s="56">
        <f>P1331</f>
        <v>1.7445539999999999</v>
      </c>
      <c r="Z465">
        <v>433</v>
      </c>
      <c r="AA465" s="58">
        <v>133.2253600421576</v>
      </c>
      <c r="AB465" s="59">
        <v>54.915986272958506</v>
      </c>
      <c r="AC465" s="59">
        <v>188.1413463151161</v>
      </c>
      <c r="AD465" s="60">
        <v>78.309373769199098</v>
      </c>
      <c r="AE465" s="61">
        <v>0.32516085688078145</v>
      </c>
      <c r="AF465" s="62">
        <v>0.15843914715934315</v>
      </c>
      <c r="AG465" s="62">
        <v>0.4836000040401246</v>
      </c>
      <c r="AH465" s="63">
        <v>0.16672170972143829</v>
      </c>
      <c r="AI465">
        <f t="shared" si="26"/>
        <v>7.2247619894756596</v>
      </c>
      <c r="AJ465" s="64">
        <v>173.39428774741583</v>
      </c>
      <c r="AK465">
        <f t="shared" si="24"/>
        <v>7.2247619894756596</v>
      </c>
      <c r="AM465" s="56">
        <v>434</v>
      </c>
      <c r="AN465" s="56">
        <f t="shared" si="25"/>
        <v>0.52757065751785603</v>
      </c>
    </row>
    <row r="466" spans="14:40" x14ac:dyDescent="0.25">
      <c r="N466" s="14">
        <v>144.667</v>
      </c>
      <c r="O466" s="14">
        <v>0</v>
      </c>
      <c r="P466">
        <v>0</v>
      </c>
      <c r="Q466" s="57"/>
      <c r="R466" s="56">
        <f>N1334</f>
        <v>434</v>
      </c>
      <c r="S466" s="56">
        <f>P1334</f>
        <v>1.503941</v>
      </c>
      <c r="Z466">
        <v>434</v>
      </c>
      <c r="AA466" s="58">
        <v>132.69975285043117</v>
      </c>
      <c r="AB466" s="59">
        <v>54.686842076224046</v>
      </c>
      <c r="AC466" s="59">
        <v>187.38659492665522</v>
      </c>
      <c r="AD466" s="60">
        <v>78.012910774207114</v>
      </c>
      <c r="AE466" s="61">
        <v>0.32387566311635463</v>
      </c>
      <c r="AF466" s="62">
        <v>0.15778509675134383</v>
      </c>
      <c r="AG466" s="62">
        <v>0.48166075986769846</v>
      </c>
      <c r="AH466" s="63">
        <v>0.16609056636501079</v>
      </c>
      <c r="AI466">
        <f t="shared" si="26"/>
        <v>8.594869830550957</v>
      </c>
      <c r="AJ466" s="64">
        <v>206.27687593322298</v>
      </c>
      <c r="AK466">
        <f t="shared" si="24"/>
        <v>8.594869830550957</v>
      </c>
      <c r="AM466" s="56">
        <v>435</v>
      </c>
      <c r="AN466" s="56">
        <f t="shared" si="25"/>
        <v>0.53138164480279215</v>
      </c>
    </row>
    <row r="467" spans="14:40" x14ac:dyDescent="0.25">
      <c r="N467" s="14">
        <v>145</v>
      </c>
      <c r="O467" s="14">
        <v>0</v>
      </c>
      <c r="P467" s="14">
        <f>O467+O466+O465</f>
        <v>0</v>
      </c>
      <c r="Q467" s="57"/>
      <c r="R467" s="56">
        <f>N1337</f>
        <v>435</v>
      </c>
      <c r="S467" s="56">
        <f>P1337</f>
        <v>1.6674360000000001</v>
      </c>
      <c r="Z467">
        <v>435</v>
      </c>
      <c r="AA467" s="58">
        <v>132.17218219291331</v>
      </c>
      <c r="AB467" s="59">
        <v>54.458856475222916</v>
      </c>
      <c r="AC467" s="59">
        <v>186.63103866813623</v>
      </c>
      <c r="AD467" s="60">
        <v>77.713325717690395</v>
      </c>
      <c r="AE467" s="61">
        <v>0.32258569865477094</v>
      </c>
      <c r="AF467" s="62">
        <v>0.15713346179611751</v>
      </c>
      <c r="AG467" s="62">
        <v>0.47971916045088847</v>
      </c>
      <c r="AH467" s="63">
        <v>0.16545223685865343</v>
      </c>
      <c r="AI467">
        <f t="shared" si="26"/>
        <v>9.5060320838747927</v>
      </c>
      <c r="AJ467" s="64">
        <v>228.14477001299502</v>
      </c>
      <c r="AK467">
        <f t="shared" si="24"/>
        <v>9.5060320838747927</v>
      </c>
      <c r="AM467" s="56">
        <v>436</v>
      </c>
      <c r="AN467" s="56">
        <f t="shared" si="25"/>
        <v>0.52999993709150317</v>
      </c>
    </row>
    <row r="468" spans="14:40" x14ac:dyDescent="0.25">
      <c r="N468" s="14">
        <v>145.333</v>
      </c>
      <c r="O468" s="14">
        <v>0</v>
      </c>
      <c r="P468">
        <v>0</v>
      </c>
      <c r="Q468" s="57"/>
      <c r="R468" s="56">
        <f>N1340</f>
        <v>436</v>
      </c>
      <c r="S468" s="56">
        <f>P1340</f>
        <v>1.5010870000000001</v>
      </c>
      <c r="Z468">
        <v>436</v>
      </c>
      <c r="AA468" s="58">
        <v>131.64080054811052</v>
      </c>
      <c r="AB468" s="59">
        <v>54.233081366202654</v>
      </c>
      <c r="AC468" s="59">
        <v>185.87388191431319</v>
      </c>
      <c r="AD468" s="60">
        <v>77.407719181907865</v>
      </c>
      <c r="AE468" s="61">
        <v>0.32128647451253256</v>
      </c>
      <c r="AF468" s="62">
        <v>0.15648644092415531</v>
      </c>
      <c r="AG468" s="62">
        <v>0.47777291543668787</v>
      </c>
      <c r="AH468" s="63">
        <v>0.16480003358837725</v>
      </c>
      <c r="AI468">
        <f t="shared" si="26"/>
        <v>9.4748168703068938</v>
      </c>
      <c r="AJ468" s="64">
        <v>227.39560488736544</v>
      </c>
      <c r="AK468">
        <f t="shared" si="24"/>
        <v>9.4748168703068938</v>
      </c>
      <c r="AM468" s="56">
        <v>437</v>
      </c>
      <c r="AN468" s="56">
        <f t="shared" si="25"/>
        <v>0.52710888038765802</v>
      </c>
    </row>
    <row r="469" spans="14:40" x14ac:dyDescent="0.25">
      <c r="N469" s="14">
        <v>145.667</v>
      </c>
      <c r="O469" s="14">
        <v>0</v>
      </c>
      <c r="P469">
        <v>0</v>
      </c>
      <c r="Q469" s="57"/>
      <c r="R469" s="56">
        <f>N1343</f>
        <v>437</v>
      </c>
      <c r="S469" s="56">
        <f>P1343</f>
        <v>1.5945339999999999</v>
      </c>
      <c r="Z469">
        <v>437</v>
      </c>
      <c r="AA469" s="58">
        <v>131.11080061101902</v>
      </c>
      <c r="AB469" s="59">
        <v>54.006370394398836</v>
      </c>
      <c r="AC469" s="59">
        <v>185.11717100541784</v>
      </c>
      <c r="AD469" s="60">
        <v>77.104430216620187</v>
      </c>
      <c r="AE469" s="61">
        <v>0.31999030651869087</v>
      </c>
      <c r="AF469" s="62">
        <v>0.15583717684191292</v>
      </c>
      <c r="AG469" s="62">
        <v>0.47582748336060376</v>
      </c>
      <c r="AH469" s="63">
        <v>0.16415312967677795</v>
      </c>
      <c r="AI469">
        <f t="shared" si="26"/>
        <v>9.4200583555948594</v>
      </c>
      <c r="AJ469" s="64">
        <v>226.08140053427661</v>
      </c>
      <c r="AK469">
        <f t="shared" si="24"/>
        <v>9.4200583555948594</v>
      </c>
      <c r="AM469" s="56">
        <v>438</v>
      </c>
      <c r="AN469" s="56">
        <f t="shared" si="25"/>
        <v>0.52703341859347574</v>
      </c>
    </row>
    <row r="470" spans="14:40" x14ac:dyDescent="0.25">
      <c r="N470" s="14">
        <v>146</v>
      </c>
      <c r="O470" s="14">
        <v>0</v>
      </c>
      <c r="P470" s="14">
        <f>O470+O469+O468</f>
        <v>0</v>
      </c>
      <c r="Q470" s="57"/>
      <c r="R470" s="56">
        <f>N1346</f>
        <v>438</v>
      </c>
      <c r="S470" s="56">
        <f>P1346</f>
        <v>1.507063</v>
      </c>
      <c r="Z470">
        <v>438</v>
      </c>
      <c r="AA470" s="58">
        <v>130.58369173063136</v>
      </c>
      <c r="AB470" s="59">
        <v>53.777652168326803</v>
      </c>
      <c r="AC470" s="59">
        <v>184.36134389895815</v>
      </c>
      <c r="AD470" s="60">
        <v>76.806039562304562</v>
      </c>
      <c r="AE470" s="61">
        <v>0.31870057465903673</v>
      </c>
      <c r="AF470" s="62">
        <v>0.15518316146002348</v>
      </c>
      <c r="AG470" s="62">
        <v>0.47388373611906021</v>
      </c>
      <c r="AH470" s="63">
        <v>0.16351741319901325</v>
      </c>
      <c r="AI470">
        <f t="shared" si="26"/>
        <v>9.3652998408828232</v>
      </c>
      <c r="AJ470" s="64">
        <v>224.76719618118776</v>
      </c>
      <c r="AK470">
        <f t="shared" si="24"/>
        <v>9.3652998408828232</v>
      </c>
      <c r="AM470" s="56">
        <v>439</v>
      </c>
      <c r="AN470" s="56">
        <f t="shared" si="25"/>
        <v>0.52703341859344732</v>
      </c>
    </row>
    <row r="471" spans="14:40" x14ac:dyDescent="0.25">
      <c r="N471" s="14">
        <v>146.333</v>
      </c>
      <c r="O471" s="14">
        <v>0</v>
      </c>
      <c r="P471">
        <v>0</v>
      </c>
      <c r="Q471" s="57"/>
      <c r="R471" s="56">
        <f>N1349</f>
        <v>439</v>
      </c>
      <c r="S471" s="56">
        <f>P1349</f>
        <v>1.5275619999999999</v>
      </c>
      <c r="Z471">
        <v>439</v>
      </c>
      <c r="AA471" s="58">
        <v>130.05665831203788</v>
      </c>
      <c r="AB471" s="59">
        <v>53.548986275433805</v>
      </c>
      <c r="AC471" s="59">
        <v>183.60564458747169</v>
      </c>
      <c r="AD471" s="60">
        <v>76.507672036604077</v>
      </c>
      <c r="AE471" s="61">
        <v>0.31741101079409284</v>
      </c>
      <c r="AF471" s="62">
        <v>0.15452922468226463</v>
      </c>
      <c r="AG471" s="62">
        <v>0.47194023547635744</v>
      </c>
      <c r="AH471" s="63">
        <v>0.16288178611182821</v>
      </c>
      <c r="AI471">
        <f t="shared" si="26"/>
        <v>9.3105413261707888</v>
      </c>
      <c r="AJ471" s="64">
        <v>223.45299182809893</v>
      </c>
      <c r="AK471">
        <f t="shared" si="24"/>
        <v>9.3105413261707888</v>
      </c>
      <c r="AM471" s="56">
        <v>440</v>
      </c>
      <c r="AN471" s="56">
        <f t="shared" si="25"/>
        <v>0.52703341859344732</v>
      </c>
    </row>
    <row r="472" spans="14:40" x14ac:dyDescent="0.25">
      <c r="N472" s="14">
        <v>146.667</v>
      </c>
      <c r="O472" s="14">
        <v>0</v>
      </c>
      <c r="P472">
        <v>0</v>
      </c>
      <c r="Q472" s="57"/>
      <c r="R472" s="56">
        <f>N1352</f>
        <v>440</v>
      </c>
      <c r="S472" s="56">
        <f>P1352</f>
        <v>1.532011</v>
      </c>
      <c r="Z472">
        <v>440</v>
      </c>
      <c r="AA472" s="58">
        <v>129.52962489344443</v>
      </c>
      <c r="AB472" s="59">
        <v>53.320429096122282</v>
      </c>
      <c r="AC472" s="59">
        <v>182.85005398956673</v>
      </c>
      <c r="AD472" s="60">
        <v>76.209195797322153</v>
      </c>
      <c r="AE472" s="61">
        <v>0.31612144692914901</v>
      </c>
      <c r="AF472" s="62">
        <v>0.15387549825157729</v>
      </c>
      <c r="AG472" s="62">
        <v>0.46999694518072632</v>
      </c>
      <c r="AH472" s="63">
        <v>0.16224594867757172</v>
      </c>
      <c r="AI472">
        <f t="shared" si="26"/>
        <v>8.5762690277086282</v>
      </c>
      <c r="AJ472" s="64">
        <v>205.83045666500709</v>
      </c>
      <c r="AK472">
        <f t="shared" si="24"/>
        <v>8.5762690277086282</v>
      </c>
      <c r="AM472" s="56">
        <v>441</v>
      </c>
      <c r="AN472" s="56">
        <f t="shared" si="25"/>
        <v>0.52703341859347574</v>
      </c>
    </row>
    <row r="473" spans="14:40" x14ac:dyDescent="0.25">
      <c r="N473" s="14">
        <v>147</v>
      </c>
      <c r="O473" s="14">
        <v>0</v>
      </c>
      <c r="P473" s="14">
        <f>O473+O472+O471</f>
        <v>0</v>
      </c>
      <c r="Q473" s="57"/>
      <c r="R473" s="56">
        <f>N1355</f>
        <v>441</v>
      </c>
      <c r="S473" s="56">
        <f>P1355</f>
        <v>1.4820259999999998</v>
      </c>
      <c r="Z473">
        <v>441</v>
      </c>
      <c r="AA473" s="58">
        <v>129.00259147485099</v>
      </c>
      <c r="AB473" s="59">
        <v>53.091982034404985</v>
      </c>
      <c r="AC473" s="59">
        <v>182.09457350925598</v>
      </c>
      <c r="AD473" s="60">
        <v>75.910609440445995</v>
      </c>
      <c r="AE473" s="61">
        <v>0.31483188306420518</v>
      </c>
      <c r="AF473" s="62">
        <v>0.15322198486031882</v>
      </c>
      <c r="AG473" s="62">
        <v>0.46805386792452397</v>
      </c>
      <c r="AH473" s="63">
        <v>0.16160989820388635</v>
      </c>
      <c r="AI473">
        <f t="shared" si="26"/>
        <v>7.3392429489127444</v>
      </c>
      <c r="AJ473" s="64">
        <v>176.14183077390587</v>
      </c>
      <c r="AK473">
        <f t="shared" si="24"/>
        <v>7.3392429489127444</v>
      </c>
      <c r="AM473" s="56">
        <v>442</v>
      </c>
      <c r="AN473" s="56">
        <f t="shared" si="25"/>
        <v>0.52703341859344732</v>
      </c>
    </row>
    <row r="474" spans="14:40" x14ac:dyDescent="0.25">
      <c r="N474" s="14">
        <v>147.333</v>
      </c>
      <c r="O474" s="14">
        <v>0</v>
      </c>
      <c r="P474">
        <v>0</v>
      </c>
      <c r="Q474" s="57"/>
      <c r="R474" s="56">
        <f>N1358</f>
        <v>442</v>
      </c>
      <c r="S474" s="56">
        <f>P1358</f>
        <v>1.5322789999999999</v>
      </c>
      <c r="Z474">
        <v>442</v>
      </c>
      <c r="AA474" s="58">
        <v>128.47555805625751</v>
      </c>
      <c r="AB474" s="59">
        <v>52.863646517881385</v>
      </c>
      <c r="AC474" s="59">
        <v>181.3392045741389</v>
      </c>
      <c r="AD474" s="60">
        <v>75.61191153837612</v>
      </c>
      <c r="AE474" s="61">
        <v>0.3135423191992614</v>
      </c>
      <c r="AF474" s="62">
        <v>0.15256868724609127</v>
      </c>
      <c r="AG474" s="62">
        <v>0.46611100644535264</v>
      </c>
      <c r="AH474" s="63">
        <v>0.16097363195317013</v>
      </c>
      <c r="AI474">
        <f t="shared" si="26"/>
        <v>7.5369688975970242</v>
      </c>
      <c r="AJ474" s="64">
        <v>180.88725354232858</v>
      </c>
      <c r="AK474">
        <f t="shared" si="24"/>
        <v>7.5369688975970242</v>
      </c>
      <c r="AM474" s="56">
        <v>443</v>
      </c>
      <c r="AN474" s="56">
        <f t="shared" si="25"/>
        <v>0.52703341859346153</v>
      </c>
    </row>
    <row r="475" spans="14:40" x14ac:dyDescent="0.25">
      <c r="N475" s="14">
        <v>147.667</v>
      </c>
      <c r="O475" s="14">
        <v>0</v>
      </c>
      <c r="P475">
        <v>0</v>
      </c>
      <c r="Q475" s="57"/>
      <c r="R475" s="56">
        <f>N1361</f>
        <v>443</v>
      </c>
      <c r="S475" s="56">
        <f>P1361</f>
        <v>1.4580489999999999</v>
      </c>
      <c r="Z475">
        <v>443</v>
      </c>
      <c r="AA475" s="58">
        <v>127.94852463766406</v>
      </c>
      <c r="AB475" s="59">
        <v>52.63542399822019</v>
      </c>
      <c r="AC475" s="59">
        <v>180.58394863588427</v>
      </c>
      <c r="AD475" s="60">
        <v>75.313100639443874</v>
      </c>
      <c r="AE475" s="61">
        <v>0.31225275533431757</v>
      </c>
      <c r="AF475" s="62">
        <v>0.1519156081926763</v>
      </c>
      <c r="AG475" s="62">
        <v>0.46416836352699387</v>
      </c>
      <c r="AH475" s="63">
        <v>0.16033714714164127</v>
      </c>
      <c r="AI475">
        <f t="shared" si="26"/>
        <v>7.7689728026809846</v>
      </c>
      <c r="AJ475" s="64">
        <v>186.45534726434363</v>
      </c>
      <c r="AK475">
        <f t="shared" si="24"/>
        <v>7.7689728026809846</v>
      </c>
      <c r="AM475" s="56">
        <v>444</v>
      </c>
      <c r="AN475" s="56">
        <f t="shared" si="25"/>
        <v>0.52805933371946878</v>
      </c>
    </row>
    <row r="476" spans="14:40" x14ac:dyDescent="0.25">
      <c r="N476" s="14">
        <v>148</v>
      </c>
      <c r="O476" s="14">
        <v>0</v>
      </c>
      <c r="P476" s="14">
        <f>O476+O475+O474</f>
        <v>0</v>
      </c>
      <c r="Q476" s="57"/>
      <c r="R476" s="56">
        <f>N1364</f>
        <v>444</v>
      </c>
      <c r="S476" s="56">
        <f>P1364</f>
        <v>1.513366</v>
      </c>
      <c r="Z476">
        <v>444</v>
      </c>
      <c r="AA476" s="58">
        <v>127.4214912190706</v>
      </c>
      <c r="AB476" s="59">
        <v>52.407315951652095</v>
      </c>
      <c r="AC476" s="59">
        <v>179.82880717072271</v>
      </c>
      <c r="AD476" s="60">
        <v>75.014175267418508</v>
      </c>
      <c r="AE476" s="61">
        <v>0.31096319146937373</v>
      </c>
      <c r="AF476" s="62">
        <v>0.15126275053099217</v>
      </c>
      <c r="AG476" s="62">
        <v>0.46222594200036593</v>
      </c>
      <c r="AH476" s="63">
        <v>0.15970044093838157</v>
      </c>
      <c r="AI476">
        <f t="shared" si="26"/>
        <v>8.0009767077649432</v>
      </c>
      <c r="AJ476" s="64">
        <v>192.02344098635862</v>
      </c>
      <c r="AK476">
        <f t="shared" si="24"/>
        <v>8.0009767077649432</v>
      </c>
      <c r="AM476" s="56">
        <v>445</v>
      </c>
      <c r="AN476" s="56">
        <f t="shared" si="25"/>
        <v>0.53251032505353635</v>
      </c>
    </row>
    <row r="477" spans="14:40" x14ac:dyDescent="0.25">
      <c r="N477" s="14">
        <v>148.333</v>
      </c>
      <c r="O477" s="14">
        <v>0</v>
      </c>
      <c r="P477">
        <v>0</v>
      </c>
      <c r="Q477" s="57"/>
      <c r="R477" s="56">
        <f>N1367</f>
        <v>445</v>
      </c>
      <c r="S477" s="56">
        <f>P1367</f>
        <v>1.4417180000000001</v>
      </c>
      <c r="Z477">
        <v>445</v>
      </c>
      <c r="AA477" s="58">
        <v>126.89343188535113</v>
      </c>
      <c r="AB477" s="59">
        <v>52.178230033733954</v>
      </c>
      <c r="AC477" s="59">
        <v>179.0716619190851</v>
      </c>
      <c r="AD477" s="60">
        <v>74.715201851617181</v>
      </c>
      <c r="AE477" s="61">
        <v>0.30967088239628243</v>
      </c>
      <c r="AF477" s="62">
        <v>0.15060777480640566</v>
      </c>
      <c r="AG477" s="62">
        <v>0.46027865720268812</v>
      </c>
      <c r="AH477" s="63">
        <v>0.15906310758987677</v>
      </c>
      <c r="AI477">
        <f t="shared" si="26"/>
        <v>8.2329806128489</v>
      </c>
      <c r="AJ477" s="64">
        <v>197.59153470837362</v>
      </c>
      <c r="AK477">
        <f t="shared" si="24"/>
        <v>8.2329806128489</v>
      </c>
      <c r="AM477" s="56">
        <v>446</v>
      </c>
      <c r="AN477" s="56">
        <f t="shared" si="25"/>
        <v>0.53758886132453654</v>
      </c>
    </row>
    <row r="478" spans="14:40" x14ac:dyDescent="0.25">
      <c r="N478" s="14">
        <v>148.667</v>
      </c>
      <c r="O478" s="14">
        <v>0</v>
      </c>
      <c r="P478">
        <v>0</v>
      </c>
      <c r="Q478" s="57"/>
      <c r="R478" s="56">
        <f>N1370</f>
        <v>446</v>
      </c>
      <c r="S478" s="56">
        <f>P1370</f>
        <v>1.4856009999999999</v>
      </c>
      <c r="Z478">
        <v>446</v>
      </c>
      <c r="AA478" s="58">
        <v>126.3609215602976</v>
      </c>
      <c r="AB478" s="59">
        <v>51.942129657990861</v>
      </c>
      <c r="AC478" s="59">
        <v>178.30305121828846</v>
      </c>
      <c r="AD478" s="60">
        <v>74.418791902306737</v>
      </c>
      <c r="AE478" s="61">
        <v>0.3083667967883621</v>
      </c>
      <c r="AF478" s="62">
        <v>0.14993537877880264</v>
      </c>
      <c r="AG478" s="62">
        <v>0.45830217556716474</v>
      </c>
      <c r="AH478" s="63">
        <v>0.15843141800955945</v>
      </c>
      <c r="AI478">
        <f t="shared" si="26"/>
        <v>8.4649845179328604</v>
      </c>
      <c r="AJ478" s="64">
        <v>203.15962843038864</v>
      </c>
      <c r="AK478">
        <f t="shared" si="24"/>
        <v>8.4649845179328604</v>
      </c>
      <c r="AM478" s="56">
        <v>447</v>
      </c>
      <c r="AN478" s="56">
        <f t="shared" si="25"/>
        <v>0.53771835291477998</v>
      </c>
    </row>
    <row r="479" spans="14:40" x14ac:dyDescent="0.25">
      <c r="N479" s="14">
        <v>149</v>
      </c>
      <c r="O479" s="14">
        <v>0</v>
      </c>
      <c r="P479" s="14">
        <f>O479+O478+O477</f>
        <v>0</v>
      </c>
      <c r="Q479" s="57"/>
      <c r="R479" s="56">
        <f>N1373</f>
        <v>447</v>
      </c>
      <c r="S479" s="56">
        <f>P1373</f>
        <v>1.4303509999999999</v>
      </c>
      <c r="Z479">
        <v>447</v>
      </c>
      <c r="AA479" s="58">
        <v>125.82333269897306</v>
      </c>
      <c r="AB479" s="59">
        <v>51.696180492403855</v>
      </c>
      <c r="AC479" s="59">
        <v>177.51951319137692</v>
      </c>
      <c r="AD479" s="60">
        <v>74.127152206569207</v>
      </c>
      <c r="AE479" s="61">
        <v>0.30704940921540669</v>
      </c>
      <c r="AF479" s="62">
        <v>0.14923726411850141</v>
      </c>
      <c r="AG479" s="62">
        <v>0.4562866733339081</v>
      </c>
      <c r="AH479" s="63">
        <v>0.15781214509690528</v>
      </c>
      <c r="AI479">
        <f t="shared" si="26"/>
        <v>8.6969884230168173</v>
      </c>
      <c r="AJ479" s="64">
        <v>208.72772215240363</v>
      </c>
      <c r="AK479">
        <f t="shared" si="24"/>
        <v>8.6969884230168173</v>
      </c>
      <c r="AM479" s="56">
        <v>448</v>
      </c>
      <c r="AN479" s="56">
        <f t="shared" si="25"/>
        <v>0.5377183529147942</v>
      </c>
    </row>
    <row r="480" spans="14:40" x14ac:dyDescent="0.25">
      <c r="N480" s="14">
        <v>149.333</v>
      </c>
      <c r="O480" s="14">
        <v>0</v>
      </c>
      <c r="P480">
        <v>0</v>
      </c>
      <c r="Q480" s="57"/>
      <c r="R480" s="56">
        <f>N1376</f>
        <v>448</v>
      </c>
      <c r="S480" s="56">
        <f>P1376</f>
        <v>1.4590939999999999</v>
      </c>
      <c r="Z480">
        <v>448</v>
      </c>
      <c r="AA480" s="58">
        <v>125.28561434605828</v>
      </c>
      <c r="AB480" s="59">
        <v>51.450116408623671</v>
      </c>
      <c r="AC480" s="59">
        <v>176.73573075468195</v>
      </c>
      <c r="AD480" s="60">
        <v>73.83549793743461</v>
      </c>
      <c r="AE480" s="61">
        <v>0.30573168256232308</v>
      </c>
      <c r="AF480" s="62">
        <v>0.14853874881566617</v>
      </c>
      <c r="AG480" s="62">
        <v>0.45427043137798928</v>
      </c>
      <c r="AH480" s="63">
        <v>0.15719293374665691</v>
      </c>
      <c r="AI480">
        <f t="shared" si="26"/>
        <v>8.5775350018472718</v>
      </c>
      <c r="AJ480" s="64">
        <v>205.86084004433454</v>
      </c>
      <c r="AK480">
        <f t="shared" si="24"/>
        <v>8.5775350018472718</v>
      </c>
      <c r="AM480" s="56">
        <v>449</v>
      </c>
      <c r="AN480" s="56">
        <f t="shared" si="25"/>
        <v>0.53718379239418823</v>
      </c>
    </row>
    <row r="481" spans="14:40" x14ac:dyDescent="0.25">
      <c r="N481" s="14">
        <v>149.667</v>
      </c>
      <c r="O481" s="14">
        <v>0</v>
      </c>
      <c r="P481">
        <v>0</v>
      </c>
      <c r="Q481" s="57"/>
      <c r="R481" s="56">
        <f>N1379</f>
        <v>449</v>
      </c>
      <c r="S481" s="56">
        <f>P1379</f>
        <v>1.424525</v>
      </c>
      <c r="Z481">
        <v>449</v>
      </c>
      <c r="AA481" s="58">
        <v>124.74789599314349</v>
      </c>
      <c r="AB481" s="59">
        <v>51.204194969552489</v>
      </c>
      <c r="AC481" s="59">
        <v>175.95209096269599</v>
      </c>
      <c r="AD481" s="60">
        <v>73.543701023590998</v>
      </c>
      <c r="AE481" s="61">
        <v>0.30441395590923942</v>
      </c>
      <c r="AF481" s="62">
        <v>0.14784050181337402</v>
      </c>
      <c r="AG481" s="62">
        <v>0.45225445772261341</v>
      </c>
      <c r="AH481" s="63">
        <v>0.1565734540958654</v>
      </c>
      <c r="AI481">
        <f t="shared" si="26"/>
        <v>7.7791454696618203</v>
      </c>
      <c r="AJ481" s="64">
        <v>186.69949127188369</v>
      </c>
      <c r="AK481">
        <f t="shared" ref="AK481:AK544" si="27">IF(Z481&lt;=$R$12,AI481," ")</f>
        <v>7.7791454696618203</v>
      </c>
      <c r="AM481" s="56">
        <v>450</v>
      </c>
      <c r="AN481" s="56">
        <f t="shared" ref="AN481:AN544" si="28">AA482-AA483</f>
        <v>0.53614374696593359</v>
      </c>
    </row>
    <row r="482" spans="14:40" x14ac:dyDescent="0.25">
      <c r="N482" s="14">
        <v>150</v>
      </c>
      <c r="O482" s="14">
        <v>0</v>
      </c>
      <c r="P482" s="14">
        <f>O482+O481+O480</f>
        <v>0</v>
      </c>
      <c r="Q482" s="57"/>
      <c r="R482" s="56">
        <f>N1382</f>
        <v>450</v>
      </c>
      <c r="S482" s="56">
        <f>P1382</f>
        <v>1.4189699999999998</v>
      </c>
      <c r="Z482">
        <v>450</v>
      </c>
      <c r="AA482" s="58">
        <v>124.2107122007493</v>
      </c>
      <c r="AB482" s="59">
        <v>50.957867801400582</v>
      </c>
      <c r="AC482" s="59">
        <v>175.16858000214989</v>
      </c>
      <c r="AD482" s="60">
        <v>73.252844399348717</v>
      </c>
      <c r="AE482" s="61">
        <v>0.30309748007324944</v>
      </c>
      <c r="AF482" s="62">
        <v>0.14714136219815066</v>
      </c>
      <c r="AG482" s="62">
        <v>0.4502388422714001</v>
      </c>
      <c r="AH482" s="63">
        <v>0.15595611787509878</v>
      </c>
      <c r="AI482">
        <f t="shared" ref="AI482:AI545" si="29">AJ482/24</f>
        <v>5.5644701545037085</v>
      </c>
      <c r="AJ482" s="64">
        <v>133.547283708089</v>
      </c>
      <c r="AK482">
        <f t="shared" si="27"/>
        <v>5.5644701545037085</v>
      </c>
      <c r="AM482" s="56">
        <v>451</v>
      </c>
      <c r="AN482" s="56">
        <f t="shared" si="28"/>
        <v>0.53611695541050608</v>
      </c>
    </row>
    <row r="483" spans="14:40" x14ac:dyDescent="0.25">
      <c r="N483" s="14">
        <v>150.333</v>
      </c>
      <c r="O483" s="14">
        <v>0</v>
      </c>
      <c r="P483">
        <v>0</v>
      </c>
      <c r="Q483" s="57"/>
      <c r="R483" s="56">
        <f>N1385</f>
        <v>451</v>
      </c>
      <c r="S483" s="56">
        <f>P1385</f>
        <v>1.403311</v>
      </c>
      <c r="Z483">
        <v>451</v>
      </c>
      <c r="AA483" s="58">
        <v>123.67456845378337</v>
      </c>
      <c r="AB483" s="59">
        <v>50.710620376715248</v>
      </c>
      <c r="AC483" s="59">
        <v>174.38518883049861</v>
      </c>
      <c r="AD483" s="60">
        <v>72.963948077068125</v>
      </c>
      <c r="AE483" s="61">
        <v>0.30178343783747819</v>
      </c>
      <c r="AF483" s="62">
        <v>0.14644024016817822</v>
      </c>
      <c r="AG483" s="62">
        <v>0.44822367800565643</v>
      </c>
      <c r="AH483" s="63">
        <v>0.15534319766929996</v>
      </c>
      <c r="AI483">
        <f t="shared" si="29"/>
        <v>4.1404931116430079</v>
      </c>
      <c r="AJ483" s="64">
        <v>99.371834679432197</v>
      </c>
      <c r="AK483">
        <f t="shared" si="27"/>
        <v>4.1404931116430079</v>
      </c>
      <c r="AM483" s="56">
        <v>452</v>
      </c>
      <c r="AN483" s="56">
        <f t="shared" si="28"/>
        <v>0.53611695541043503</v>
      </c>
    </row>
    <row r="484" spans="14:40" x14ac:dyDescent="0.25">
      <c r="N484" s="14">
        <v>150.667</v>
      </c>
      <c r="O484" s="14">
        <v>0</v>
      </c>
      <c r="P484">
        <v>0</v>
      </c>
      <c r="Q484" s="57"/>
      <c r="R484" s="56">
        <f>N1388</f>
        <v>452</v>
      </c>
      <c r="S484" s="56">
        <f>P1388</f>
        <v>1.4139390000000001</v>
      </c>
      <c r="Z484">
        <v>452</v>
      </c>
      <c r="AA484" s="58">
        <v>123.13845149837286</v>
      </c>
      <c r="AB484" s="59">
        <v>50.463500280983105</v>
      </c>
      <c r="AC484" s="59">
        <v>173.60195177935597</v>
      </c>
      <c r="AD484" s="60">
        <v>72.674951217389747</v>
      </c>
      <c r="AE484" s="61">
        <v>0.30046945829121408</v>
      </c>
      <c r="AF484" s="62">
        <v>0.14573935157216636</v>
      </c>
      <c r="AG484" s="62">
        <v>0.44620880986338041</v>
      </c>
      <c r="AH484" s="63">
        <v>0.15473010671904772</v>
      </c>
      <c r="AI484">
        <f t="shared" si="29"/>
        <v>9.3158528780443621</v>
      </c>
      <c r="AJ484" s="64">
        <v>223.58046907306468</v>
      </c>
      <c r="AK484">
        <f t="shared" si="27"/>
        <v>9.3158528780443621</v>
      </c>
      <c r="AM484" s="56">
        <v>453</v>
      </c>
      <c r="AN484" s="56">
        <f t="shared" si="28"/>
        <v>0.53611695541050608</v>
      </c>
    </row>
    <row r="485" spans="14:40" x14ac:dyDescent="0.25">
      <c r="N485" s="14">
        <v>151</v>
      </c>
      <c r="O485" s="14">
        <v>0</v>
      </c>
      <c r="P485" s="14">
        <f>O485+O484+O483</f>
        <v>0</v>
      </c>
      <c r="Q485" s="57"/>
      <c r="R485" s="56">
        <f>N1391</f>
        <v>453</v>
      </c>
      <c r="S485" s="56">
        <f>P1391</f>
        <v>1.3939810000000001</v>
      </c>
      <c r="Z485">
        <v>453</v>
      </c>
      <c r="AA485" s="58">
        <v>122.60233454296242</v>
      </c>
      <c r="AB485" s="59">
        <v>50.216537387700079</v>
      </c>
      <c r="AC485" s="59">
        <v>172.81887193066251</v>
      </c>
      <c r="AD485" s="60">
        <v>72.385797155262338</v>
      </c>
      <c r="AE485" s="61">
        <v>0.29915547874494991</v>
      </c>
      <c r="AF485" s="62">
        <v>0.14503875901379118</v>
      </c>
      <c r="AG485" s="62">
        <v>0.44419423775874112</v>
      </c>
      <c r="AH485" s="63">
        <v>0.15411671973115873</v>
      </c>
      <c r="AI485">
        <f t="shared" si="29"/>
        <v>13.177354947287268</v>
      </c>
      <c r="AJ485" s="64">
        <v>316.25651873489443</v>
      </c>
      <c r="AK485">
        <f t="shared" si="27"/>
        <v>13.177354947287268</v>
      </c>
      <c r="AM485" s="56">
        <v>454</v>
      </c>
      <c r="AN485" s="56">
        <f t="shared" si="28"/>
        <v>0.53611695541046345</v>
      </c>
    </row>
    <row r="486" spans="14:40" x14ac:dyDescent="0.25">
      <c r="N486" s="14">
        <v>151.333</v>
      </c>
      <c r="O486" s="14">
        <v>0</v>
      </c>
      <c r="P486">
        <v>0</v>
      </c>
      <c r="Q486" s="57"/>
      <c r="R486" s="56">
        <f>N1394</f>
        <v>454</v>
      </c>
      <c r="S486" s="56">
        <f>P1394</f>
        <v>1.388879</v>
      </c>
      <c r="Z486">
        <v>454</v>
      </c>
      <c r="AA486" s="58">
        <v>122.06621758755192</v>
      </c>
      <c r="AB486" s="59">
        <v>49.969734027667769</v>
      </c>
      <c r="AC486" s="59">
        <v>172.03595161521969</v>
      </c>
      <c r="AD486" s="60">
        <v>72.096483559884149</v>
      </c>
      <c r="AE486" s="61">
        <v>0.29784149919868574</v>
      </c>
      <c r="AF486" s="62">
        <v>0.14433846680379056</v>
      </c>
      <c r="AG486" s="62">
        <v>0.44217996600247633</v>
      </c>
      <c r="AH486" s="63">
        <v>0.15350303239489518</v>
      </c>
      <c r="AI486">
        <f t="shared" si="29"/>
        <v>14.169582538006892</v>
      </c>
      <c r="AJ486" s="64">
        <v>340.06998091216542</v>
      </c>
      <c r="AK486">
        <f t="shared" si="27"/>
        <v>14.169582538006892</v>
      </c>
      <c r="AM486" s="56">
        <v>455</v>
      </c>
      <c r="AN486" s="56">
        <f t="shared" si="28"/>
        <v>0.53611695541049187</v>
      </c>
    </row>
    <row r="487" spans="14:40" x14ac:dyDescent="0.25">
      <c r="N487" s="14">
        <v>151.667</v>
      </c>
      <c r="O487" s="14">
        <v>0</v>
      </c>
      <c r="P487">
        <v>0</v>
      </c>
      <c r="Q487" s="57"/>
      <c r="R487" s="56">
        <f>N1397</f>
        <v>455</v>
      </c>
      <c r="S487" s="56">
        <f>P1397</f>
        <v>0.108877</v>
      </c>
      <c r="Z487">
        <v>455</v>
      </c>
      <c r="AA487" s="58">
        <v>121.53010063214145</v>
      </c>
      <c r="AB487" s="59">
        <v>49.723092576442653</v>
      </c>
      <c r="AC487" s="59">
        <v>171.25319320858409</v>
      </c>
      <c r="AD487" s="60">
        <v>71.807008055698802</v>
      </c>
      <c r="AE487" s="61">
        <v>0.29652751965242158</v>
      </c>
      <c r="AF487" s="62">
        <v>0.14363847933510229</v>
      </c>
      <c r="AG487" s="62">
        <v>0.44016599898752384</v>
      </c>
      <c r="AH487" s="63">
        <v>0.15288904031731929</v>
      </c>
      <c r="AI487">
        <f t="shared" si="29"/>
        <v>13.996051276363232</v>
      </c>
      <c r="AJ487" s="64">
        <v>335.90523063271758</v>
      </c>
      <c r="AK487">
        <f t="shared" si="27"/>
        <v>13.996051276363232</v>
      </c>
      <c r="AM487" s="56">
        <v>456</v>
      </c>
      <c r="AN487" s="56">
        <f t="shared" si="28"/>
        <v>0.53611695541046345</v>
      </c>
    </row>
    <row r="488" spans="14:40" x14ac:dyDescent="0.25">
      <c r="N488" s="14">
        <v>152</v>
      </c>
      <c r="O488" s="14">
        <v>0</v>
      </c>
      <c r="P488" s="14">
        <f>O488+O487+O486</f>
        <v>0</v>
      </c>
      <c r="Q488" s="57"/>
      <c r="R488" s="56">
        <f>N1400</f>
        <v>456</v>
      </c>
      <c r="S488" s="56">
        <f>P1400</f>
        <v>1.4786409999999999</v>
      </c>
      <c r="Z488">
        <v>456</v>
      </c>
      <c r="AA488" s="58">
        <v>120.99398367673096</v>
      </c>
      <c r="AB488" s="59">
        <v>49.476615455376425</v>
      </c>
      <c r="AC488" s="59">
        <v>170.4705991321074</v>
      </c>
      <c r="AD488" s="60">
        <v>71.517368221354531</v>
      </c>
      <c r="AE488" s="61">
        <v>0.29521354010615741</v>
      </c>
      <c r="AF488" s="62">
        <v>0.14293880108478424</v>
      </c>
      <c r="AG488" s="62">
        <v>0.43815234119094165</v>
      </c>
      <c r="AH488" s="63">
        <v>0.15227473902137317</v>
      </c>
      <c r="AI488">
        <f t="shared" si="29"/>
        <v>11.758584992078495</v>
      </c>
      <c r="AJ488" s="64">
        <v>282.20603980988386</v>
      </c>
      <c r="AK488">
        <f t="shared" si="27"/>
        <v>11.758584992078495</v>
      </c>
      <c r="AM488" s="56">
        <v>457</v>
      </c>
      <c r="AN488" s="56">
        <f t="shared" si="28"/>
        <v>0.53611695541047766</v>
      </c>
    </row>
    <row r="489" spans="14:40" x14ac:dyDescent="0.25">
      <c r="N489" s="14">
        <v>152.333</v>
      </c>
      <c r="O489" s="14">
        <v>0</v>
      </c>
      <c r="P489">
        <v>0</v>
      </c>
      <c r="Q489" s="57"/>
      <c r="R489" s="56">
        <f>N1403</f>
        <v>457</v>
      </c>
      <c r="S489" s="56">
        <f>P1403</f>
        <v>1.737757</v>
      </c>
      <c r="Z489">
        <v>457</v>
      </c>
      <c r="AA489" s="58">
        <v>120.4578667213205</v>
      </c>
      <c r="AB489" s="59">
        <v>49.230305132681778</v>
      </c>
      <c r="AC489" s="59">
        <v>169.68817185400229</v>
      </c>
      <c r="AD489" s="60">
        <v>71.227561588638721</v>
      </c>
      <c r="AE489" s="61">
        <v>0.29389956055989325</v>
      </c>
      <c r="AF489" s="62">
        <v>0.14223943661598831</v>
      </c>
      <c r="AG489" s="62">
        <v>0.43613899717588156</v>
      </c>
      <c r="AH489" s="63">
        <v>0.15166012394390493</v>
      </c>
      <c r="AI489">
        <f t="shared" si="29"/>
        <v>9.472503905143002</v>
      </c>
      <c r="AJ489" s="64">
        <v>227.34009372343206</v>
      </c>
      <c r="AK489">
        <f t="shared" si="27"/>
        <v>9.472503905143002</v>
      </c>
      <c r="AM489" s="56">
        <v>458</v>
      </c>
      <c r="AN489" s="56">
        <f t="shared" si="28"/>
        <v>0.53611695541047766</v>
      </c>
    </row>
    <row r="490" spans="14:40" x14ac:dyDescent="0.25">
      <c r="N490" s="14">
        <v>152.667</v>
      </c>
      <c r="O490" s="14">
        <v>0</v>
      </c>
      <c r="P490">
        <v>0</v>
      </c>
      <c r="Q490" s="57"/>
      <c r="R490" s="56">
        <f>N1406</f>
        <v>458</v>
      </c>
      <c r="S490" s="56">
        <f>P1406</f>
        <v>1.342643</v>
      </c>
      <c r="Z490">
        <v>458</v>
      </c>
      <c r="AA490" s="58">
        <v>119.92174976591002</v>
      </c>
      <c r="AB490" s="59">
        <v>48.984164124528867</v>
      </c>
      <c r="AC490" s="59">
        <v>168.90591389043888</v>
      </c>
      <c r="AD490" s="60">
        <v>70.937585641381162</v>
      </c>
      <c r="AE490" s="61">
        <v>0.29258558101362908</v>
      </c>
      <c r="AF490" s="62">
        <v>0.1415403905799868</v>
      </c>
      <c r="AG490" s="62">
        <v>0.43412597159361588</v>
      </c>
      <c r="AH490" s="63">
        <v>0.15104519043364228</v>
      </c>
      <c r="AI490">
        <f t="shared" si="29"/>
        <v>6.6187490253277543</v>
      </c>
      <c r="AJ490" s="64">
        <v>158.8499766078661</v>
      </c>
      <c r="AK490">
        <f t="shared" si="27"/>
        <v>6.6187490253277543</v>
      </c>
      <c r="AM490" s="56">
        <v>459</v>
      </c>
      <c r="AN490" s="56">
        <f t="shared" si="28"/>
        <v>0.53611695541047766</v>
      </c>
    </row>
    <row r="491" spans="14:40" x14ac:dyDescent="0.25">
      <c r="N491" s="14">
        <v>153</v>
      </c>
      <c r="O491" s="14">
        <v>0</v>
      </c>
      <c r="P491" s="14">
        <f>O491+O490+O489</f>
        <v>0</v>
      </c>
      <c r="Q491" s="57"/>
      <c r="R491" s="56">
        <f>N1409</f>
        <v>459</v>
      </c>
      <c r="S491" s="56">
        <f>P1409</f>
        <v>1.558427</v>
      </c>
      <c r="Z491">
        <v>459</v>
      </c>
      <c r="AA491" s="58">
        <v>119.38563281049954</v>
      </c>
      <c r="AB491" s="59">
        <v>48.738194996169881</v>
      </c>
      <c r="AC491" s="59">
        <v>168.12382780666942</v>
      </c>
      <c r="AD491" s="60">
        <v>70.647437814329663</v>
      </c>
      <c r="AE491" s="61">
        <v>0.29127160146736497</v>
      </c>
      <c r="AF491" s="62">
        <v>0.14084166771825718</v>
      </c>
      <c r="AG491" s="62">
        <v>0.43211326918562215</v>
      </c>
      <c r="AH491" s="63">
        <v>0.15042993374910779</v>
      </c>
      <c r="AI491">
        <f t="shared" si="29"/>
        <v>2.6944118321093136</v>
      </c>
      <c r="AJ491" s="64">
        <v>64.665883970623526</v>
      </c>
      <c r="AK491">
        <f t="shared" si="27"/>
        <v>2.6944118321093136</v>
      </c>
      <c r="AM491" s="56">
        <v>460</v>
      </c>
      <c r="AN491" s="56">
        <f t="shared" si="28"/>
        <v>0.53611695541047766</v>
      </c>
    </row>
    <row r="492" spans="14:40" x14ac:dyDescent="0.25">
      <c r="N492" s="14">
        <v>153.333</v>
      </c>
      <c r="O492" s="14">
        <v>32.339500000000001</v>
      </c>
      <c r="P492">
        <v>0</v>
      </c>
      <c r="Q492" s="57"/>
      <c r="R492" s="56">
        <f>N1412</f>
        <v>460</v>
      </c>
      <c r="S492" s="56">
        <f>P1412</f>
        <v>1.3853710000000001</v>
      </c>
      <c r="Z492">
        <v>460</v>
      </c>
      <c r="AA492" s="58">
        <v>118.84951585508907</v>
      </c>
      <c r="AB492" s="59">
        <v>48.492400363094404</v>
      </c>
      <c r="AC492" s="59">
        <v>167.34191621818348</v>
      </c>
      <c r="AD492" s="60">
        <v>70.357115491994662</v>
      </c>
      <c r="AE492" s="61">
        <v>0.28995762192110075</v>
      </c>
      <c r="AF492" s="62">
        <v>0.14014327286462253</v>
      </c>
      <c r="AG492" s="62">
        <v>0.43010089478572328</v>
      </c>
      <c r="AH492" s="63">
        <v>0.14981434905647822</v>
      </c>
      <c r="AI492">
        <f t="shared" si="29"/>
        <v>0.55441471878844617</v>
      </c>
      <c r="AJ492" s="64">
        <v>13.305953250922709</v>
      </c>
      <c r="AK492">
        <f t="shared" si="27"/>
        <v>0.55441471878844617</v>
      </c>
      <c r="AM492" s="56">
        <v>461</v>
      </c>
      <c r="AN492" s="56">
        <f t="shared" si="28"/>
        <v>0.53321410424014459</v>
      </c>
    </row>
    <row r="493" spans="14:40" x14ac:dyDescent="0.25">
      <c r="N493" s="14">
        <v>153.667</v>
      </c>
      <c r="O493" s="14">
        <v>0</v>
      </c>
      <c r="P493">
        <v>0</v>
      </c>
      <c r="Q493" s="57"/>
      <c r="R493" s="56">
        <f>N1415</f>
        <v>461</v>
      </c>
      <c r="S493" s="56">
        <f>P1415</f>
        <v>1.409389</v>
      </c>
      <c r="Z493">
        <v>461</v>
      </c>
      <c r="AA493" s="58">
        <v>118.31339889967859</v>
      </c>
      <c r="AB493" s="59">
        <v>48.246782892216345</v>
      </c>
      <c r="AC493" s="59">
        <v>166.56018179189493</v>
      </c>
      <c r="AD493" s="60">
        <v>70.066616007462244</v>
      </c>
      <c r="AE493" s="61">
        <v>0.28864364237483664</v>
      </c>
      <c r="AF493" s="62">
        <v>0.13944521094745196</v>
      </c>
      <c r="AG493" s="62">
        <v>0.42808885332228863</v>
      </c>
      <c r="AH493" s="63">
        <v>0.14919843142738468</v>
      </c>
      <c r="AI493">
        <f t="shared" si="29"/>
        <v>1.926511303775462</v>
      </c>
      <c r="AJ493" s="64">
        <v>46.236271290611086</v>
      </c>
      <c r="AK493">
        <f t="shared" si="27"/>
        <v>1.926511303775462</v>
      </c>
      <c r="AM493" s="56">
        <v>462</v>
      </c>
      <c r="AN493" s="56">
        <f t="shared" si="28"/>
        <v>0.52763966776154803</v>
      </c>
    </row>
    <row r="494" spans="14:40" x14ac:dyDescent="0.25">
      <c r="N494" s="14">
        <v>154</v>
      </c>
      <c r="O494" s="14">
        <v>2.0321199999999999</v>
      </c>
      <c r="P494" s="14">
        <f>O494+O493+O492</f>
        <v>34.37162</v>
      </c>
      <c r="Q494" s="57"/>
      <c r="R494" s="56">
        <f>N1418</f>
        <v>462</v>
      </c>
      <c r="S494" s="56">
        <f>P1418</f>
        <v>1.470515</v>
      </c>
      <c r="Z494">
        <v>462</v>
      </c>
      <c r="AA494" s="58">
        <v>117.78018479543844</v>
      </c>
      <c r="AB494" s="59">
        <v>48.006065612090651</v>
      </c>
      <c r="AC494" s="59">
        <v>165.78625040752911</v>
      </c>
      <c r="AD494" s="60">
        <v>69.774119183347793</v>
      </c>
      <c r="AE494" s="61">
        <v>0.28733729327539381</v>
      </c>
      <c r="AF494" s="62">
        <v>0.13876016969467786</v>
      </c>
      <c r="AG494" s="62">
        <v>0.42609746297007167</v>
      </c>
      <c r="AH494" s="63">
        <v>0.14857712358071595</v>
      </c>
      <c r="AI494">
        <f t="shared" si="29"/>
        <v>3.3884496319886233</v>
      </c>
      <c r="AJ494" s="64">
        <v>81.322791167726962</v>
      </c>
      <c r="AK494">
        <f t="shared" si="27"/>
        <v>3.3884496319886233</v>
      </c>
      <c r="AM494" s="56">
        <v>463</v>
      </c>
      <c r="AN494" s="56">
        <f t="shared" si="28"/>
        <v>0.52750148219274706</v>
      </c>
    </row>
    <row r="495" spans="14:40" x14ac:dyDescent="0.25">
      <c r="N495" s="14">
        <v>154.333</v>
      </c>
      <c r="O495" s="14">
        <v>0</v>
      </c>
      <c r="P495">
        <v>0</v>
      </c>
      <c r="Q495" s="57"/>
      <c r="R495" s="56">
        <f>N1421</f>
        <v>463</v>
      </c>
      <c r="S495" s="56">
        <f>P1421</f>
        <v>1.401831</v>
      </c>
      <c r="Z495">
        <v>463</v>
      </c>
      <c r="AA495" s="58">
        <v>117.2525451276769</v>
      </c>
      <c r="AB495" s="59">
        <v>47.774601150381301</v>
      </c>
      <c r="AC495" s="59">
        <v>165.02714627805818</v>
      </c>
      <c r="AD495" s="60">
        <v>69.477943977295595</v>
      </c>
      <c r="AE495" s="61">
        <v>0.28604559716317385</v>
      </c>
      <c r="AF495" s="62">
        <v>0.13809984005679371</v>
      </c>
      <c r="AG495" s="62">
        <v>0.42414543721996756</v>
      </c>
      <c r="AH495" s="63">
        <v>0.14794575710638014</v>
      </c>
      <c r="AI495">
        <f t="shared" si="29"/>
        <v>2.8955233643872451</v>
      </c>
      <c r="AJ495" s="64">
        <v>69.492560745293886</v>
      </c>
      <c r="AK495">
        <f t="shared" si="27"/>
        <v>2.8955233643872451</v>
      </c>
      <c r="AM495" s="56">
        <v>464</v>
      </c>
      <c r="AN495" s="56">
        <f t="shared" si="28"/>
        <v>0.52750148219276127</v>
      </c>
    </row>
    <row r="496" spans="14:40" x14ac:dyDescent="0.25">
      <c r="N496" s="14">
        <v>154.667</v>
      </c>
      <c r="O496" s="14">
        <v>3.0174300000000001</v>
      </c>
      <c r="P496">
        <v>0</v>
      </c>
      <c r="Q496" s="57"/>
      <c r="R496" s="56">
        <f>N1424</f>
        <v>464</v>
      </c>
      <c r="S496" s="56">
        <f>P1424</f>
        <v>1.4815070000000001</v>
      </c>
      <c r="Z496">
        <v>464</v>
      </c>
      <c r="AA496" s="58">
        <v>116.72504364548415</v>
      </c>
      <c r="AB496" s="59">
        <v>47.543555486803626</v>
      </c>
      <c r="AC496" s="59">
        <v>164.26859913228776</v>
      </c>
      <c r="AD496" s="60">
        <v>69.181488158680523</v>
      </c>
      <c r="AE496" s="61">
        <v>0.28475426428612244</v>
      </c>
      <c r="AF496" s="62">
        <v>0.13744048333555625</v>
      </c>
      <c r="AG496" s="62">
        <v>0.42219474762167869</v>
      </c>
      <c r="AH496" s="63">
        <v>0.14731378095056619</v>
      </c>
      <c r="AI496">
        <f t="shared" si="29"/>
        <v>0.38675134808804662</v>
      </c>
      <c r="AJ496" s="64">
        <v>9.2820323541131184</v>
      </c>
      <c r="AK496">
        <f t="shared" si="27"/>
        <v>0.38675134808804662</v>
      </c>
      <c r="AM496" s="56">
        <v>465</v>
      </c>
      <c r="AN496" s="56">
        <f t="shared" si="28"/>
        <v>0.52750148219274706</v>
      </c>
    </row>
    <row r="497" spans="14:40" x14ac:dyDescent="0.25">
      <c r="N497" s="14">
        <v>155</v>
      </c>
      <c r="O497" s="14">
        <v>0</v>
      </c>
      <c r="P497" s="14">
        <f>O497+O496+O495</f>
        <v>3.0174300000000001</v>
      </c>
      <c r="Q497" s="57"/>
      <c r="R497" s="56">
        <f>N1427</f>
        <v>465</v>
      </c>
      <c r="S497" s="56">
        <f>P1427</f>
        <v>1.3569150000000001</v>
      </c>
      <c r="Z497">
        <v>465</v>
      </c>
      <c r="AA497" s="58">
        <v>116.19754216329139</v>
      </c>
      <c r="AB497" s="59">
        <v>47.312706740525698</v>
      </c>
      <c r="AC497" s="59">
        <v>163.51024890381709</v>
      </c>
      <c r="AD497" s="60">
        <v>68.88483542276569</v>
      </c>
      <c r="AE497" s="61">
        <v>0.28346293140907097</v>
      </c>
      <c r="AF497" s="62">
        <v>0.13678150107959333</v>
      </c>
      <c r="AG497" s="62">
        <v>0.42024443248866428</v>
      </c>
      <c r="AH497" s="63">
        <v>0.14668143032947764</v>
      </c>
      <c r="AI497">
        <f t="shared" si="29"/>
        <v>1.2369363901841892</v>
      </c>
      <c r="AJ497" s="64">
        <v>29.686473364420543</v>
      </c>
      <c r="AK497">
        <f t="shared" si="27"/>
        <v>1.2369363901841892</v>
      </c>
      <c r="AM497" s="56">
        <v>466</v>
      </c>
      <c r="AN497" s="56">
        <f t="shared" si="28"/>
        <v>0.51122321091416723</v>
      </c>
    </row>
    <row r="498" spans="14:40" x14ac:dyDescent="0.25">
      <c r="N498" s="14">
        <v>155.333</v>
      </c>
      <c r="O498" s="14">
        <v>3.0647199999999999</v>
      </c>
      <c r="P498">
        <v>0</v>
      </c>
      <c r="Q498" s="57"/>
      <c r="R498" s="56">
        <f>N1430</f>
        <v>466</v>
      </c>
      <c r="S498" s="56">
        <f>P1430</f>
        <v>1.481636</v>
      </c>
      <c r="Z498">
        <v>466</v>
      </c>
      <c r="AA498" s="58">
        <v>115.67004068109864</v>
      </c>
      <c r="AB498" s="59">
        <v>47.082057808072143</v>
      </c>
      <c r="AC498" s="59">
        <v>162.75209848917078</v>
      </c>
      <c r="AD498" s="60">
        <v>68.587982873026505</v>
      </c>
      <c r="AE498" s="61">
        <v>0.28217159853201951</v>
      </c>
      <c r="AF498" s="62">
        <v>0.13612289872735761</v>
      </c>
      <c r="AG498" s="62">
        <v>0.41829449725937712</v>
      </c>
      <c r="AH498" s="63">
        <v>0.1460486998046619</v>
      </c>
      <c r="AI498">
        <f t="shared" si="29"/>
        <v>2.1758384305959502</v>
      </c>
      <c r="AJ498" s="64">
        <v>52.220122334302808</v>
      </c>
      <c r="AK498">
        <f t="shared" si="27"/>
        <v>2.1758384305959502</v>
      </c>
      <c r="AM498" s="56">
        <v>467</v>
      </c>
      <c r="AN498" s="56">
        <f t="shared" si="28"/>
        <v>0.47930721285274558</v>
      </c>
    </row>
    <row r="499" spans="14:40" x14ac:dyDescent="0.25">
      <c r="N499" s="14">
        <v>155.667</v>
      </c>
      <c r="O499" s="14">
        <v>0</v>
      </c>
      <c r="P499">
        <v>0</v>
      </c>
      <c r="Q499" s="57"/>
      <c r="R499" s="56">
        <f>N1433</f>
        <v>467</v>
      </c>
      <c r="S499" s="56">
        <f>P1433</f>
        <v>1.335958</v>
      </c>
      <c r="Z499">
        <v>467</v>
      </c>
      <c r="AA499" s="58">
        <v>115.15881747018447</v>
      </c>
      <c r="AB499" s="59">
        <v>46.841499337957842</v>
      </c>
      <c r="AC499" s="59">
        <v>162.00031680814232</v>
      </c>
      <c r="AD499" s="60">
        <v>68.317318132226632</v>
      </c>
      <c r="AE499" s="61">
        <v>0.2809168287285787</v>
      </c>
      <c r="AF499" s="62">
        <v>0.13544017161723554</v>
      </c>
      <c r="AG499" s="62">
        <v>0.41635700034581424</v>
      </c>
      <c r="AH499" s="63">
        <v>0.14547665711134317</v>
      </c>
      <c r="AI499">
        <f t="shared" si="29"/>
        <v>3.1147404710077109</v>
      </c>
      <c r="AJ499" s="64">
        <v>74.753771304185065</v>
      </c>
      <c r="AK499">
        <f t="shared" si="27"/>
        <v>3.1147404710077109</v>
      </c>
      <c r="AM499" s="56">
        <v>468</v>
      </c>
      <c r="AN499" s="56">
        <f t="shared" si="28"/>
        <v>0.47846654829882596</v>
      </c>
    </row>
    <row r="500" spans="14:40" x14ac:dyDescent="0.25">
      <c r="N500" s="14">
        <v>156</v>
      </c>
      <c r="O500" s="14">
        <v>3.21774</v>
      </c>
      <c r="P500" s="14">
        <f>O500+O499+O498</f>
        <v>6.2824600000000004</v>
      </c>
      <c r="Q500" s="57"/>
      <c r="R500" s="56">
        <f>N1436</f>
        <v>468</v>
      </c>
      <c r="S500" s="56">
        <f>P1436</f>
        <v>1.467068</v>
      </c>
      <c r="Z500">
        <v>468</v>
      </c>
      <c r="AA500" s="58">
        <v>114.67951025733173</v>
      </c>
      <c r="AB500" s="59">
        <v>46.58150931915366</v>
      </c>
      <c r="AC500" s="59">
        <v>161.26101957648538</v>
      </c>
      <c r="AD500" s="60">
        <v>68.098000938178075</v>
      </c>
      <c r="AE500" s="61">
        <v>0.27973374632771897</v>
      </c>
      <c r="AF500" s="62">
        <v>0.13471010847599224</v>
      </c>
      <c r="AG500" s="62">
        <v>0.41444385480371121</v>
      </c>
      <c r="AH500" s="63">
        <v>0.14502363785172673</v>
      </c>
      <c r="AI500">
        <f t="shared" si="29"/>
        <v>2.4852304078908243</v>
      </c>
      <c r="AJ500" s="64">
        <v>59.645529789379786</v>
      </c>
      <c r="AK500">
        <f t="shared" si="27"/>
        <v>2.4852304078908243</v>
      </c>
      <c r="AM500" s="56">
        <v>469</v>
      </c>
      <c r="AN500" s="56">
        <f t="shared" si="28"/>
        <v>0.47846654829882596</v>
      </c>
    </row>
    <row r="501" spans="14:40" x14ac:dyDescent="0.25">
      <c r="N501" s="14">
        <v>156.333</v>
      </c>
      <c r="O501" s="14">
        <v>0</v>
      </c>
      <c r="P501">
        <v>0</v>
      </c>
      <c r="Q501" s="57"/>
      <c r="R501" s="56">
        <f>N1439</f>
        <v>469</v>
      </c>
      <c r="S501" s="56">
        <f>P1439</f>
        <v>1.314584</v>
      </c>
      <c r="Z501">
        <v>469</v>
      </c>
      <c r="AA501" s="58">
        <v>114.2010437090329</v>
      </c>
      <c r="AB501" s="59">
        <v>46.3215058603815</v>
      </c>
      <c r="AC501" s="59">
        <v>160.52254956941439</v>
      </c>
      <c r="AD501" s="60">
        <v>67.87953784865141</v>
      </c>
      <c r="AE501" s="61">
        <v>0.2785525521666754</v>
      </c>
      <c r="AF501" s="62">
        <v>0.13397969694127337</v>
      </c>
      <c r="AG501" s="62">
        <v>0.41253224910794878</v>
      </c>
      <c r="AH501" s="63">
        <v>0.14457285522540203</v>
      </c>
      <c r="AI501">
        <f t="shared" si="29"/>
        <v>0.31271954333671087</v>
      </c>
      <c r="AJ501" s="64">
        <v>7.5052690400810613</v>
      </c>
      <c r="AK501">
        <f t="shared" si="27"/>
        <v>0.31271954333671087</v>
      </c>
      <c r="AM501" s="56">
        <v>470</v>
      </c>
      <c r="AN501" s="56">
        <f t="shared" si="28"/>
        <v>0.47846654829882596</v>
      </c>
    </row>
    <row r="502" spans="14:40" x14ac:dyDescent="0.25">
      <c r="N502" s="14">
        <v>156.667</v>
      </c>
      <c r="O502" s="14">
        <v>3.36443</v>
      </c>
      <c r="P502">
        <v>0</v>
      </c>
      <c r="Q502" s="57"/>
      <c r="R502" s="56">
        <f>N1442</f>
        <v>470</v>
      </c>
      <c r="S502" s="56">
        <f>P1442</f>
        <v>1.4450879999999999</v>
      </c>
      <c r="Z502">
        <v>470</v>
      </c>
      <c r="AA502" s="58">
        <v>113.72257716073408</v>
      </c>
      <c r="AB502" s="59">
        <v>46.062018738115583</v>
      </c>
      <c r="AC502" s="59">
        <v>159.78459589884966</v>
      </c>
      <c r="AD502" s="60">
        <v>67.660558422618493</v>
      </c>
      <c r="AE502" s="61">
        <v>0.27737135800563184</v>
      </c>
      <c r="AF502" s="62">
        <v>0.13325021603326237</v>
      </c>
      <c r="AG502" s="62">
        <v>0.41062157403889421</v>
      </c>
      <c r="AH502" s="63">
        <v>0.14412114197236947</v>
      </c>
      <c r="AI502">
        <f t="shared" si="29"/>
        <v>0.98632451335172977</v>
      </c>
      <c r="AJ502" s="64">
        <v>23.671788320441514</v>
      </c>
      <c r="AK502">
        <f t="shared" si="27"/>
        <v>0.98632451335172977</v>
      </c>
      <c r="AM502" s="56">
        <v>471</v>
      </c>
      <c r="AN502" s="56">
        <f t="shared" si="28"/>
        <v>0.47846654829884017</v>
      </c>
    </row>
    <row r="503" spans="14:40" x14ac:dyDescent="0.25">
      <c r="N503" s="14">
        <v>157</v>
      </c>
      <c r="O503" s="14">
        <v>0</v>
      </c>
      <c r="P503" s="14">
        <f>O503+O502+O501</f>
        <v>3.36443</v>
      </c>
      <c r="Q503" s="57"/>
      <c r="R503" s="56">
        <f>N1445</f>
        <v>471</v>
      </c>
      <c r="S503" s="56">
        <f>P1445</f>
        <v>1.2983609999999999</v>
      </c>
      <c r="Z503">
        <v>471</v>
      </c>
      <c r="AA503" s="58">
        <v>113.24411061243525</v>
      </c>
      <c r="AB503" s="59">
        <v>45.803056727928741</v>
      </c>
      <c r="AC503" s="59">
        <v>159.04716734036398</v>
      </c>
      <c r="AD503" s="60">
        <v>67.441053884506516</v>
      </c>
      <c r="AE503" s="61">
        <v>0.27619016384458828</v>
      </c>
      <c r="AF503" s="62">
        <v>0.13252168112018717</v>
      </c>
      <c r="AG503" s="62">
        <v>0.40871184496477542</v>
      </c>
      <c r="AH503" s="63">
        <v>0.14366848272440111</v>
      </c>
      <c r="AI503">
        <f t="shared" si="29"/>
        <v>1.7349983551743315</v>
      </c>
      <c r="AJ503" s="64">
        <v>41.639960524183955</v>
      </c>
      <c r="AK503">
        <f t="shared" si="27"/>
        <v>1.7349983551743315</v>
      </c>
      <c r="AM503" s="56">
        <v>472</v>
      </c>
      <c r="AN503" s="56">
        <f t="shared" si="28"/>
        <v>0.47846654829882596</v>
      </c>
    </row>
    <row r="504" spans="14:40" x14ac:dyDescent="0.25">
      <c r="N504" s="14">
        <v>157.333</v>
      </c>
      <c r="O504" s="14">
        <v>3.5177299999999998</v>
      </c>
      <c r="P504">
        <v>0</v>
      </c>
      <c r="Q504" s="57"/>
      <c r="R504" s="56">
        <f>N1448</f>
        <v>472</v>
      </c>
      <c r="S504" s="56">
        <f>P1448</f>
        <v>1.425732</v>
      </c>
      <c r="Z504">
        <v>472</v>
      </c>
      <c r="AA504" s="58">
        <v>112.76564406413641</v>
      </c>
      <c r="AB504" s="59">
        <v>45.544628787019562</v>
      </c>
      <c r="AC504" s="59">
        <v>158.31027285115596</v>
      </c>
      <c r="AD504" s="60">
        <v>67.221015277116848</v>
      </c>
      <c r="AE504" s="61">
        <v>0.27500896968354477</v>
      </c>
      <c r="AF504" s="62">
        <v>0.13179410788993506</v>
      </c>
      <c r="AG504" s="62">
        <v>0.40680307757347983</v>
      </c>
      <c r="AH504" s="63">
        <v>0.1432148617936097</v>
      </c>
      <c r="AI504">
        <f t="shared" si="29"/>
        <v>2.4836721969969333</v>
      </c>
      <c r="AJ504" s="64">
        <v>59.608132727926396</v>
      </c>
      <c r="AK504">
        <f t="shared" si="27"/>
        <v>2.4836721969969333</v>
      </c>
      <c r="AM504" s="56">
        <v>473</v>
      </c>
      <c r="AN504" s="56">
        <f t="shared" si="28"/>
        <v>0.47846654829884017</v>
      </c>
    </row>
    <row r="505" spans="14:40" x14ac:dyDescent="0.25">
      <c r="N505" s="14">
        <v>157.667</v>
      </c>
      <c r="O505" s="14">
        <v>0</v>
      </c>
      <c r="P505">
        <v>0</v>
      </c>
      <c r="Q505" s="57"/>
      <c r="R505" s="56">
        <f>N1451</f>
        <v>473</v>
      </c>
      <c r="S505" s="56">
        <f>P1451</f>
        <v>1.2834859999999999</v>
      </c>
      <c r="Z505">
        <v>473</v>
      </c>
      <c r="AA505" s="58">
        <v>112.28717751583758</v>
      </c>
      <c r="AB505" s="59">
        <v>45.286744058357229</v>
      </c>
      <c r="AC505" s="59">
        <v>157.5739215741948</v>
      </c>
      <c r="AD505" s="60">
        <v>67.000433457480355</v>
      </c>
      <c r="AE505" s="61">
        <v>0.2738277755225012</v>
      </c>
      <c r="AF505" s="62">
        <v>0.13106751235779582</v>
      </c>
      <c r="AG505" s="62">
        <v>0.40489528788029705</v>
      </c>
      <c r="AH505" s="63">
        <v>0.14276026316470539</v>
      </c>
      <c r="AI505">
        <f t="shared" si="29"/>
        <v>1.9590393246351867</v>
      </c>
      <c r="AJ505" s="64">
        <v>47.016943791244479</v>
      </c>
      <c r="AK505">
        <f t="shared" si="27"/>
        <v>1.9590393246351867</v>
      </c>
      <c r="AM505" s="56">
        <v>474</v>
      </c>
      <c r="AN505" s="56">
        <f t="shared" si="28"/>
        <v>0.47846654829881174</v>
      </c>
    </row>
    <row r="506" spans="14:40" x14ac:dyDescent="0.25">
      <c r="N506" s="14">
        <v>158</v>
      </c>
      <c r="O506" s="14">
        <v>3.6734100000000001</v>
      </c>
      <c r="P506" s="14">
        <f>O506+O505+O504</f>
        <v>7.1911399999999999</v>
      </c>
      <c r="Q506" s="57"/>
      <c r="R506" s="56">
        <f>N1454</f>
        <v>474</v>
      </c>
      <c r="S506" s="56">
        <f>P1454</f>
        <v>1.4086159999999999</v>
      </c>
      <c r="Z506">
        <v>474</v>
      </c>
      <c r="AA506" s="58">
        <v>111.80871096753874</v>
      </c>
      <c r="AB506" s="59">
        <v>45.029411874918949</v>
      </c>
      <c r="AC506" s="59">
        <v>156.83812284245769</v>
      </c>
      <c r="AD506" s="60">
        <v>66.779299092619794</v>
      </c>
      <c r="AE506" s="61">
        <v>0.27264658136145759</v>
      </c>
      <c r="AF506" s="62">
        <v>0.13034191087440719</v>
      </c>
      <c r="AG506" s="62">
        <v>0.40298849223586475</v>
      </c>
      <c r="AH506" s="63">
        <v>0.14230467048705039</v>
      </c>
      <c r="AI506">
        <f t="shared" si="29"/>
        <v>0.34337486373075193</v>
      </c>
      <c r="AJ506" s="64">
        <v>8.2409967295380468</v>
      </c>
      <c r="AK506">
        <f t="shared" si="27"/>
        <v>0.34337486373075193</v>
      </c>
      <c r="AM506" s="56">
        <v>475</v>
      </c>
      <c r="AN506" s="56">
        <f t="shared" si="28"/>
        <v>0.47846654829882596</v>
      </c>
    </row>
    <row r="507" spans="14:40" x14ac:dyDescent="0.25">
      <c r="N507" s="14">
        <v>158.333</v>
      </c>
      <c r="O507" s="14">
        <v>0</v>
      </c>
      <c r="P507">
        <v>0</v>
      </c>
      <c r="Q507" s="57"/>
      <c r="R507" s="56">
        <f>N1457</f>
        <v>475</v>
      </c>
      <c r="S507" s="56">
        <f>P1457</f>
        <v>1.2494350000000001</v>
      </c>
      <c r="Z507">
        <v>475</v>
      </c>
      <c r="AA507" s="58">
        <v>111.33024441923993</v>
      </c>
      <c r="AB507" s="59">
        <v>44.772641764019482</v>
      </c>
      <c r="AC507" s="59">
        <v>156.10288618325941</v>
      </c>
      <c r="AD507" s="60">
        <v>66.55760265522045</v>
      </c>
      <c r="AE507" s="61">
        <v>0.27146538720041402</v>
      </c>
      <c r="AF507" s="62">
        <v>0.1296173201339105</v>
      </c>
      <c r="AG507" s="62">
        <v>0.4010827073343245</v>
      </c>
      <c r="AH507" s="63">
        <v>0.14184806706650352</v>
      </c>
      <c r="AI507">
        <f t="shared" si="29"/>
        <v>1.1587876862559177</v>
      </c>
      <c r="AJ507" s="64">
        <v>27.810904470142024</v>
      </c>
      <c r="AK507">
        <f t="shared" si="27"/>
        <v>1.1587876862559177</v>
      </c>
      <c r="AM507" s="56">
        <v>476</v>
      </c>
      <c r="AN507" s="56">
        <f t="shared" si="28"/>
        <v>0.47846654829884017</v>
      </c>
    </row>
    <row r="508" spans="14:40" x14ac:dyDescent="0.25">
      <c r="N508" s="14">
        <v>158.667</v>
      </c>
      <c r="O508" s="14">
        <v>3.8338399999999999</v>
      </c>
      <c r="P508">
        <v>0</v>
      </c>
      <c r="Q508" s="57"/>
      <c r="R508" s="56">
        <f>N1460</f>
        <v>476</v>
      </c>
      <c r="S508" s="56">
        <f>P1460</f>
        <v>1.379632</v>
      </c>
      <c r="Z508">
        <v>476</v>
      </c>
      <c r="AA508" s="58">
        <v>110.85177787094111</v>
      </c>
      <c r="AB508" s="59">
        <v>44.516443451735363</v>
      </c>
      <c r="AC508" s="59">
        <v>155.36822132267648</v>
      </c>
      <c r="AD508" s="60">
        <v>66.335334419205736</v>
      </c>
      <c r="AE508" s="61">
        <v>0.27028419303937046</v>
      </c>
      <c r="AF508" s="62">
        <v>0.12889375718232129</v>
      </c>
      <c r="AG508" s="62">
        <v>0.39917795022169178</v>
      </c>
      <c r="AH508" s="63">
        <v>0.14139043585704916</v>
      </c>
      <c r="AI508">
        <f t="shared" si="29"/>
        <v>2.0330365204033236</v>
      </c>
      <c r="AJ508" s="64">
        <v>48.79287648967977</v>
      </c>
      <c r="AK508">
        <f t="shared" si="27"/>
        <v>2.0330365204033236</v>
      </c>
      <c r="AM508" s="56">
        <v>477</v>
      </c>
      <c r="AN508" s="56">
        <f t="shared" si="28"/>
        <v>0.47846654829881174</v>
      </c>
    </row>
    <row r="509" spans="14:40" x14ac:dyDescent="0.25">
      <c r="N509" s="14">
        <v>159</v>
      </c>
      <c r="O509" s="14">
        <v>0</v>
      </c>
      <c r="P509" s="14">
        <f>O509+O508+O507</f>
        <v>3.8338399999999999</v>
      </c>
      <c r="Q509" s="57"/>
      <c r="R509" s="56">
        <f>N1463</f>
        <v>477</v>
      </c>
      <c r="S509" s="56">
        <f>P1463</f>
        <v>1.2435290000000001</v>
      </c>
      <c r="Z509">
        <v>477</v>
      </c>
      <c r="AA509" s="58">
        <v>110.37331132264227</v>
      </c>
      <c r="AB509" s="59">
        <v>44.260826867424086</v>
      </c>
      <c r="AC509" s="59">
        <v>154.63413819006635</v>
      </c>
      <c r="AD509" s="60">
        <v>66.11248445521818</v>
      </c>
      <c r="AE509" s="61">
        <v>0.26910299887832689</v>
      </c>
      <c r="AF509" s="62">
        <v>0.12817123942611927</v>
      </c>
      <c r="AG509" s="62">
        <v>0.39727423830444619</v>
      </c>
      <c r="AH509" s="63">
        <v>0.14093175945220762</v>
      </c>
      <c r="AI509">
        <f t="shared" si="29"/>
        <v>2.9072853545507296</v>
      </c>
      <c r="AJ509" s="64">
        <v>69.774848509217506</v>
      </c>
      <c r="AK509">
        <f t="shared" si="27"/>
        <v>2.9072853545507296</v>
      </c>
      <c r="AM509" s="56">
        <v>478</v>
      </c>
      <c r="AN509" s="56">
        <f t="shared" si="28"/>
        <v>0.47846654829882596</v>
      </c>
    </row>
    <row r="510" spans="14:40" x14ac:dyDescent="0.25">
      <c r="N510" s="14">
        <v>159.333</v>
      </c>
      <c r="O510" s="14">
        <v>4.0027999999999997</v>
      </c>
      <c r="P510">
        <v>0</v>
      </c>
      <c r="Q510" s="57"/>
      <c r="R510" s="56">
        <f>N1466</f>
        <v>478</v>
      </c>
      <c r="S510" s="56">
        <f>P1466</f>
        <v>1.3506969999999998</v>
      </c>
      <c r="Z510">
        <v>478</v>
      </c>
      <c r="AA510" s="58">
        <v>109.89484477434345</v>
      </c>
      <c r="AB510" s="59">
        <v>44.005802148339527</v>
      </c>
      <c r="AC510" s="59">
        <v>153.90064692268299</v>
      </c>
      <c r="AD510" s="60">
        <v>65.889042626003928</v>
      </c>
      <c r="AE510" s="61">
        <v>0.26792180471728333</v>
      </c>
      <c r="AF510" s="62">
        <v>0.12744978464106471</v>
      </c>
      <c r="AG510" s="62">
        <v>0.39537158935834804</v>
      </c>
      <c r="AH510" s="63">
        <v>0.14047202007621862</v>
      </c>
      <c r="AI510">
        <f t="shared" si="29"/>
        <v>3.7815341886981351</v>
      </c>
      <c r="AJ510" s="64">
        <v>90.756820528755242</v>
      </c>
      <c r="AK510">
        <f t="shared" si="27"/>
        <v>3.7815341886981351</v>
      </c>
      <c r="AM510" s="56">
        <v>479</v>
      </c>
      <c r="AN510" s="56">
        <f t="shared" si="28"/>
        <v>0.47846654829882596</v>
      </c>
    </row>
    <row r="511" spans="14:40" x14ac:dyDescent="0.25">
      <c r="N511" s="14">
        <v>159.667</v>
      </c>
      <c r="O511" s="14">
        <v>0</v>
      </c>
      <c r="P511">
        <v>0</v>
      </c>
      <c r="Q511" s="57"/>
      <c r="R511" s="56">
        <f>N1469</f>
        <v>479</v>
      </c>
      <c r="S511" s="56">
        <f>P1469</f>
        <v>1.236208</v>
      </c>
      <c r="Z511">
        <v>479</v>
      </c>
      <c r="AA511" s="58">
        <v>109.41637822604463</v>
      </c>
      <c r="AB511" s="59">
        <v>43.751379644346308</v>
      </c>
      <c r="AC511" s="59">
        <v>153.16775787039094</v>
      </c>
      <c r="AD511" s="60">
        <v>65.664998581698313</v>
      </c>
      <c r="AE511" s="61">
        <v>0.26674061055623977</v>
      </c>
      <c r="AF511" s="62">
        <v>0.12672941098124679</v>
      </c>
      <c r="AG511" s="62">
        <v>0.39347002153748656</v>
      </c>
      <c r="AH511" s="63">
        <v>0.14001119957499297</v>
      </c>
      <c r="AI511">
        <f t="shared" si="29"/>
        <v>6.4513719091803923</v>
      </c>
      <c r="AJ511" s="64">
        <v>154.83292582032942</v>
      </c>
      <c r="AK511">
        <f t="shared" si="27"/>
        <v>6.4513719091803923</v>
      </c>
      <c r="AM511" s="56">
        <v>480</v>
      </c>
      <c r="AN511" s="56">
        <f t="shared" si="28"/>
        <v>0.47846654829885438</v>
      </c>
    </row>
    <row r="512" spans="14:40" x14ac:dyDescent="0.25">
      <c r="N512" s="14">
        <v>160</v>
      </c>
      <c r="O512" s="14">
        <v>4.1749200000000002</v>
      </c>
      <c r="P512" s="14">
        <f>O512+O511+O510</f>
        <v>8.1777200000000008</v>
      </c>
      <c r="Q512" s="57"/>
      <c r="R512" s="56">
        <f>N1472</f>
        <v>480</v>
      </c>
      <c r="S512" s="56">
        <f>P1472</f>
        <v>1.3243960000000001</v>
      </c>
      <c r="Z512">
        <v>480</v>
      </c>
      <c r="AA512" s="58">
        <v>108.9379116777458</v>
      </c>
      <c r="AB512" s="59">
        <v>43.497569922730527</v>
      </c>
      <c r="AC512" s="59">
        <v>152.43548160047632</v>
      </c>
      <c r="AD512" s="60">
        <v>65.440341755015282</v>
      </c>
      <c r="AE512" s="61">
        <v>0.2655594163951962</v>
      </c>
      <c r="AF512" s="62">
        <v>0.12601013698836921</v>
      </c>
      <c r="AG512" s="62">
        <v>0.39156955338356542</v>
      </c>
      <c r="AH512" s="63">
        <v>0.13954927940682699</v>
      </c>
      <c r="AI512">
        <f t="shared" si="29"/>
        <v>11.344501977657751</v>
      </c>
      <c r="AJ512" s="64">
        <v>272.26804746378605</v>
      </c>
      <c r="AK512">
        <f t="shared" si="27"/>
        <v>11.344501977657751</v>
      </c>
      <c r="AM512" s="56">
        <v>481</v>
      </c>
      <c r="AN512" s="56">
        <f t="shared" si="28"/>
        <v>0.47846654829881174</v>
      </c>
    </row>
    <row r="513" spans="14:40" x14ac:dyDescent="0.25">
      <c r="N513" s="14">
        <v>160.333</v>
      </c>
      <c r="O513" s="14">
        <v>0</v>
      </c>
      <c r="P513">
        <v>0</v>
      </c>
      <c r="Q513" s="57"/>
      <c r="R513" s="56">
        <f>N1475</f>
        <v>481</v>
      </c>
      <c r="S513" s="56">
        <f>P1475</f>
        <v>1.231176</v>
      </c>
      <c r="Z513">
        <v>481</v>
      </c>
      <c r="AA513" s="58">
        <v>108.45944512944695</v>
      </c>
      <c r="AB513" s="59">
        <v>43.244383773111551</v>
      </c>
      <c r="AC513" s="59">
        <v>151.70382890255848</v>
      </c>
      <c r="AD513" s="60">
        <v>65.215061356335397</v>
      </c>
      <c r="AE513" s="61">
        <v>0.26437822223415264</v>
      </c>
      <c r="AF513" s="62">
        <v>0.12529198160127888</v>
      </c>
      <c r="AG513" s="62">
        <v>0.38967020383543149</v>
      </c>
      <c r="AH513" s="63">
        <v>0.13908624063287375</v>
      </c>
      <c r="AI513">
        <f t="shared" si="29"/>
        <v>13.594848022875636</v>
      </c>
      <c r="AJ513" s="64">
        <v>326.27635254901526</v>
      </c>
      <c r="AK513">
        <f t="shared" si="27"/>
        <v>13.594848022875636</v>
      </c>
      <c r="AM513" s="56">
        <v>482</v>
      </c>
      <c r="AN513" s="56">
        <f t="shared" si="28"/>
        <v>0.47846654829882596</v>
      </c>
    </row>
    <row r="514" spans="14:40" x14ac:dyDescent="0.25">
      <c r="N514" s="14">
        <v>160.667</v>
      </c>
      <c r="O514" s="14">
        <v>4.3524500000000002</v>
      </c>
      <c r="P514">
        <v>0</v>
      </c>
      <c r="Q514" s="57"/>
      <c r="R514" s="56">
        <f>N1478</f>
        <v>482</v>
      </c>
      <c r="S514" s="56">
        <f>P1478</f>
        <v>1.2968010000000001</v>
      </c>
      <c r="Z514">
        <v>482</v>
      </c>
      <c r="AA514" s="58">
        <v>107.98097858114814</v>
      </c>
      <c r="AB514" s="59">
        <v>42.991832212452309</v>
      </c>
      <c r="AC514" s="59">
        <v>150.97281079360044</v>
      </c>
      <c r="AD514" s="60">
        <v>64.989146368695828</v>
      </c>
      <c r="AE514" s="61">
        <v>0.26319702807310907</v>
      </c>
      <c r="AF514" s="62">
        <v>0.12457496416574504</v>
      </c>
      <c r="AG514" s="62">
        <v>0.38777199223885411</v>
      </c>
      <c r="AH514" s="63">
        <v>0.13862206390736403</v>
      </c>
      <c r="AI514">
        <f t="shared" si="29"/>
        <v>14.622752676591146</v>
      </c>
      <c r="AJ514" s="64">
        <v>350.94606423818749</v>
      </c>
      <c r="AK514">
        <f t="shared" si="27"/>
        <v>14.622752676591146</v>
      </c>
      <c r="AM514" s="56">
        <v>483</v>
      </c>
      <c r="AN514" s="56">
        <f t="shared" si="28"/>
        <v>0.47846654829882596</v>
      </c>
    </row>
    <row r="515" spans="14:40" x14ac:dyDescent="0.25">
      <c r="N515" s="14">
        <v>161</v>
      </c>
      <c r="O515" s="14">
        <v>0</v>
      </c>
      <c r="P515" s="14">
        <f>O515+O514+O513</f>
        <v>4.3524500000000002</v>
      </c>
      <c r="Q515" s="57"/>
      <c r="R515" s="56">
        <f>N1481</f>
        <v>483</v>
      </c>
      <c r="S515" s="56">
        <f>P1481</f>
        <v>1.221306</v>
      </c>
      <c r="Z515">
        <v>483</v>
      </c>
      <c r="AA515" s="58">
        <v>107.50251203284931</v>
      </c>
      <c r="AB515" s="59">
        <v>42.739926490172572</v>
      </c>
      <c r="AC515" s="59">
        <v>150.24243852302189</v>
      </c>
      <c r="AD515" s="60">
        <v>64.762585542676732</v>
      </c>
      <c r="AE515" s="61">
        <v>0.26201583391206551</v>
      </c>
      <c r="AF515" s="62">
        <v>0.12385910444449336</v>
      </c>
      <c r="AG515" s="62">
        <v>0.38587493835655884</v>
      </c>
      <c r="AH515" s="63">
        <v>0.13815672946757215</v>
      </c>
      <c r="AI515">
        <f t="shared" si="29"/>
        <v>13.418611929214265</v>
      </c>
      <c r="AJ515" s="64">
        <v>322.04668630114236</v>
      </c>
      <c r="AK515">
        <f t="shared" si="27"/>
        <v>13.418611929214265</v>
      </c>
      <c r="AM515" s="56">
        <v>484</v>
      </c>
      <c r="AN515" s="56">
        <f t="shared" si="28"/>
        <v>0.47846654829885438</v>
      </c>
    </row>
    <row r="516" spans="14:40" x14ac:dyDescent="0.25">
      <c r="N516" s="14">
        <v>161.333</v>
      </c>
      <c r="O516" s="14">
        <v>4.5406899999999997</v>
      </c>
      <c r="P516">
        <v>0</v>
      </c>
      <c r="Q516" s="57"/>
      <c r="R516" s="56">
        <f>N1484</f>
        <v>484</v>
      </c>
      <c r="S516" s="56">
        <f>P1484</f>
        <v>1.2753369999999999</v>
      </c>
      <c r="Z516">
        <v>484</v>
      </c>
      <c r="AA516" s="58">
        <v>107.02404548455048</v>
      </c>
      <c r="AB516" s="59">
        <v>42.488678093361003</v>
      </c>
      <c r="AC516" s="59">
        <v>149.51272357791149</v>
      </c>
      <c r="AD516" s="60">
        <v>64.535367391189482</v>
      </c>
      <c r="AE516" s="61">
        <v>0.260834639751022</v>
      </c>
      <c r="AF516" s="62">
        <v>0.12314442262750255</v>
      </c>
      <c r="AG516" s="62">
        <v>0.38397906237852453</v>
      </c>
      <c r="AH516" s="63">
        <v>0.13769021712351945</v>
      </c>
      <c r="AI516">
        <f t="shared" si="29"/>
        <v>12.156773228178025</v>
      </c>
      <c r="AJ516" s="64">
        <v>291.7625574762726</v>
      </c>
      <c r="AK516">
        <f t="shared" si="27"/>
        <v>12.156773228178025</v>
      </c>
      <c r="AM516" s="56">
        <v>485</v>
      </c>
      <c r="AN516" s="56">
        <f t="shared" si="28"/>
        <v>0.47846654829881174</v>
      </c>
    </row>
    <row r="517" spans="14:40" x14ac:dyDescent="0.25">
      <c r="N517" s="14">
        <v>161.667</v>
      </c>
      <c r="O517" s="14">
        <v>0</v>
      </c>
      <c r="P517">
        <v>0</v>
      </c>
      <c r="Q517" s="57"/>
      <c r="R517" s="56">
        <f>N1487</f>
        <v>485</v>
      </c>
      <c r="S517" s="56">
        <f>P1487</f>
        <v>1.2106599999999998</v>
      </c>
      <c r="Z517">
        <v>485</v>
      </c>
      <c r="AA517" s="58">
        <v>106.54557893625163</v>
      </c>
      <c r="AB517" s="59">
        <v>42.238098752090558</v>
      </c>
      <c r="AC517" s="59">
        <v>148.78367768834218</v>
      </c>
      <c r="AD517" s="60">
        <v>64.307480184161079</v>
      </c>
      <c r="AE517" s="61">
        <v>0.25965344558997838</v>
      </c>
      <c r="AF517" s="62">
        <v>0.12243093934256942</v>
      </c>
      <c r="AG517" s="62">
        <v>0.38208438493254782</v>
      </c>
      <c r="AH517" s="63">
        <v>0.13722250624740895</v>
      </c>
      <c r="AI517">
        <f t="shared" si="29"/>
        <v>10.056597336249448</v>
      </c>
      <c r="AJ517" s="64">
        <v>241.35833606998673</v>
      </c>
      <c r="AK517">
        <f t="shared" si="27"/>
        <v>10.056597336249448</v>
      </c>
      <c r="AM517" s="56">
        <v>486</v>
      </c>
      <c r="AN517" s="56">
        <f t="shared" si="28"/>
        <v>0.47846654829882596</v>
      </c>
    </row>
    <row r="518" spans="14:40" x14ac:dyDescent="0.25">
      <c r="N518" s="14">
        <v>162</v>
      </c>
      <c r="O518" s="14">
        <v>4.7342300000000002</v>
      </c>
      <c r="P518" s="14">
        <f>O518+O517+O516</f>
        <v>9.2749199999999998</v>
      </c>
      <c r="Q518" s="57"/>
      <c r="R518" s="56">
        <f>N1490</f>
        <v>486</v>
      </c>
      <c r="S518" s="56">
        <f>P1490</f>
        <v>1.2550160000000001</v>
      </c>
      <c r="Z518">
        <v>486</v>
      </c>
      <c r="AA518" s="58">
        <v>106.06711238795282</v>
      </c>
      <c r="AB518" s="59">
        <v>41.988200444834909</v>
      </c>
      <c r="AC518" s="59">
        <v>148.05531283278773</v>
      </c>
      <c r="AD518" s="60">
        <v>64.078911943117902</v>
      </c>
      <c r="AE518" s="61">
        <v>0.25847225142893482</v>
      </c>
      <c r="AF518" s="62">
        <v>0.12171867566614657</v>
      </c>
      <c r="AG518" s="62">
        <v>0.3801909270950814</v>
      </c>
      <c r="AH518" s="63">
        <v>0.13675357576278824</v>
      </c>
      <c r="AI518">
        <f t="shared" si="29"/>
        <v>6.3233900919991797</v>
      </c>
      <c r="AJ518" s="64">
        <v>151.76136220798031</v>
      </c>
      <c r="AK518">
        <f t="shared" si="27"/>
        <v>6.3233900919991797</v>
      </c>
      <c r="AM518" s="56">
        <v>487</v>
      </c>
      <c r="AN518" s="56">
        <f t="shared" si="28"/>
        <v>0.47846654829882596</v>
      </c>
    </row>
    <row r="519" spans="14:40" x14ac:dyDescent="0.25">
      <c r="N519" s="14">
        <v>162.333</v>
      </c>
      <c r="O519" s="14">
        <v>0</v>
      </c>
      <c r="P519">
        <v>0</v>
      </c>
      <c r="Q519" s="57"/>
      <c r="R519" s="56">
        <f>N1493</f>
        <v>487</v>
      </c>
      <c r="S519" s="56">
        <f>P1493</f>
        <v>1.19953</v>
      </c>
      <c r="Z519">
        <v>487</v>
      </c>
      <c r="AA519" s="58">
        <v>105.58864583965399</v>
      </c>
      <c r="AB519" s="59">
        <v>41.738995403987886</v>
      </c>
      <c r="AC519" s="59">
        <v>147.32764124364189</v>
      </c>
      <c r="AD519" s="60">
        <v>63.849650435666106</v>
      </c>
      <c r="AE519" s="61">
        <v>0.25729105726789125</v>
      </c>
      <c r="AF519" s="62">
        <v>0.12100765313446532</v>
      </c>
      <c r="AG519" s="62">
        <v>0.37829871040235657</v>
      </c>
      <c r="AH519" s="63">
        <v>0.13628340413342593</v>
      </c>
      <c r="AI519">
        <f t="shared" si="29"/>
        <v>2.5479692945459052</v>
      </c>
      <c r="AJ519" s="64">
        <v>61.151263069101724</v>
      </c>
      <c r="AK519">
        <f t="shared" si="27"/>
        <v>2.5479692945459052</v>
      </c>
      <c r="AM519" s="56">
        <v>488</v>
      </c>
      <c r="AN519" s="56">
        <f t="shared" si="28"/>
        <v>0.44327728463629512</v>
      </c>
    </row>
    <row r="520" spans="14:40" x14ac:dyDescent="0.25">
      <c r="N520" s="14">
        <v>162.667</v>
      </c>
      <c r="O520" s="14">
        <v>4.9340099999999998</v>
      </c>
      <c r="P520">
        <v>0</v>
      </c>
      <c r="Q520" s="57"/>
      <c r="R520" s="56">
        <f>N1496</f>
        <v>488</v>
      </c>
      <c r="S520" s="56">
        <f>P1496</f>
        <v>1.238184</v>
      </c>
      <c r="Z520">
        <v>488</v>
      </c>
      <c r="AA520" s="58">
        <v>105.11017929135517</v>
      </c>
      <c r="AB520" s="59">
        <v>41.490496121483098</v>
      </c>
      <c r="AC520" s="59">
        <v>146.60067541283826</v>
      </c>
      <c r="AD520" s="60">
        <v>63.619683169872069</v>
      </c>
      <c r="AE520" s="61">
        <v>0.25610986310684775</v>
      </c>
      <c r="AF520" s="62">
        <v>0.1202978937549424</v>
      </c>
      <c r="AG520" s="62">
        <v>0.37640775686179018</v>
      </c>
      <c r="AH520" s="63">
        <v>0.13581196935190534</v>
      </c>
      <c r="AI520">
        <f t="shared" si="29"/>
        <v>0.2422784210867733</v>
      </c>
      <c r="AJ520" s="64">
        <v>5.8146821060825591</v>
      </c>
      <c r="AK520">
        <f t="shared" si="27"/>
        <v>0.2422784210867733</v>
      </c>
      <c r="AM520" s="56">
        <v>489</v>
      </c>
      <c r="AN520" s="56">
        <f t="shared" si="28"/>
        <v>0.37642076717679629</v>
      </c>
    </row>
    <row r="521" spans="14:40" x14ac:dyDescent="0.25">
      <c r="N521" s="14">
        <v>163</v>
      </c>
      <c r="O521" s="14">
        <v>0</v>
      </c>
      <c r="P521" s="14">
        <f>O521+O520+O519</f>
        <v>4.9340099999999998</v>
      </c>
      <c r="Q521" s="57"/>
      <c r="R521" s="56">
        <f>N1499</f>
        <v>489</v>
      </c>
      <c r="S521" s="56">
        <f>P1499</f>
        <v>1.1713010000000001</v>
      </c>
      <c r="Z521">
        <v>489</v>
      </c>
      <c r="AA521" s="58">
        <v>104.66690200671887</v>
      </c>
      <c r="AB521" s="59">
        <v>41.214886199977897</v>
      </c>
      <c r="AC521" s="59">
        <v>145.88178820669677</v>
      </c>
      <c r="AD521" s="60">
        <v>63.452015806740974</v>
      </c>
      <c r="AE521" s="61">
        <v>0.25501416945253091</v>
      </c>
      <c r="AF521" s="62">
        <v>0.11953219285772541</v>
      </c>
      <c r="AG521" s="62">
        <v>0.37454636231025634</v>
      </c>
      <c r="AH521" s="63">
        <v>0.13548197659480549</v>
      </c>
      <c r="AI521">
        <f t="shared" si="29"/>
        <v>0.71837957866386593</v>
      </c>
      <c r="AJ521" s="64">
        <v>17.241109887932783</v>
      </c>
      <c r="AK521">
        <f t="shared" si="27"/>
        <v>0.71837957866386593</v>
      </c>
      <c r="AM521" s="56">
        <v>490</v>
      </c>
      <c r="AN521" s="56">
        <f t="shared" si="28"/>
        <v>0.37481564070296258</v>
      </c>
    </row>
    <row r="522" spans="14:40" x14ac:dyDescent="0.25">
      <c r="N522" s="14">
        <v>163.333</v>
      </c>
      <c r="O522" s="14">
        <v>5.1466000000000003</v>
      </c>
      <c r="P522">
        <v>0</v>
      </c>
      <c r="Q522" s="57"/>
      <c r="R522" s="56">
        <f>N1502</f>
        <v>490</v>
      </c>
      <c r="S522" s="56">
        <f>P1502</f>
        <v>1.250583</v>
      </c>
      <c r="Z522">
        <v>490</v>
      </c>
      <c r="AA522" s="58">
        <v>104.29048123954207</v>
      </c>
      <c r="AB522" s="59">
        <v>40.887480352498898</v>
      </c>
      <c r="AC522" s="59">
        <v>145.17796159204096</v>
      </c>
      <c r="AD522" s="60">
        <v>63.403000887043177</v>
      </c>
      <c r="AE522" s="61">
        <v>0.25408091926891557</v>
      </c>
      <c r="AF522" s="62">
        <v>0.11865990242411641</v>
      </c>
      <c r="AG522" s="62">
        <v>0.37274082169303197</v>
      </c>
      <c r="AH522" s="63">
        <v>0.13542101684479918</v>
      </c>
      <c r="AI522">
        <f t="shared" si="29"/>
        <v>1.2605051894970198</v>
      </c>
      <c r="AJ522" s="64">
        <v>30.252124547928474</v>
      </c>
      <c r="AK522">
        <f t="shared" si="27"/>
        <v>1.2605051894970198</v>
      </c>
      <c r="AM522" s="56">
        <v>491</v>
      </c>
      <c r="AN522" s="56">
        <f t="shared" si="28"/>
        <v>0.35481166251484808</v>
      </c>
    </row>
    <row r="523" spans="14:40" x14ac:dyDescent="0.25">
      <c r="N523" s="14">
        <v>163.667</v>
      </c>
      <c r="O523" s="14">
        <v>0</v>
      </c>
      <c r="P523">
        <v>0</v>
      </c>
      <c r="Q523" s="57"/>
      <c r="R523" s="56">
        <f>N1505</f>
        <v>491</v>
      </c>
      <c r="S523" s="56">
        <f>P1505</f>
        <v>1.1633309999999999</v>
      </c>
      <c r="Z523">
        <v>491</v>
      </c>
      <c r="AA523" s="58">
        <v>103.91566559883911</v>
      </c>
      <c r="AB523" s="59">
        <v>40.560120280674901</v>
      </c>
      <c r="AC523" s="59">
        <v>144.47578587951401</v>
      </c>
      <c r="AD523" s="60">
        <v>63.355545318164211</v>
      </c>
      <c r="AE523" s="61">
        <v>0.25315156911367792</v>
      </c>
      <c r="AF523" s="62">
        <v>0.11778768430271105</v>
      </c>
      <c r="AG523" s="62">
        <v>0.370939253416389</v>
      </c>
      <c r="AH523" s="63">
        <v>0.13536388481096687</v>
      </c>
      <c r="AI523">
        <f t="shared" si="29"/>
        <v>1.8026308003301736</v>
      </c>
      <c r="AJ523" s="64">
        <v>43.263139207924169</v>
      </c>
      <c r="AK523">
        <f t="shared" si="27"/>
        <v>1.8026308003301736</v>
      </c>
      <c r="AM523" s="56">
        <v>492</v>
      </c>
      <c r="AN523" s="56">
        <f t="shared" si="28"/>
        <v>0.31593616424549964</v>
      </c>
    </row>
    <row r="524" spans="14:40" x14ac:dyDescent="0.25">
      <c r="N524" s="14">
        <v>164</v>
      </c>
      <c r="O524" s="14">
        <v>5.3670400000000003</v>
      </c>
      <c r="P524" s="14">
        <f>O524+O523+O522</f>
        <v>10.513640000000001</v>
      </c>
      <c r="Q524" s="57"/>
      <c r="R524" s="56">
        <f>N1508</f>
        <v>492</v>
      </c>
      <c r="S524" s="56">
        <f>P1508</f>
        <v>1.227106</v>
      </c>
      <c r="Z524">
        <v>492</v>
      </c>
      <c r="AA524" s="58">
        <v>103.56085393632426</v>
      </c>
      <c r="AB524" s="59">
        <v>40.221609801804867</v>
      </c>
      <c r="AC524" s="59">
        <v>143.78246373812914</v>
      </c>
      <c r="AD524" s="60">
        <v>63.339244134519397</v>
      </c>
      <c r="AE524" s="61">
        <v>0.25226675225580947</v>
      </c>
      <c r="AF524" s="62">
        <v>0.11688743795763415</v>
      </c>
      <c r="AG524" s="62">
        <v>0.36915419021344364</v>
      </c>
      <c r="AH524" s="63">
        <v>0.13537931429817532</v>
      </c>
      <c r="AI524">
        <f t="shared" si="29"/>
        <v>2.3447564111633277</v>
      </c>
      <c r="AJ524" s="64">
        <v>56.274153867919864</v>
      </c>
      <c r="AK524">
        <f t="shared" si="27"/>
        <v>2.3447564111633277</v>
      </c>
      <c r="AM524" s="56">
        <v>493</v>
      </c>
      <c r="AN524" s="56">
        <f t="shared" si="28"/>
        <v>0.31493805408464937</v>
      </c>
    </row>
    <row r="525" spans="14:40" x14ac:dyDescent="0.25">
      <c r="N525" s="14">
        <v>164.333</v>
      </c>
      <c r="O525" s="14">
        <v>0</v>
      </c>
      <c r="P525">
        <v>0</v>
      </c>
      <c r="Q525" s="57"/>
      <c r="R525" s="56">
        <f>N1511</f>
        <v>493</v>
      </c>
      <c r="S525" s="56">
        <f>P1511</f>
        <v>1.155305</v>
      </c>
      <c r="Z525">
        <v>493</v>
      </c>
      <c r="AA525" s="58">
        <v>103.24491777207876</v>
      </c>
      <c r="AB525" s="59">
        <v>39.860461915669056</v>
      </c>
      <c r="AC525" s="59">
        <v>143.10537968774781</v>
      </c>
      <c r="AD525" s="60">
        <v>63.384455856409708</v>
      </c>
      <c r="AE525" s="61">
        <v>0.25146848088946905</v>
      </c>
      <c r="AF525" s="62">
        <v>0.1159305907327505</v>
      </c>
      <c r="AG525" s="62">
        <v>0.36739907162221952</v>
      </c>
      <c r="AH525" s="63">
        <v>0.13553789015671855</v>
      </c>
      <c r="AI525">
        <f t="shared" si="29"/>
        <v>2.8868820219964824</v>
      </c>
      <c r="AJ525" s="64">
        <v>69.285168527915573</v>
      </c>
      <c r="AK525">
        <f t="shared" si="27"/>
        <v>2.8868820219964824</v>
      </c>
      <c r="AM525" s="56">
        <v>494</v>
      </c>
      <c r="AN525" s="56">
        <f t="shared" si="28"/>
        <v>0.31493805408466358</v>
      </c>
    </row>
    <row r="526" spans="14:40" x14ac:dyDescent="0.25">
      <c r="N526" s="14">
        <v>164.667</v>
      </c>
      <c r="O526" s="14">
        <v>5.5953099999999996</v>
      </c>
      <c r="P526">
        <v>0</v>
      </c>
      <c r="Q526" s="57"/>
      <c r="R526" s="56">
        <f>N1514</f>
        <v>494</v>
      </c>
      <c r="S526" s="56">
        <f>P1514</f>
        <v>1.205093</v>
      </c>
      <c r="Z526">
        <v>494</v>
      </c>
      <c r="AA526" s="58">
        <v>102.92997971799412</v>
      </c>
      <c r="AB526" s="59">
        <v>39.500527960477356</v>
      </c>
      <c r="AC526" s="59">
        <v>142.43050767847149</v>
      </c>
      <c r="AD526" s="60">
        <v>63.429451757516759</v>
      </c>
      <c r="AE526" s="61">
        <v>0.25067243153797891</v>
      </c>
      <c r="AF526" s="62">
        <v>0.11497568937345197</v>
      </c>
      <c r="AG526" s="62">
        <v>0.3656481209114309</v>
      </c>
      <c r="AH526" s="63">
        <v>0.13569674216452693</v>
      </c>
      <c r="AI526">
        <f t="shared" si="29"/>
        <v>2.1874079467236105</v>
      </c>
      <c r="AJ526" s="64">
        <v>52.497790721366648</v>
      </c>
      <c r="AK526">
        <f t="shared" si="27"/>
        <v>2.1874079467236105</v>
      </c>
      <c r="AM526" s="56">
        <v>495</v>
      </c>
      <c r="AN526" s="56">
        <f t="shared" si="28"/>
        <v>0.31493805408467779</v>
      </c>
    </row>
    <row r="527" spans="14:40" x14ac:dyDescent="0.25">
      <c r="N527" s="14">
        <v>165</v>
      </c>
      <c r="O527" s="14">
        <v>0</v>
      </c>
      <c r="P527" s="14">
        <f>O527+O526+O525</f>
        <v>5.5953099999999996</v>
      </c>
      <c r="Q527" s="57"/>
      <c r="R527" s="56">
        <f>N1517</f>
        <v>495</v>
      </c>
      <c r="S527" s="56">
        <f>P1517</f>
        <v>1.1496690000000001</v>
      </c>
      <c r="Z527">
        <v>495</v>
      </c>
      <c r="AA527" s="58">
        <v>102.61504166390945</v>
      </c>
      <c r="AB527" s="59">
        <v>39.142480108665559</v>
      </c>
      <c r="AC527" s="59">
        <v>141.75752177257502</v>
      </c>
      <c r="AD527" s="60">
        <v>63.472561555243892</v>
      </c>
      <c r="AE527" s="61">
        <v>0.2498763821864888</v>
      </c>
      <c r="AF527" s="62">
        <v>0.11402435304696275</v>
      </c>
      <c r="AG527" s="62">
        <v>0.36390073523345157</v>
      </c>
      <c r="AH527" s="63">
        <v>0.13585202913952604</v>
      </c>
      <c r="AI527">
        <f t="shared" si="29"/>
        <v>6.0080949553649114E-2</v>
      </c>
      <c r="AJ527" s="64">
        <v>1.4419427892875787</v>
      </c>
      <c r="AK527" t="str">
        <f t="shared" si="27"/>
        <v xml:space="preserve"> </v>
      </c>
      <c r="AM527" s="56">
        <v>496</v>
      </c>
      <c r="AN527" s="56">
        <f t="shared" si="28"/>
        <v>0.31493805408467779</v>
      </c>
    </row>
    <row r="528" spans="14:40" x14ac:dyDescent="0.25">
      <c r="N528" s="14">
        <v>165.333</v>
      </c>
      <c r="O528" s="14">
        <v>5.8392600000000003</v>
      </c>
      <c r="P528">
        <v>0</v>
      </c>
      <c r="Q528" s="57"/>
      <c r="R528" s="56">
        <f>N1520</f>
        <v>496</v>
      </c>
      <c r="S528" s="56">
        <f>P1520</f>
        <v>0</v>
      </c>
      <c r="Z528">
        <v>496</v>
      </c>
      <c r="AA528" s="58">
        <v>102.30010360982477</v>
      </c>
      <c r="AB528" s="59">
        <v>38.78637059371475</v>
      </c>
      <c r="AC528" s="59">
        <v>141.08647420353952</v>
      </c>
      <c r="AD528" s="60">
        <v>63.513733016110024</v>
      </c>
      <c r="AE528" s="61">
        <v>0.2490803328349987</v>
      </c>
      <c r="AF528" s="62">
        <v>0.11307667173328996</v>
      </c>
      <c r="AG528" s="62">
        <v>0.36215700456828864</v>
      </c>
      <c r="AH528" s="63">
        <v>0.13600366110170875</v>
      </c>
      <c r="AI528">
        <f t="shared" si="29"/>
        <v>0</v>
      </c>
      <c r="AJ528" s="64">
        <v>0</v>
      </c>
      <c r="AK528" t="str">
        <f t="shared" si="27"/>
        <v xml:space="preserve"> </v>
      </c>
      <c r="AM528" s="56">
        <v>497</v>
      </c>
      <c r="AN528" s="56">
        <f t="shared" si="28"/>
        <v>0.28567516803612136</v>
      </c>
    </row>
    <row r="529" spans="14:40" x14ac:dyDescent="0.25">
      <c r="N529" s="14">
        <v>165.667</v>
      </c>
      <c r="O529" s="14">
        <v>0</v>
      </c>
      <c r="P529">
        <v>0</v>
      </c>
      <c r="Q529" s="57"/>
      <c r="R529" s="56">
        <f>N1523</f>
        <v>497</v>
      </c>
      <c r="S529" s="56">
        <f>P1523</f>
        <v>0</v>
      </c>
      <c r="Z529">
        <v>497</v>
      </c>
      <c r="AA529" s="58">
        <v>101.9851655557401</v>
      </c>
      <c r="AB529" s="59">
        <v>38.432253296984186</v>
      </c>
      <c r="AC529" s="59">
        <v>140.41741885272427</v>
      </c>
      <c r="AD529" s="60">
        <v>63.55291225875591</v>
      </c>
      <c r="AE529" s="61">
        <v>0.24828428348350856</v>
      </c>
      <c r="AF529" s="62">
        <v>0.11213273810266078</v>
      </c>
      <c r="AG529" s="62">
        <v>0.36041702158616934</v>
      </c>
      <c r="AH529" s="63">
        <v>0.13615154538084778</v>
      </c>
      <c r="AI529">
        <f t="shared" si="29"/>
        <v>0</v>
      </c>
      <c r="AJ529" s="64">
        <v>0</v>
      </c>
      <c r="AK529" t="str">
        <f t="shared" si="27"/>
        <v xml:space="preserve"> </v>
      </c>
      <c r="AM529" s="56">
        <v>498</v>
      </c>
      <c r="AN529" s="56">
        <f t="shared" si="28"/>
        <v>0.22971466924489903</v>
      </c>
    </row>
    <row r="530" spans="14:40" x14ac:dyDescent="0.25">
      <c r="N530" s="14">
        <v>166</v>
      </c>
      <c r="O530" s="14">
        <v>6.0954300000000003</v>
      </c>
      <c r="P530" s="14">
        <f>O530+O529+O528</f>
        <v>11.93469</v>
      </c>
      <c r="Q530" s="57"/>
      <c r="R530" s="56">
        <f>N1526</f>
        <v>498</v>
      </c>
      <c r="S530" s="56">
        <f>P1526</f>
        <v>0</v>
      </c>
      <c r="Z530">
        <v>498</v>
      </c>
      <c r="AA530" s="58">
        <v>101.69949038770397</v>
      </c>
      <c r="AB530" s="59">
        <v>38.069800746828037</v>
      </c>
      <c r="AC530" s="59">
        <v>139.76929113453201</v>
      </c>
      <c r="AD530" s="60">
        <v>63.629689640875938</v>
      </c>
      <c r="AE530" s="61">
        <v>0.24755757783497451</v>
      </c>
      <c r="AF530" s="62">
        <v>0.11116800282910978</v>
      </c>
      <c r="AG530" s="62">
        <v>0.35872558066408428</v>
      </c>
      <c r="AH530" s="63">
        <v>0.13638957500586474</v>
      </c>
      <c r="AI530">
        <f t="shared" si="29"/>
        <v>0</v>
      </c>
      <c r="AJ530" s="64">
        <v>0</v>
      </c>
      <c r="AK530" t="str">
        <f t="shared" si="27"/>
        <v xml:space="preserve"> </v>
      </c>
      <c r="AM530" s="56">
        <v>499</v>
      </c>
      <c r="AN530" s="56">
        <f t="shared" si="28"/>
        <v>0.22834458154314063</v>
      </c>
    </row>
    <row r="531" spans="14:40" x14ac:dyDescent="0.25">
      <c r="N531" s="14">
        <v>166.333</v>
      </c>
      <c r="O531" s="14">
        <v>0</v>
      </c>
      <c r="P531">
        <v>0</v>
      </c>
      <c r="Q531" s="57"/>
      <c r="R531" s="56">
        <f>N1529</f>
        <v>499</v>
      </c>
      <c r="S531" s="56">
        <f>P1529</f>
        <v>0</v>
      </c>
      <c r="Z531">
        <v>499</v>
      </c>
      <c r="AA531" s="58">
        <v>101.46977571845908</v>
      </c>
      <c r="AB531" s="59">
        <v>37.689205451716489</v>
      </c>
      <c r="AC531" s="59">
        <v>139.15898117017557</v>
      </c>
      <c r="AD531" s="60">
        <v>63.780570266742586</v>
      </c>
      <c r="AE531" s="61">
        <v>0.24696348071312568</v>
      </c>
      <c r="AF531" s="62">
        <v>0.11015937202023343</v>
      </c>
      <c r="AG531" s="62">
        <v>0.35712285273335909</v>
      </c>
      <c r="AH531" s="63">
        <v>0.13680410869289225</v>
      </c>
      <c r="AI531">
        <f t="shared" si="29"/>
        <v>0</v>
      </c>
      <c r="AJ531" s="64">
        <v>0</v>
      </c>
      <c r="AK531" t="str">
        <f t="shared" si="27"/>
        <v xml:space="preserve"> </v>
      </c>
      <c r="AM531" s="56">
        <v>500</v>
      </c>
      <c r="AN531" s="56">
        <f t="shared" si="28"/>
        <v>0.22834458154314063</v>
      </c>
    </row>
    <row r="532" spans="14:40" x14ac:dyDescent="0.25">
      <c r="N532" s="14">
        <v>166.667</v>
      </c>
      <c r="O532" s="14">
        <v>6.3604700000000003</v>
      </c>
      <c r="P532">
        <v>0</v>
      </c>
      <c r="Q532" s="57"/>
      <c r="R532" s="56">
        <f>N1532</f>
        <v>500</v>
      </c>
      <c r="S532" s="56">
        <f>P1532</f>
        <v>0.17354299998311751</v>
      </c>
      <c r="Z532">
        <v>500</v>
      </c>
      <c r="AA532" s="58">
        <v>101.24143113691593</v>
      </c>
      <c r="AB532" s="59">
        <v>37.309714534820074</v>
      </c>
      <c r="AC532" s="59">
        <v>138.55114567173601</v>
      </c>
      <c r="AD532" s="60">
        <v>63.931716602095861</v>
      </c>
      <c r="AE532" s="61">
        <v>0.2463726302619729</v>
      </c>
      <c r="AF532" s="62">
        <v>0.10915259837666048</v>
      </c>
      <c r="AG532" s="62">
        <v>0.35552522863863339</v>
      </c>
      <c r="AH532" s="63">
        <v>0.1372200318853124</v>
      </c>
      <c r="AI532">
        <f t="shared" si="29"/>
        <v>0</v>
      </c>
      <c r="AJ532" s="64">
        <v>0</v>
      </c>
      <c r="AK532" t="str">
        <f t="shared" si="27"/>
        <v xml:space="preserve"> </v>
      </c>
      <c r="AM532" s="56">
        <v>501</v>
      </c>
      <c r="AN532" s="56">
        <f t="shared" si="28"/>
        <v>0.18650594397807652</v>
      </c>
    </row>
    <row r="533" spans="14:40" x14ac:dyDescent="0.25">
      <c r="N533" s="14">
        <v>167</v>
      </c>
      <c r="O533" s="14">
        <v>0</v>
      </c>
      <c r="P533" s="14">
        <f>O533+O532+O531</f>
        <v>6.3604700000000003</v>
      </c>
      <c r="Q533" s="57"/>
      <c r="R533" s="56">
        <f>N1535</f>
        <v>501</v>
      </c>
      <c r="S533" s="56">
        <f>P1535</f>
        <v>0.516629</v>
      </c>
      <c r="Z533">
        <v>501</v>
      </c>
      <c r="AA533" s="58">
        <v>101.01308655537279</v>
      </c>
      <c r="AB533" s="59">
        <v>36.931859086071661</v>
      </c>
      <c r="AC533" s="59">
        <v>137.94494564144446</v>
      </c>
      <c r="AD533" s="60">
        <v>64.081227469301126</v>
      </c>
      <c r="AE533" s="61">
        <v>0.24578177981082014</v>
      </c>
      <c r="AF533" s="62">
        <v>0.10814891204472314</v>
      </c>
      <c r="AG533" s="62">
        <v>0.35393069185554327</v>
      </c>
      <c r="AH533" s="63">
        <v>0.13763286776609701</v>
      </c>
      <c r="AI533">
        <f t="shared" si="29"/>
        <v>0</v>
      </c>
      <c r="AJ533" s="64">
        <v>0</v>
      </c>
      <c r="AK533" t="str">
        <f t="shared" si="27"/>
        <v xml:space="preserve"> </v>
      </c>
      <c r="AM533" s="56">
        <v>502</v>
      </c>
      <c r="AN533" s="56">
        <f t="shared" si="28"/>
        <v>8.6177044019976279E-2</v>
      </c>
    </row>
    <row r="534" spans="14:40" x14ac:dyDescent="0.25">
      <c r="N534" s="14">
        <v>167.333</v>
      </c>
      <c r="O534" s="14">
        <v>6.6444799999999997</v>
      </c>
      <c r="P534">
        <v>0</v>
      </c>
      <c r="Q534" s="57"/>
      <c r="R534" s="56">
        <f>N1538</f>
        <v>502</v>
      </c>
      <c r="S534" s="56">
        <f>P1538</f>
        <v>0.51246100000000006</v>
      </c>
      <c r="Z534">
        <v>502</v>
      </c>
      <c r="AA534" s="58">
        <v>100.82658061139472</v>
      </c>
      <c r="AB534" s="59">
        <v>36.564914013499262</v>
      </c>
      <c r="AC534" s="59">
        <v>137.39149462489399</v>
      </c>
      <c r="AD534" s="60">
        <v>64.261666597895456</v>
      </c>
      <c r="AE534" s="61">
        <v>0.24529012195969407</v>
      </c>
      <c r="AF534" s="62">
        <v>0.1071755647466511</v>
      </c>
      <c r="AG534" s="62">
        <v>0.35246568670634515</v>
      </c>
      <c r="AH534" s="63">
        <v>0.13811455721304297</v>
      </c>
      <c r="AI534">
        <f t="shared" si="29"/>
        <v>0</v>
      </c>
      <c r="AJ534" s="64">
        <v>0</v>
      </c>
      <c r="AK534" t="str">
        <f t="shared" si="27"/>
        <v xml:space="preserve"> </v>
      </c>
      <c r="AM534" s="56">
        <v>503</v>
      </c>
      <c r="AN534" s="56">
        <f t="shared" si="28"/>
        <v>4.1696640702667764E-2</v>
      </c>
    </row>
    <row r="535" spans="14:40" x14ac:dyDescent="0.25">
      <c r="N535" s="14">
        <v>167.667</v>
      </c>
      <c r="O535" s="14">
        <v>0</v>
      </c>
      <c r="P535">
        <v>0</v>
      </c>
      <c r="Q535" s="57"/>
      <c r="R535" s="56">
        <f>N1541</f>
        <v>503</v>
      </c>
      <c r="S535" s="56">
        <f>P1541</f>
        <v>0.50759399999999999</v>
      </c>
      <c r="Z535">
        <v>503</v>
      </c>
      <c r="AA535" s="58">
        <v>100.74040356737474</v>
      </c>
      <c r="AB535" s="59">
        <v>36.192398522476758</v>
      </c>
      <c r="AC535" s="59">
        <v>136.93280208985149</v>
      </c>
      <c r="AD535" s="60">
        <v>64.548005044897991</v>
      </c>
      <c r="AE535" s="61">
        <v>0.24503559793463681</v>
      </c>
      <c r="AF535" s="62">
        <v>0.10620498148911374</v>
      </c>
      <c r="AG535" s="62">
        <v>0.35124057942375053</v>
      </c>
      <c r="AH535" s="63">
        <v>0.13883061644552308</v>
      </c>
      <c r="AI535">
        <f t="shared" si="29"/>
        <v>0</v>
      </c>
      <c r="AJ535" s="64">
        <v>0</v>
      </c>
      <c r="AK535" t="str">
        <f t="shared" si="27"/>
        <v xml:space="preserve"> </v>
      </c>
      <c r="AM535" s="56">
        <v>504</v>
      </c>
      <c r="AN535" s="56">
        <f t="shared" si="28"/>
        <v>4.0622453894854971E-2</v>
      </c>
    </row>
    <row r="536" spans="14:40" x14ac:dyDescent="0.25">
      <c r="N536" s="14">
        <v>168</v>
      </c>
      <c r="O536" s="14">
        <v>6.9467400000000001</v>
      </c>
      <c r="P536" s="14">
        <f>O536+O535+O534</f>
        <v>13.59122</v>
      </c>
      <c r="Q536" s="57"/>
      <c r="R536" s="56">
        <f>N1544</f>
        <v>504</v>
      </c>
      <c r="S536" s="56">
        <f>P1544</f>
        <v>0.50337100000000001</v>
      </c>
      <c r="Z536">
        <v>504</v>
      </c>
      <c r="AA536" s="58">
        <v>100.69870692667207</v>
      </c>
      <c r="AB536" s="59">
        <v>35.774676911257892</v>
      </c>
      <c r="AC536" s="59">
        <v>136.47338383792996</v>
      </c>
      <c r="AD536" s="60">
        <v>64.924030015414189</v>
      </c>
      <c r="AE536" s="61">
        <v>0.24488520456531512</v>
      </c>
      <c r="AF536" s="62">
        <v>0.10514050774721002</v>
      </c>
      <c r="AG536" s="62">
        <v>0.35002571231252516</v>
      </c>
      <c r="AH536" s="63">
        <v>0.13974469681810509</v>
      </c>
      <c r="AI536">
        <f t="shared" si="29"/>
        <v>0</v>
      </c>
      <c r="AJ536" s="64">
        <v>0</v>
      </c>
      <c r="AK536" t="str">
        <f t="shared" si="27"/>
        <v xml:space="preserve"> </v>
      </c>
      <c r="AM536" s="56">
        <v>505</v>
      </c>
      <c r="AN536" s="56">
        <f t="shared" si="28"/>
        <v>4.062245389484076E-2</v>
      </c>
    </row>
    <row r="537" spans="14:40" x14ac:dyDescent="0.25">
      <c r="N537" s="14">
        <v>168.333</v>
      </c>
      <c r="O537" s="14">
        <v>0</v>
      </c>
      <c r="P537">
        <v>0</v>
      </c>
      <c r="Q537" s="57"/>
      <c r="R537" s="56">
        <f>N1547</f>
        <v>505</v>
      </c>
      <c r="S537" s="56">
        <f>P1547</f>
        <v>0.49873299999999998</v>
      </c>
      <c r="Z537">
        <v>505</v>
      </c>
      <c r="AA537" s="58">
        <v>100.65808447277722</v>
      </c>
      <c r="AB537" s="59">
        <v>35.356208678266817</v>
      </c>
      <c r="AC537" s="59">
        <v>136.01429315104403</v>
      </c>
      <c r="AD537" s="60">
        <v>65.301875794510408</v>
      </c>
      <c r="AE537" s="61">
        <v>0.24473732468355808</v>
      </c>
      <c r="AF537" s="62">
        <v>0.10407453226517627</v>
      </c>
      <c r="AG537" s="62">
        <v>0.34881185694873434</v>
      </c>
      <c r="AH537" s="63">
        <v>0.14066279241838181</v>
      </c>
      <c r="AI537">
        <f t="shared" si="29"/>
        <v>0</v>
      </c>
      <c r="AJ537" s="64">
        <v>0</v>
      </c>
      <c r="AK537" t="str">
        <f t="shared" si="27"/>
        <v xml:space="preserve"> </v>
      </c>
      <c r="AM537" s="56">
        <v>506</v>
      </c>
      <c r="AN537" s="56">
        <f t="shared" si="28"/>
        <v>4.0622453894854971E-2</v>
      </c>
    </row>
    <row r="538" spans="14:40" x14ac:dyDescent="0.25">
      <c r="N538" s="14">
        <v>168.667</v>
      </c>
      <c r="O538" s="14">
        <v>7.2581699999999998</v>
      </c>
      <c r="P538">
        <v>0</v>
      </c>
      <c r="Q538" s="57"/>
      <c r="R538" s="56">
        <f>N1550</f>
        <v>506</v>
      </c>
      <c r="S538" s="56">
        <f>P1550</f>
        <v>0.49442299999999995</v>
      </c>
      <c r="Z538">
        <v>506</v>
      </c>
      <c r="AA538" s="58">
        <v>100.61746201888238</v>
      </c>
      <c r="AB538" s="59">
        <v>34.938172183699649</v>
      </c>
      <c r="AC538" s="59">
        <v>135.55563420258204</v>
      </c>
      <c r="AD538" s="60">
        <v>65.679289835182729</v>
      </c>
      <c r="AE538" s="61">
        <v>0.24458944480180103</v>
      </c>
      <c r="AF538" s="62">
        <v>0.10300950618725843</v>
      </c>
      <c r="AG538" s="62">
        <v>0.34759895098905946</v>
      </c>
      <c r="AH538" s="63">
        <v>0.1415799386145426</v>
      </c>
      <c r="AI538">
        <f t="shared" si="29"/>
        <v>0</v>
      </c>
      <c r="AJ538" s="64">
        <v>0</v>
      </c>
      <c r="AK538" t="str">
        <f t="shared" si="27"/>
        <v xml:space="preserve"> </v>
      </c>
      <c r="AM538" s="56">
        <v>507</v>
      </c>
      <c r="AN538" s="56">
        <f t="shared" si="28"/>
        <v>4.0622453894854971E-2</v>
      </c>
    </row>
    <row r="539" spans="14:40" x14ac:dyDescent="0.25">
      <c r="N539" s="14">
        <v>169</v>
      </c>
      <c r="O539" s="14">
        <v>0</v>
      </c>
      <c r="P539" s="14">
        <f>O539+O538+O537</f>
        <v>7.2581699999999998</v>
      </c>
      <c r="Q539" s="57"/>
      <c r="R539" s="56">
        <f>N1553</f>
        <v>507</v>
      </c>
      <c r="S539" s="56">
        <f>P1553</f>
        <v>0.48971100000000001</v>
      </c>
      <c r="Z539">
        <v>507</v>
      </c>
      <c r="AA539" s="58">
        <v>100.57683956498752</v>
      </c>
      <c r="AB539" s="59">
        <v>34.520583112325426</v>
      </c>
      <c r="AC539" s="59">
        <v>135.09742267731295</v>
      </c>
      <c r="AD539" s="60">
        <v>66.056256452662097</v>
      </c>
      <c r="AE539" s="61">
        <v>0.24444156492004396</v>
      </c>
      <c r="AF539" s="62">
        <v>0.10194545926878755</v>
      </c>
      <c r="AG539" s="62">
        <v>0.34638702418883149</v>
      </c>
      <c r="AH539" s="63">
        <v>0.14249610565125642</v>
      </c>
      <c r="AI539">
        <f t="shared" si="29"/>
        <v>0</v>
      </c>
      <c r="AJ539" s="64">
        <v>0</v>
      </c>
      <c r="AK539" t="str">
        <f t="shared" si="27"/>
        <v xml:space="preserve"> </v>
      </c>
      <c r="AM539" s="56">
        <v>508</v>
      </c>
      <c r="AN539" s="56">
        <f t="shared" si="28"/>
        <v>4.0622453894826549E-2</v>
      </c>
    </row>
    <row r="540" spans="14:40" x14ac:dyDescent="0.25">
      <c r="N540" s="14">
        <v>169.333</v>
      </c>
      <c r="O540" s="14">
        <v>7.5970199999999997</v>
      </c>
      <c r="P540">
        <v>0</v>
      </c>
      <c r="Q540" s="57"/>
      <c r="R540" s="56">
        <f>N1556</f>
        <v>508</v>
      </c>
      <c r="S540" s="56">
        <f>P1556</f>
        <v>0.48599800000000004</v>
      </c>
      <c r="Z540">
        <v>508</v>
      </c>
      <c r="AA540" s="58">
        <v>100.53621711109267</v>
      </c>
      <c r="AB540" s="59">
        <v>34.103457899933389</v>
      </c>
      <c r="AC540" s="59">
        <v>134.63967501102604</v>
      </c>
      <c r="AD540" s="60">
        <v>66.432759211159279</v>
      </c>
      <c r="AE540" s="61">
        <v>0.24429368503828686</v>
      </c>
      <c r="AF540" s="62">
        <v>0.10088242249251733</v>
      </c>
      <c r="AG540" s="62">
        <v>0.34517610753080419</v>
      </c>
      <c r="AH540" s="63">
        <v>0.14341126254576952</v>
      </c>
      <c r="AI540">
        <f t="shared" si="29"/>
        <v>0</v>
      </c>
      <c r="AJ540" s="64">
        <v>0</v>
      </c>
      <c r="AK540" t="str">
        <f t="shared" si="27"/>
        <v xml:space="preserve"> </v>
      </c>
      <c r="AM540" s="56">
        <v>509</v>
      </c>
      <c r="AN540" s="56">
        <f t="shared" si="28"/>
        <v>4.0622453894869182E-2</v>
      </c>
    </row>
    <row r="541" spans="14:40" x14ac:dyDescent="0.25">
      <c r="N541" s="14">
        <v>169.667</v>
      </c>
      <c r="O541" s="14">
        <v>0</v>
      </c>
      <c r="P541">
        <v>0</v>
      </c>
      <c r="Q541" s="57"/>
      <c r="R541" s="56">
        <f>N1559</f>
        <v>509</v>
      </c>
      <c r="S541" s="56">
        <f>P1559</f>
        <v>0.481265</v>
      </c>
      <c r="Z541">
        <v>509</v>
      </c>
      <c r="AA541" s="58">
        <v>100.49559465719784</v>
      </c>
      <c r="AB541" s="59">
        <v>33.686813777656653</v>
      </c>
      <c r="AC541" s="59">
        <v>134.18240843485449</v>
      </c>
      <c r="AD541" s="60">
        <v>66.808780879541189</v>
      </c>
      <c r="AE541" s="61">
        <v>0.24414580515652978</v>
      </c>
      <c r="AF541" s="62">
        <v>9.9820428130954514E-2</v>
      </c>
      <c r="AG541" s="62">
        <v>0.34396623328748432</v>
      </c>
      <c r="AH541" s="63">
        <v>0.14432537702557527</v>
      </c>
      <c r="AI541">
        <f t="shared" si="29"/>
        <v>0</v>
      </c>
      <c r="AJ541" s="64">
        <v>0</v>
      </c>
      <c r="AK541" t="str">
        <f t="shared" si="27"/>
        <v xml:space="preserve"> </v>
      </c>
      <c r="AM541" s="56">
        <v>510</v>
      </c>
      <c r="AN541" s="56">
        <f t="shared" si="28"/>
        <v>4.0622453894826549E-2</v>
      </c>
    </row>
    <row r="542" spans="14:40" x14ac:dyDescent="0.25">
      <c r="N542" s="14">
        <v>170</v>
      </c>
      <c r="O542" s="14">
        <v>0</v>
      </c>
      <c r="P542" s="14">
        <f>O542+O541+O540</f>
        <v>7.5970199999999997</v>
      </c>
      <c r="Q542" s="57"/>
      <c r="R542" s="56">
        <f>N1562</f>
        <v>510</v>
      </c>
      <c r="S542" s="56">
        <f>P1562</f>
        <v>0.47741100000000003</v>
      </c>
      <c r="Z542">
        <v>510</v>
      </c>
      <c r="AA542" s="58">
        <v>100.45497220330297</v>
      </c>
      <c r="AB542" s="59">
        <v>33.270668819381186</v>
      </c>
      <c r="AC542" s="59">
        <v>133.72564102268416</v>
      </c>
      <c r="AD542" s="60">
        <v>67.184303383921787</v>
      </c>
      <c r="AE542" s="61">
        <v>0.24399792527477268</v>
      </c>
      <c r="AF542" s="62">
        <v>9.875950981241699E-2</v>
      </c>
      <c r="AG542" s="62">
        <v>0.3427574350871897</v>
      </c>
      <c r="AH542" s="63">
        <v>0.14523841546235569</v>
      </c>
      <c r="AI542">
        <f t="shared" si="29"/>
        <v>0</v>
      </c>
      <c r="AJ542" s="64">
        <v>0</v>
      </c>
      <c r="AK542" t="str">
        <f t="shared" si="27"/>
        <v xml:space="preserve"> </v>
      </c>
      <c r="AM542" s="56">
        <v>511</v>
      </c>
      <c r="AN542" s="56">
        <f t="shared" si="28"/>
        <v>4.0622453894869182E-2</v>
      </c>
    </row>
    <row r="543" spans="14:40" x14ac:dyDescent="0.25">
      <c r="N543" s="14">
        <v>170.333</v>
      </c>
      <c r="O543" s="14">
        <v>0</v>
      </c>
      <c r="P543">
        <v>0</v>
      </c>
      <c r="Q543" s="57"/>
      <c r="R543" s="56">
        <f>N1565</f>
        <v>511</v>
      </c>
      <c r="S543" s="56">
        <f>P1565</f>
        <v>0.47290899999999997</v>
      </c>
      <c r="Z543">
        <v>511</v>
      </c>
      <c r="AA543" s="58">
        <v>100.41434974940815</v>
      </c>
      <c r="AB543" s="59">
        <v>32.855041992482619</v>
      </c>
      <c r="AC543" s="59">
        <v>133.26939174189076</v>
      </c>
      <c r="AD543" s="60">
        <v>67.559307756925534</v>
      </c>
      <c r="AE543" s="61">
        <v>0.24385004539301561</v>
      </c>
      <c r="AF543" s="62">
        <v>9.7699702591073787E-2</v>
      </c>
      <c r="AG543" s="62">
        <v>0.34154974798408938</v>
      </c>
      <c r="AH543" s="63">
        <v>0.14615034280194183</v>
      </c>
      <c r="AI543">
        <f t="shared" si="29"/>
        <v>0</v>
      </c>
      <c r="AJ543" s="64">
        <v>0</v>
      </c>
      <c r="AK543" t="str">
        <f t="shared" si="27"/>
        <v xml:space="preserve"> </v>
      </c>
      <c r="AM543" s="56">
        <v>512</v>
      </c>
      <c r="AN543" s="56">
        <f t="shared" si="28"/>
        <v>4.0622453894826549E-2</v>
      </c>
    </row>
    <row r="544" spans="14:40" x14ac:dyDescent="0.25">
      <c r="N544" s="14">
        <v>170.667</v>
      </c>
      <c r="O544" s="14">
        <v>0.36914200000000003</v>
      </c>
      <c r="P544">
        <v>0</v>
      </c>
      <c r="Q544" s="57"/>
      <c r="R544" s="56">
        <f>N1568</f>
        <v>512</v>
      </c>
      <c r="S544" s="56">
        <f>P1568</f>
        <v>0.46901900000000002</v>
      </c>
      <c r="Z544">
        <v>512</v>
      </c>
      <c r="AA544" s="58">
        <v>100.37372729551328</v>
      </c>
      <c r="AB544" s="59">
        <v>32.439953212159438</v>
      </c>
      <c r="AC544" s="59">
        <v>132.8136805076727</v>
      </c>
      <c r="AD544" s="60">
        <v>67.933774083353839</v>
      </c>
      <c r="AE544" s="61">
        <v>0.24370216551125856</v>
      </c>
      <c r="AF544" s="62">
        <v>9.6641043021240144E-2</v>
      </c>
      <c r="AG544" s="62">
        <v>0.34034320853249872</v>
      </c>
      <c r="AH544" s="63">
        <v>0.1470611224900184</v>
      </c>
      <c r="AI544">
        <f t="shared" si="29"/>
        <v>0</v>
      </c>
      <c r="AJ544" s="64">
        <v>0</v>
      </c>
      <c r="AK544" t="str">
        <f t="shared" si="27"/>
        <v xml:space="preserve"> </v>
      </c>
      <c r="AM544" s="56">
        <v>513</v>
      </c>
      <c r="AN544" s="56">
        <f t="shared" si="28"/>
        <v>4.0622453894869182E-2</v>
      </c>
    </row>
    <row r="545" spans="14:40" x14ac:dyDescent="0.25">
      <c r="N545" s="14">
        <v>171</v>
      </c>
      <c r="O545" s="14">
        <v>1.7587600000000001</v>
      </c>
      <c r="P545" s="14">
        <f>O545+O544+O543</f>
        <v>2.1279020000000002</v>
      </c>
      <c r="Q545" s="57"/>
      <c r="R545" s="56">
        <f>N1571</f>
        <v>513</v>
      </c>
      <c r="S545" s="56">
        <f>P1571</f>
        <v>0.46470100000000003</v>
      </c>
      <c r="Z545">
        <v>513</v>
      </c>
      <c r="AA545" s="58">
        <v>100.33310484161845</v>
      </c>
      <c r="AB545" s="59">
        <v>32.025423399649341</v>
      </c>
      <c r="AC545" s="59">
        <v>132.35852824126778</v>
      </c>
      <c r="AD545" s="60">
        <v>68.307681441969109</v>
      </c>
      <c r="AE545" s="61">
        <v>0.24355428562950146</v>
      </c>
      <c r="AF545" s="62">
        <v>9.5583569236222202E-2</v>
      </c>
      <c r="AG545" s="62">
        <v>0.33913785486572368</v>
      </c>
      <c r="AH545" s="63">
        <v>0.14797071639327924</v>
      </c>
      <c r="AI545">
        <f t="shared" si="29"/>
        <v>0</v>
      </c>
      <c r="AJ545" s="64">
        <v>0</v>
      </c>
      <c r="AK545" t="str">
        <f t="shared" ref="AK545:AK608" si="30">IF(Z545&lt;=$R$12,AI545," ")</f>
        <v xml:space="preserve"> </v>
      </c>
      <c r="AM545" s="56">
        <v>514</v>
      </c>
      <c r="AN545" s="56">
        <f t="shared" ref="AN545:AN608" si="31">AA546-AA547</f>
        <v>3.1025267791193301E-2</v>
      </c>
    </row>
    <row r="546" spans="14:40" x14ac:dyDescent="0.25">
      <c r="N546" s="14">
        <v>171.333</v>
      </c>
      <c r="O546" s="14">
        <v>0.886965</v>
      </c>
      <c r="P546">
        <v>0</v>
      </c>
      <c r="Q546" s="57"/>
      <c r="Z546">
        <v>514</v>
      </c>
      <c r="AA546" s="58">
        <v>100.29248238772358</v>
      </c>
      <c r="AB546" s="59">
        <v>31.611474544648637</v>
      </c>
      <c r="AC546" s="59">
        <v>131.90395693237221</v>
      </c>
      <c r="AD546" s="60">
        <v>68.681007843074951</v>
      </c>
      <c r="AE546" s="61">
        <v>0.24340640574774444</v>
      </c>
      <c r="AF546" s="62">
        <v>9.4527321032025713E-2</v>
      </c>
      <c r="AG546" s="62">
        <v>0.33793372677977018</v>
      </c>
      <c r="AH546" s="63">
        <v>0.14887908471571873</v>
      </c>
      <c r="AI546">
        <f t="shared" ref="AI546:AI609" si="32">AJ546/24</f>
        <v>0</v>
      </c>
      <c r="AJ546" s="64">
        <v>0</v>
      </c>
      <c r="AK546" t="str">
        <f t="shared" si="30"/>
        <v xml:space="preserve"> </v>
      </c>
      <c r="AM546" s="56">
        <v>515</v>
      </c>
      <c r="AN546" s="56">
        <f t="shared" si="31"/>
        <v>1.2844854466962374E-2</v>
      </c>
    </row>
    <row r="547" spans="14:40" x14ac:dyDescent="0.25">
      <c r="N547" s="14">
        <v>171.667</v>
      </c>
      <c r="O547" s="14">
        <v>1.2426600000000001</v>
      </c>
      <c r="P547">
        <v>0</v>
      </c>
      <c r="Q547" s="57"/>
      <c r="Z547">
        <v>515</v>
      </c>
      <c r="AA547" s="58">
        <v>100.26145711993239</v>
      </c>
      <c r="AB547" s="59">
        <v>31.213122139670691</v>
      </c>
      <c r="AC547" s="59">
        <v>131.47457925960308</v>
      </c>
      <c r="AD547" s="60">
        <v>69.0483349802617</v>
      </c>
      <c r="AE547" s="61">
        <v>0.24328375306982974</v>
      </c>
      <c r="AF547" s="62">
        <v>9.3513164969594942E-2</v>
      </c>
      <c r="AG547" s="62">
        <v>0.33679691803942469</v>
      </c>
      <c r="AH547" s="63">
        <v>0.1497705881002348</v>
      </c>
      <c r="AI547">
        <f t="shared" si="32"/>
        <v>0</v>
      </c>
      <c r="AJ547" s="64">
        <v>0</v>
      </c>
      <c r="AK547" t="str">
        <f t="shared" si="30"/>
        <v xml:space="preserve"> </v>
      </c>
      <c r="AM547" s="56">
        <v>516</v>
      </c>
      <c r="AN547" s="56">
        <f t="shared" si="31"/>
        <v>1.2412225967835866E-2</v>
      </c>
    </row>
    <row r="548" spans="14:40" x14ac:dyDescent="0.25">
      <c r="N548" s="14">
        <v>172</v>
      </c>
      <c r="O548" s="14">
        <v>1.06643</v>
      </c>
      <c r="P548" s="14">
        <f>O548+O547+O546</f>
        <v>3.1960550000000003</v>
      </c>
      <c r="Q548" s="57"/>
      <c r="R548" s="57"/>
      <c r="S548" s="14"/>
      <c r="Z548">
        <v>516</v>
      </c>
      <c r="AA548" s="58">
        <v>100.24861226546543</v>
      </c>
      <c r="AB548" s="59">
        <v>30.843600746220304</v>
      </c>
      <c r="AC548" s="59">
        <v>131.09221301168571</v>
      </c>
      <c r="AD548" s="60">
        <v>69.405011519245122</v>
      </c>
      <c r="AE548" s="61">
        <v>0.24320888950300629</v>
      </c>
      <c r="AF548" s="62">
        <v>9.257725400571469E-2</v>
      </c>
      <c r="AG548" s="62">
        <v>0.33578614350872099</v>
      </c>
      <c r="AH548" s="63">
        <v>0.15063163549729158</v>
      </c>
      <c r="AI548">
        <f t="shared" si="32"/>
        <v>0</v>
      </c>
      <c r="AJ548" s="64">
        <v>0</v>
      </c>
      <c r="AK548" t="str">
        <f t="shared" si="30"/>
        <v xml:space="preserve"> </v>
      </c>
      <c r="AM548" s="56">
        <v>517</v>
      </c>
      <c r="AN548" s="56">
        <f t="shared" si="31"/>
        <v>1.2412225967821655E-2</v>
      </c>
    </row>
    <row r="549" spans="14:40" x14ac:dyDescent="0.25">
      <c r="N549" s="14">
        <v>172.333</v>
      </c>
      <c r="O549" s="14">
        <v>1.12961</v>
      </c>
      <c r="P549">
        <v>0</v>
      </c>
      <c r="Q549" s="57"/>
      <c r="R549" s="57"/>
      <c r="S549" s="14"/>
      <c r="Z549">
        <v>517</v>
      </c>
      <c r="AA549" s="58">
        <v>100.23620003949759</v>
      </c>
      <c r="AB549" s="59">
        <v>30.475102052552717</v>
      </c>
      <c r="AC549" s="59">
        <v>130.71130209205032</v>
      </c>
      <c r="AD549" s="60">
        <v>69.761097986944876</v>
      </c>
      <c r="AE549" s="61">
        <v>0.24313516314527917</v>
      </c>
      <c r="AF549" s="62">
        <v>9.1643919317906303E-2</v>
      </c>
      <c r="AG549" s="62">
        <v>0.33477908246318544</v>
      </c>
      <c r="AH549" s="63">
        <v>0.15149124382737286</v>
      </c>
      <c r="AI549">
        <f t="shared" si="32"/>
        <v>0</v>
      </c>
      <c r="AJ549" s="64">
        <v>0</v>
      </c>
      <c r="AK549" t="str">
        <f t="shared" si="30"/>
        <v xml:space="preserve"> </v>
      </c>
      <c r="AM549" s="56">
        <v>518</v>
      </c>
      <c r="AN549" s="56">
        <f t="shared" si="31"/>
        <v>1.2412225967835866E-2</v>
      </c>
    </row>
    <row r="550" spans="14:40" x14ac:dyDescent="0.25">
      <c r="N550" s="14">
        <v>172.667</v>
      </c>
      <c r="O550" s="14">
        <v>1.0896300000000001</v>
      </c>
      <c r="P550">
        <v>0</v>
      </c>
      <c r="Q550" s="57"/>
      <c r="R550" s="57"/>
      <c r="S550" s="14"/>
      <c r="Z550">
        <v>518</v>
      </c>
      <c r="AA550" s="58">
        <v>100.22378781352977</v>
      </c>
      <c r="AB550" s="59">
        <v>30.106962592897595</v>
      </c>
      <c r="AC550" s="59">
        <v>130.33075040642737</v>
      </c>
      <c r="AD550" s="60">
        <v>70.116825220632165</v>
      </c>
      <c r="AE550" s="61">
        <v>0.24306143678755202</v>
      </c>
      <c r="AF550" s="62">
        <v>9.0711342472164599E-2</v>
      </c>
      <c r="AG550" s="62">
        <v>0.3337727792597166</v>
      </c>
      <c r="AH550" s="63">
        <v>0.15235009431538743</v>
      </c>
      <c r="AI550">
        <f t="shared" si="32"/>
        <v>0</v>
      </c>
      <c r="AJ550" s="64">
        <v>0</v>
      </c>
      <c r="AK550" t="str">
        <f t="shared" si="30"/>
        <v xml:space="preserve"> </v>
      </c>
      <c r="AM550" s="56">
        <v>519</v>
      </c>
      <c r="AN550" s="56">
        <f t="shared" si="31"/>
        <v>1.2412225967821655E-2</v>
      </c>
    </row>
    <row r="551" spans="14:40" x14ac:dyDescent="0.25">
      <c r="N551" s="14">
        <v>173</v>
      </c>
      <c r="O551" s="14">
        <v>1.1212800000000001</v>
      </c>
      <c r="P551" s="14">
        <f>O551+O550+O549</f>
        <v>3.3405200000000002</v>
      </c>
      <c r="Q551" s="57"/>
      <c r="R551" s="57"/>
      <c r="S551" s="14"/>
      <c r="Z551">
        <v>519</v>
      </c>
      <c r="AA551" s="58">
        <v>100.21137558756193</v>
      </c>
      <c r="AB551" s="59">
        <v>29.739195708057416</v>
      </c>
      <c r="AC551" s="59">
        <v>129.95057129561934</v>
      </c>
      <c r="AD551" s="60">
        <v>70.472179879504523</v>
      </c>
      <c r="AE551" s="61">
        <v>0.24298771042982484</v>
      </c>
      <c r="AF551" s="62">
        <v>8.977954708453828E-2</v>
      </c>
      <c r="AG551" s="62">
        <v>0.33276725751436309</v>
      </c>
      <c r="AH551" s="63">
        <v>0.15320816334528656</v>
      </c>
      <c r="AI551">
        <f t="shared" si="32"/>
        <v>0</v>
      </c>
      <c r="AJ551" s="64">
        <v>0</v>
      </c>
      <c r="AK551" t="str">
        <f t="shared" si="30"/>
        <v xml:space="preserve"> </v>
      </c>
      <c r="AM551" s="56">
        <v>520</v>
      </c>
      <c r="AN551" s="56">
        <f t="shared" si="31"/>
        <v>1.2412225967807444E-2</v>
      </c>
    </row>
    <row r="552" spans="14:40" x14ac:dyDescent="0.25">
      <c r="N552" s="14">
        <v>173.333</v>
      </c>
      <c r="O552" s="14">
        <v>1.11293</v>
      </c>
      <c r="P552">
        <v>0</v>
      </c>
      <c r="Q552" s="57"/>
      <c r="R552" s="57"/>
      <c r="S552" s="14"/>
      <c r="Z552">
        <v>520</v>
      </c>
      <c r="AA552" s="58">
        <v>100.19896336159411</v>
      </c>
      <c r="AB552" s="59">
        <v>29.371815393154083</v>
      </c>
      <c r="AC552" s="59">
        <v>129.5707787547482</v>
      </c>
      <c r="AD552" s="60">
        <v>70.82714796844003</v>
      </c>
      <c r="AE552" s="61">
        <v>0.24291398407209772</v>
      </c>
      <c r="AF552" s="62">
        <v>8.8848557741554743E-2</v>
      </c>
      <c r="AG552" s="62">
        <v>0.33176254181365245</v>
      </c>
      <c r="AH552" s="63">
        <v>0.15406542633054299</v>
      </c>
      <c r="AI552">
        <f t="shared" si="32"/>
        <v>0</v>
      </c>
      <c r="AJ552" s="64">
        <v>0</v>
      </c>
      <c r="AK552" t="str">
        <f t="shared" si="30"/>
        <v xml:space="preserve"> </v>
      </c>
      <c r="AM552" s="56">
        <v>521</v>
      </c>
      <c r="AN552" s="56">
        <f t="shared" si="31"/>
        <v>1.2412225967835866E-2</v>
      </c>
    </row>
    <row r="553" spans="14:40" x14ac:dyDescent="0.25">
      <c r="N553" s="14">
        <v>173.667</v>
      </c>
      <c r="O553" s="14">
        <v>1.0938699999999999</v>
      </c>
      <c r="P553">
        <v>0</v>
      </c>
      <c r="Q553" s="57"/>
      <c r="R553" s="57"/>
      <c r="S553" s="14"/>
      <c r="Z553">
        <v>521</v>
      </c>
      <c r="AA553" s="58">
        <v>100.1865511356263</v>
      </c>
      <c r="AB553" s="59">
        <v>29.004836337277762</v>
      </c>
      <c r="AC553" s="59">
        <v>129.19138747290407</v>
      </c>
      <c r="AD553" s="60">
        <v>71.181714798348537</v>
      </c>
      <c r="AE553" s="61">
        <v>0.24284025771437051</v>
      </c>
      <c r="AF553" s="62">
        <v>8.7918400049426956E-2</v>
      </c>
      <c r="AG553" s="62">
        <v>0.33075865776379748</v>
      </c>
      <c r="AH553" s="63">
        <v>0.15492185766494354</v>
      </c>
      <c r="AI553">
        <f t="shared" si="32"/>
        <v>0</v>
      </c>
      <c r="AJ553" s="64">
        <v>0</v>
      </c>
      <c r="AK553" t="str">
        <f t="shared" si="30"/>
        <v xml:space="preserve"> </v>
      </c>
      <c r="AM553" s="56">
        <v>522</v>
      </c>
      <c r="AN553" s="56">
        <f t="shared" si="31"/>
        <v>1.2412225967807444E-2</v>
      </c>
    </row>
    <row r="554" spans="14:40" x14ac:dyDescent="0.25">
      <c r="N554" s="14">
        <v>174</v>
      </c>
      <c r="O554" s="14">
        <v>1.099</v>
      </c>
      <c r="P554" s="14">
        <f>O554+O553+O552</f>
        <v>3.3058000000000001</v>
      </c>
      <c r="Q554" s="57"/>
      <c r="R554" s="57"/>
      <c r="S554" s="14"/>
      <c r="Z554">
        <v>522</v>
      </c>
      <c r="AA554" s="58">
        <v>100.17413890965847</v>
      </c>
      <c r="AB554" s="59">
        <v>28.63827396597776</v>
      </c>
      <c r="AC554" s="59">
        <v>128.81241287563623</v>
      </c>
      <c r="AD554" s="60">
        <v>71.535864943680707</v>
      </c>
      <c r="AE554" s="61">
        <v>0.24276653135664336</v>
      </c>
      <c r="AF554" s="62">
        <v>8.6989100686205481E-2</v>
      </c>
      <c r="AG554" s="62">
        <v>0.32975563204284886</v>
      </c>
      <c r="AH554" s="63">
        <v>0.15577743067043787</v>
      </c>
      <c r="AI554">
        <f t="shared" si="32"/>
        <v>0</v>
      </c>
      <c r="AJ554" s="64">
        <v>0</v>
      </c>
      <c r="AK554" t="str">
        <f t="shared" si="30"/>
        <v xml:space="preserve"> </v>
      </c>
      <c r="AM554" s="56">
        <v>523</v>
      </c>
      <c r="AN554" s="56">
        <f t="shared" si="31"/>
        <v>1.2412225967835866E-2</v>
      </c>
    </row>
    <row r="555" spans="14:40" x14ac:dyDescent="0.25">
      <c r="N555" s="14">
        <v>174.333</v>
      </c>
      <c r="O555" s="14">
        <v>1.11158</v>
      </c>
      <c r="P555">
        <v>0</v>
      </c>
      <c r="Q555" s="57"/>
      <c r="R555" s="57"/>
      <c r="S555" s="14"/>
      <c r="Z555">
        <v>523</v>
      </c>
      <c r="AA555" s="58">
        <v>100.16172668369066</v>
      </c>
      <c r="AB555" s="59">
        <v>28.272144486824825</v>
      </c>
      <c r="AC555" s="59">
        <v>128.43387117051549</v>
      </c>
      <c r="AD555" s="60">
        <v>71.889582196865831</v>
      </c>
      <c r="AE555" s="61">
        <v>0.24269280499891624</v>
      </c>
      <c r="AF555" s="62">
        <v>8.6060687457082383E-2</v>
      </c>
      <c r="AG555" s="62">
        <v>0.32875349245599861</v>
      </c>
      <c r="AH555" s="63">
        <v>0.15663211754183387</v>
      </c>
      <c r="AI555">
        <f t="shared" si="32"/>
        <v>0</v>
      </c>
      <c r="AJ555" s="64">
        <v>0</v>
      </c>
      <c r="AK555" t="str">
        <f t="shared" si="30"/>
        <v xml:space="preserve"> </v>
      </c>
      <c r="AM555" s="56">
        <v>524</v>
      </c>
      <c r="AN555" s="56">
        <f t="shared" si="31"/>
        <v>1.2412225967835866E-2</v>
      </c>
    </row>
    <row r="556" spans="14:40" x14ac:dyDescent="0.25">
      <c r="N556" s="14">
        <v>174.667</v>
      </c>
      <c r="O556" s="14">
        <v>1.0909899999999999</v>
      </c>
      <c r="P556">
        <v>0</v>
      </c>
      <c r="Q556" s="57"/>
      <c r="R556" s="57"/>
      <c r="S556" s="14"/>
      <c r="Z556">
        <v>524</v>
      </c>
      <c r="AA556" s="58">
        <v>100.14931445772282</v>
      </c>
      <c r="AB556" s="59">
        <v>27.906464938303824</v>
      </c>
      <c r="AC556" s="59">
        <v>128.05577939602665</v>
      </c>
      <c r="AD556" s="60">
        <v>72.242849519418996</v>
      </c>
      <c r="AE556" s="61">
        <v>0.24261907864118906</v>
      </c>
      <c r="AF556" s="62">
        <v>8.5133189353057387E-2</v>
      </c>
      <c r="AG556" s="62">
        <v>0.32775226799424645</v>
      </c>
      <c r="AH556" s="63">
        <v>0.15748588928813168</v>
      </c>
      <c r="AI556">
        <f t="shared" si="32"/>
        <v>0</v>
      </c>
      <c r="AJ556" s="64">
        <v>0</v>
      </c>
      <c r="AK556" t="str">
        <f t="shared" si="30"/>
        <v xml:space="preserve"> </v>
      </c>
      <c r="AM556" s="56">
        <v>525</v>
      </c>
      <c r="AN556" s="56">
        <f t="shared" si="31"/>
        <v>1.618758055052183E-2</v>
      </c>
    </row>
    <row r="557" spans="14:40" x14ac:dyDescent="0.25">
      <c r="N557" s="14">
        <v>175</v>
      </c>
      <c r="O557" s="14">
        <v>1.1182099999999999</v>
      </c>
      <c r="P557" s="14">
        <f>O557+O556+O555</f>
        <v>3.3207800000000001</v>
      </c>
      <c r="Q557" s="57"/>
      <c r="R557" s="57"/>
      <c r="S557" s="14"/>
      <c r="Z557">
        <v>525</v>
      </c>
      <c r="AA557" s="58">
        <v>100.13690223175499</v>
      </c>
      <c r="AB557" s="59">
        <v>27.541253242309633</v>
      </c>
      <c r="AC557" s="59">
        <v>127.67815547406462</v>
      </c>
      <c r="AD557" s="60">
        <v>72.595648989445351</v>
      </c>
      <c r="AE557" s="61">
        <v>0.24254535228346191</v>
      </c>
      <c r="AF557" s="62">
        <v>8.4206636613205876E-2</v>
      </c>
      <c r="AG557" s="62">
        <v>0.32675198889666779</v>
      </c>
      <c r="AH557" s="63">
        <v>0.15833871567025604</v>
      </c>
      <c r="AI557">
        <f t="shared" si="32"/>
        <v>0</v>
      </c>
      <c r="AJ557" s="64">
        <v>0</v>
      </c>
      <c r="AK557" t="str">
        <f t="shared" si="30"/>
        <v xml:space="preserve"> </v>
      </c>
      <c r="AM557" s="56">
        <v>526</v>
      </c>
      <c r="AN557" s="56">
        <f t="shared" si="31"/>
        <v>2.3603250086935645E-2</v>
      </c>
    </row>
    <row r="558" spans="14:40" x14ac:dyDescent="0.25">
      <c r="N558" s="14">
        <v>175.333</v>
      </c>
      <c r="O558" s="14">
        <v>1.1036699999999999</v>
      </c>
      <c r="P558">
        <v>0</v>
      </c>
      <c r="Q558" s="57"/>
      <c r="R558" s="57"/>
      <c r="S558" s="14"/>
      <c r="Z558">
        <v>526</v>
      </c>
      <c r="AA558" s="58">
        <v>100.12071465120447</v>
      </c>
      <c r="AB558" s="59">
        <v>27.178654947500863</v>
      </c>
      <c r="AC558" s="59">
        <v>127.29936959870533</v>
      </c>
      <c r="AD558" s="60">
        <v>72.942059703703606</v>
      </c>
      <c r="AE558" s="61">
        <v>0.24246314599778965</v>
      </c>
      <c r="AF558" s="62">
        <v>8.3286607651307173E-2</v>
      </c>
      <c r="AG558" s="62">
        <v>0.32574975364909681</v>
      </c>
      <c r="AH558" s="63">
        <v>0.15917653834648249</v>
      </c>
      <c r="AI558">
        <f t="shared" si="32"/>
        <v>0</v>
      </c>
      <c r="AJ558" s="64">
        <v>0</v>
      </c>
      <c r="AK558" t="str">
        <f t="shared" si="30"/>
        <v xml:space="preserve"> </v>
      </c>
      <c r="AM558" s="56">
        <v>527</v>
      </c>
      <c r="AN558" s="56">
        <f t="shared" si="31"/>
        <v>2.3799603662993718E-2</v>
      </c>
    </row>
    <row r="559" spans="14:40" x14ac:dyDescent="0.25">
      <c r="N559" s="14">
        <v>175.667</v>
      </c>
      <c r="O559" s="14">
        <v>1.07331</v>
      </c>
      <c r="P559">
        <v>0</v>
      </c>
      <c r="Q559" s="57"/>
      <c r="R559" s="57"/>
      <c r="S559" s="14"/>
      <c r="Z559">
        <v>527</v>
      </c>
      <c r="AA559" s="58">
        <v>100.09711140111753</v>
      </c>
      <c r="AB559" s="59">
        <v>26.820903551942386</v>
      </c>
      <c r="AC559" s="59">
        <v>126.91801495305992</v>
      </c>
      <c r="AD559" s="60">
        <v>73.276207849175137</v>
      </c>
      <c r="AE559" s="61">
        <v>0.24236428317245848</v>
      </c>
      <c r="AF559" s="62">
        <v>8.2378788421427873E-2</v>
      </c>
      <c r="AG559" s="62">
        <v>0.32474307159388638</v>
      </c>
      <c r="AH559" s="63">
        <v>0.1599854947510306</v>
      </c>
      <c r="AI559">
        <f t="shared" si="32"/>
        <v>0</v>
      </c>
      <c r="AJ559" s="64">
        <v>0</v>
      </c>
      <c r="AK559" t="str">
        <f t="shared" si="30"/>
        <v xml:space="preserve"> </v>
      </c>
      <c r="AM559" s="56">
        <v>528</v>
      </c>
      <c r="AN559" s="56">
        <f t="shared" si="31"/>
        <v>2.3799603662993718E-2</v>
      </c>
    </row>
    <row r="560" spans="14:40" x14ac:dyDescent="0.25">
      <c r="N560" s="14">
        <v>176</v>
      </c>
      <c r="O560" s="14">
        <v>1.12853</v>
      </c>
      <c r="P560" s="14">
        <f>O560+O559+O558</f>
        <v>3.3055099999999999</v>
      </c>
      <c r="Q560" s="57"/>
      <c r="R560" s="57"/>
      <c r="S560" s="14"/>
      <c r="Z560">
        <v>528</v>
      </c>
      <c r="AA560" s="58">
        <v>100.07331179745454</v>
      </c>
      <c r="AB560" s="59">
        <v>26.464046538379176</v>
      </c>
      <c r="AC560" s="59">
        <v>126.53735833583372</v>
      </c>
      <c r="AD560" s="60">
        <v>73.609265259075357</v>
      </c>
      <c r="AE560" s="61">
        <v>0.24226497931195023</v>
      </c>
      <c r="AF560" s="62">
        <v>8.1472778038918892E-2</v>
      </c>
      <c r="AG560" s="62">
        <v>0.32373775735086913</v>
      </c>
      <c r="AH560" s="63">
        <v>0.16079220127303134</v>
      </c>
      <c r="AI560">
        <f t="shared" si="32"/>
        <v>0</v>
      </c>
      <c r="AJ560" s="64">
        <v>0</v>
      </c>
      <c r="AK560" t="str">
        <f t="shared" si="30"/>
        <v xml:space="preserve"> </v>
      </c>
      <c r="AM560" s="56">
        <v>529</v>
      </c>
      <c r="AN560" s="56">
        <f t="shared" si="31"/>
        <v>2.3799603662979507E-2</v>
      </c>
    </row>
    <row r="561" spans="14:40" x14ac:dyDescent="0.25">
      <c r="N561" s="14">
        <v>176.333</v>
      </c>
      <c r="O561" s="14">
        <v>1.10121</v>
      </c>
      <c r="P561">
        <v>0</v>
      </c>
      <c r="Q561" s="57"/>
      <c r="R561" s="57"/>
      <c r="S561" s="14"/>
      <c r="Z561">
        <v>529</v>
      </c>
      <c r="AA561" s="58">
        <v>100.04951219379154</v>
      </c>
      <c r="AB561" s="59">
        <v>26.108005334959966</v>
      </c>
      <c r="AC561" s="59">
        <v>126.15751752875151</v>
      </c>
      <c r="AD561" s="60">
        <v>73.941506858831573</v>
      </c>
      <c r="AE561" s="61">
        <v>0.24216567545144205</v>
      </c>
      <c r="AF561" s="62">
        <v>8.0568339139227008E-2</v>
      </c>
      <c r="AG561" s="62">
        <v>0.32273401459066908</v>
      </c>
      <c r="AH561" s="63">
        <v>0.16159733631221504</v>
      </c>
      <c r="AI561">
        <f t="shared" si="32"/>
        <v>0</v>
      </c>
      <c r="AJ561" s="64">
        <v>0</v>
      </c>
      <c r="AK561" t="str">
        <f t="shared" si="30"/>
        <v xml:space="preserve"> </v>
      </c>
      <c r="AM561" s="56">
        <v>530</v>
      </c>
      <c r="AN561" s="56">
        <f t="shared" si="31"/>
        <v>2.3799603662979507E-2</v>
      </c>
    </row>
    <row r="562" spans="14:40" x14ac:dyDescent="0.25">
      <c r="N562" s="14">
        <v>176.667</v>
      </c>
      <c r="O562" s="14">
        <v>1.0826</v>
      </c>
      <c r="P562">
        <v>0</v>
      </c>
      <c r="Q562" s="57"/>
      <c r="R562" s="57"/>
      <c r="S562" s="14"/>
      <c r="Z562">
        <v>530</v>
      </c>
      <c r="AA562" s="58">
        <v>100.02571259012856</v>
      </c>
      <c r="AB562" s="59">
        <v>25.752813778245503</v>
      </c>
      <c r="AC562" s="59">
        <v>125.77852636837406</v>
      </c>
      <c r="AD562" s="60">
        <v>74.272898811883067</v>
      </c>
      <c r="AE562" s="61">
        <v>0.24206637159093378</v>
      </c>
      <c r="AF562" s="62">
        <v>7.9665525245278285E-2</v>
      </c>
      <c r="AG562" s="62">
        <v>0.32173189683621206</v>
      </c>
      <c r="AH562" s="63">
        <v>0.16240084634565549</v>
      </c>
      <c r="AI562">
        <f t="shared" si="32"/>
        <v>0</v>
      </c>
      <c r="AJ562" s="64">
        <v>0</v>
      </c>
      <c r="AK562" t="str">
        <f t="shared" si="30"/>
        <v xml:space="preserve"> </v>
      </c>
      <c r="AM562" s="56">
        <v>531</v>
      </c>
      <c r="AN562" s="56">
        <f t="shared" si="31"/>
        <v>2.3799603662965296E-2</v>
      </c>
    </row>
    <row r="563" spans="14:40" x14ac:dyDescent="0.25">
      <c r="N563" s="14">
        <v>177</v>
      </c>
      <c r="O563" s="14">
        <v>1.1172599999999999</v>
      </c>
      <c r="P563" s="14">
        <f>O563+O562+O561</f>
        <v>3.3010700000000002</v>
      </c>
      <c r="Q563" s="57"/>
      <c r="R563" s="57"/>
      <c r="S563" s="14"/>
      <c r="Z563">
        <v>531</v>
      </c>
      <c r="AA563" s="58">
        <v>100.00191298646558</v>
      </c>
      <c r="AB563" s="59">
        <v>25.39850751452898</v>
      </c>
      <c r="AC563" s="59">
        <v>125.40042050099456</v>
      </c>
      <c r="AD563" s="60">
        <v>74.603405471936611</v>
      </c>
      <c r="AE563" s="61">
        <v>0.24196706773042562</v>
      </c>
      <c r="AF563" s="62">
        <v>7.8764392235556577E-2</v>
      </c>
      <c r="AG563" s="62">
        <v>0.32073145996598218</v>
      </c>
      <c r="AH563" s="63">
        <v>0.16320267549486905</v>
      </c>
      <c r="AI563">
        <f t="shared" si="32"/>
        <v>0</v>
      </c>
      <c r="AJ563" s="64">
        <v>0</v>
      </c>
      <c r="AK563" t="str">
        <f t="shared" si="30"/>
        <v xml:space="preserve"> </v>
      </c>
      <c r="AM563" s="56">
        <v>532</v>
      </c>
      <c r="AN563" s="56">
        <f t="shared" si="31"/>
        <v>2.3799603662993718E-2</v>
      </c>
    </row>
    <row r="564" spans="14:40" x14ac:dyDescent="0.25">
      <c r="N564" s="14">
        <v>177.333</v>
      </c>
      <c r="O564" s="14">
        <v>1.08162</v>
      </c>
      <c r="P564">
        <v>0</v>
      </c>
      <c r="Q564" s="57"/>
      <c r="R564" s="57"/>
      <c r="S564" s="14"/>
      <c r="Z564">
        <v>532</v>
      </c>
      <c r="AA564" s="58">
        <v>99.978113382802619</v>
      </c>
      <c r="AB564" s="59">
        <v>25.045124115804956</v>
      </c>
      <c r="AC564" s="59">
        <v>125.02323749860757</v>
      </c>
      <c r="AD564" s="60">
        <v>74.932989266997666</v>
      </c>
      <c r="AE564" s="61">
        <v>0.24186776386991743</v>
      </c>
      <c r="AF564" s="62">
        <v>7.786499846879319E-2</v>
      </c>
      <c r="AG564" s="62">
        <v>0.31973276233871062</v>
      </c>
      <c r="AH564" s="63">
        <v>0.16400276540112424</v>
      </c>
      <c r="AI564">
        <f t="shared" si="32"/>
        <v>0</v>
      </c>
      <c r="AJ564" s="64">
        <v>0</v>
      </c>
      <c r="AK564" t="str">
        <f t="shared" si="30"/>
        <v xml:space="preserve"> </v>
      </c>
      <c r="AM564" s="56">
        <v>533</v>
      </c>
      <c r="AN564" s="56">
        <f t="shared" si="31"/>
        <v>2.3799603662979507E-2</v>
      </c>
    </row>
    <row r="565" spans="14:40" x14ac:dyDescent="0.25">
      <c r="N565" s="14">
        <v>177.667</v>
      </c>
      <c r="O565" s="14">
        <v>1.0948599999999999</v>
      </c>
      <c r="P565">
        <v>0</v>
      </c>
      <c r="Q565" s="57"/>
      <c r="R565" s="57"/>
      <c r="S565" s="14"/>
      <c r="Z565">
        <v>533</v>
      </c>
      <c r="AA565" s="58">
        <v>99.954313779139625</v>
      </c>
      <c r="AB565" s="59">
        <v>24.692703204154608</v>
      </c>
      <c r="AC565" s="59">
        <v>124.64701698329424</v>
      </c>
      <c r="AD565" s="60">
        <v>75.261610574985013</v>
      </c>
      <c r="AE565" s="61">
        <v>0.24176846000940916</v>
      </c>
      <c r="AF565" s="62">
        <v>7.6967404916183507E-2</v>
      </c>
      <c r="AG565" s="62">
        <v>0.31873586492559269</v>
      </c>
      <c r="AH565" s="63">
        <v>0.16480105509322565</v>
      </c>
      <c r="AI565">
        <f t="shared" si="32"/>
        <v>0</v>
      </c>
      <c r="AJ565" s="64">
        <v>0</v>
      </c>
      <c r="AK565" t="str">
        <f t="shared" si="30"/>
        <v xml:space="preserve"> </v>
      </c>
      <c r="AM565" s="56">
        <v>534</v>
      </c>
      <c r="AN565" s="56">
        <f t="shared" si="31"/>
        <v>2.3799603662993718E-2</v>
      </c>
    </row>
    <row r="566" spans="14:40" x14ac:dyDescent="0.25">
      <c r="N566" s="14">
        <v>178</v>
      </c>
      <c r="O566" s="14">
        <v>1.1219600000000001</v>
      </c>
      <c r="P566" s="14">
        <f>O566+O565+O564</f>
        <v>3.2984400000000003</v>
      </c>
      <c r="Q566" s="57"/>
      <c r="R566" s="57"/>
      <c r="S566" s="14"/>
      <c r="Z566">
        <v>534</v>
      </c>
      <c r="AA566" s="58">
        <v>99.930514175476645</v>
      </c>
      <c r="AB566" s="59">
        <v>24.341286585198404</v>
      </c>
      <c r="AC566" s="59">
        <v>124.27180076067505</v>
      </c>
      <c r="AD566" s="60">
        <v>75.589227590278242</v>
      </c>
      <c r="AE566" s="61">
        <v>0.24166915614890094</v>
      </c>
      <c r="AF566" s="62">
        <v>7.6071675301628006E-2</v>
      </c>
      <c r="AG566" s="62">
        <v>0.31774083145052895</v>
      </c>
      <c r="AH566" s="63">
        <v>0.16559748084727294</v>
      </c>
      <c r="AI566">
        <f t="shared" si="32"/>
        <v>0</v>
      </c>
      <c r="AJ566" s="64">
        <v>0</v>
      </c>
      <c r="AK566" t="str">
        <f t="shared" si="30"/>
        <v xml:space="preserve"> </v>
      </c>
      <c r="AM566" s="56">
        <v>535</v>
      </c>
      <c r="AN566" s="56">
        <f t="shared" si="31"/>
        <v>2.3799603662965296E-2</v>
      </c>
    </row>
    <row r="567" spans="14:40" x14ac:dyDescent="0.25">
      <c r="N567" s="14">
        <v>178.333</v>
      </c>
      <c r="O567" s="14">
        <v>1.07796</v>
      </c>
      <c r="P567">
        <v>0</v>
      </c>
      <c r="Q567" s="57"/>
      <c r="R567" s="57"/>
      <c r="S567" s="14"/>
      <c r="Z567">
        <v>535</v>
      </c>
      <c r="AA567" s="58">
        <v>99.906714571813652</v>
      </c>
      <c r="AB567" s="59">
        <v>23.990918391319465</v>
      </c>
      <c r="AC567" s="59">
        <v>123.89763296313312</v>
      </c>
      <c r="AD567" s="60">
        <v>75.915796180494183</v>
      </c>
      <c r="AE567" s="61">
        <v>0.24156985228839276</v>
      </c>
      <c r="AF567" s="62">
        <v>7.5177876250522496E-2</v>
      </c>
      <c r="AG567" s="62">
        <v>0.31674772853891525</v>
      </c>
      <c r="AH567" s="63">
        <v>0.16639197603787026</v>
      </c>
      <c r="AI567">
        <f t="shared" si="32"/>
        <v>0.20749870197355633</v>
      </c>
      <c r="AJ567" s="64">
        <v>4.9799688473653516</v>
      </c>
      <c r="AK567" t="str">
        <f t="shared" si="30"/>
        <v xml:space="preserve"> </v>
      </c>
      <c r="AM567" s="56">
        <v>536</v>
      </c>
      <c r="AN567" s="56">
        <f t="shared" si="31"/>
        <v>2.3799603663007929E-2</v>
      </c>
    </row>
    <row r="568" spans="14:40" x14ac:dyDescent="0.25">
      <c r="N568" s="14">
        <v>178.667</v>
      </c>
      <c r="O568" s="14">
        <v>1.0837399999999999</v>
      </c>
      <c r="P568">
        <v>0</v>
      </c>
      <c r="Q568" s="57"/>
      <c r="R568" s="57"/>
      <c r="S568" s="14"/>
      <c r="Z568">
        <v>536</v>
      </c>
      <c r="AA568" s="58">
        <v>99.882914968150686</v>
      </c>
      <c r="AB568" s="59">
        <v>23.641645235411037</v>
      </c>
      <c r="AC568" s="59">
        <v>123.52456020356172</v>
      </c>
      <c r="AD568" s="60">
        <v>76.241269732739653</v>
      </c>
      <c r="AE568" s="61">
        <v>0.24147054842788451</v>
      </c>
      <c r="AF568" s="62">
        <v>7.4286077447657931E-2</v>
      </c>
      <c r="AG568" s="62">
        <v>0.31575662587554243</v>
      </c>
      <c r="AH568" s="63">
        <v>0.1671844709802266</v>
      </c>
      <c r="AI568">
        <f t="shared" si="32"/>
        <v>0.82324111405319744</v>
      </c>
      <c r="AJ568" s="64">
        <v>19.757786737276739</v>
      </c>
      <c r="AK568" t="str">
        <f t="shared" si="30"/>
        <v xml:space="preserve"> </v>
      </c>
      <c r="AM568" s="56">
        <v>537</v>
      </c>
      <c r="AN568" s="56">
        <f t="shared" si="31"/>
        <v>2.3799603662951085E-2</v>
      </c>
    </row>
    <row r="569" spans="14:40" x14ac:dyDescent="0.25">
      <c r="N569" s="14">
        <v>179</v>
      </c>
      <c r="O569" s="14">
        <v>1.1159300000000001</v>
      </c>
      <c r="P569" s="14">
        <f>O569+O568+O567</f>
        <v>3.2776300000000003</v>
      </c>
      <c r="Q569" s="57"/>
      <c r="R569" s="57"/>
      <c r="S569" s="14"/>
      <c r="Z569">
        <v>537</v>
      </c>
      <c r="AA569" s="58">
        <v>99.859115364487678</v>
      </c>
      <c r="AB569" s="59">
        <v>23.293516375957985</v>
      </c>
      <c r="AC569" s="59">
        <v>123.15263174044566</v>
      </c>
      <c r="AD569" s="60">
        <v>76.5655989885297</v>
      </c>
      <c r="AE569" s="61">
        <v>0.2413712445673763</v>
      </c>
      <c r="AF569" s="62">
        <v>7.3396351804827398E-2</v>
      </c>
      <c r="AG569" s="62">
        <v>0.3147675963722037</v>
      </c>
      <c r="AH569" s="63">
        <v>0.1679748927625489</v>
      </c>
      <c r="AI569">
        <f t="shared" si="32"/>
        <v>1.4498438888219309</v>
      </c>
      <c r="AJ569" s="64">
        <v>34.796253331726341</v>
      </c>
      <c r="AK569" t="str">
        <f t="shared" si="30"/>
        <v xml:space="preserve"> </v>
      </c>
      <c r="AM569" s="56">
        <v>538</v>
      </c>
      <c r="AN569" s="56">
        <f t="shared" si="31"/>
        <v>2.3799603662993718E-2</v>
      </c>
    </row>
    <row r="570" spans="14:40" x14ac:dyDescent="0.25">
      <c r="N570" s="14">
        <v>179.333</v>
      </c>
      <c r="O570" s="14">
        <v>1.07789</v>
      </c>
      <c r="P570">
        <v>0</v>
      </c>
      <c r="Q570" s="57"/>
      <c r="R570" s="57"/>
      <c r="S570" s="14"/>
      <c r="Z570">
        <v>538</v>
      </c>
      <c r="AA570" s="58">
        <v>99.835315760824727</v>
      </c>
      <c r="AB570" s="59">
        <v>22.94658389431638</v>
      </c>
      <c r="AC570" s="59">
        <v>122.7818996551411</v>
      </c>
      <c r="AD570" s="60">
        <v>76.888731866508351</v>
      </c>
      <c r="AE570" s="61">
        <v>0.24127194070686808</v>
      </c>
      <c r="AF570" s="62">
        <v>7.2508775638777501E-2</v>
      </c>
      <c r="AG570" s="62">
        <v>0.31378071634564558</v>
      </c>
      <c r="AH570" s="63">
        <v>0.16876316506809058</v>
      </c>
      <c r="AI570">
        <f t="shared" si="32"/>
        <v>2.0764466635906644</v>
      </c>
      <c r="AJ570" s="64">
        <v>49.83471992617595</v>
      </c>
      <c r="AK570" t="str">
        <f t="shared" si="30"/>
        <v xml:space="preserve"> </v>
      </c>
      <c r="AM570" s="56">
        <v>539</v>
      </c>
      <c r="AN570" s="56">
        <f t="shared" si="31"/>
        <v>2.3799603662979507E-2</v>
      </c>
    </row>
    <row r="571" spans="14:40" x14ac:dyDescent="0.25">
      <c r="N571" s="14">
        <v>179.667</v>
      </c>
      <c r="O571" s="14">
        <v>1.0744899999999999</v>
      </c>
      <c r="P571">
        <v>0</v>
      </c>
      <c r="Q571" s="57"/>
      <c r="R571" s="57"/>
      <c r="S571" s="14"/>
      <c r="Z571">
        <v>539</v>
      </c>
      <c r="AA571" s="58">
        <v>99.811516157161734</v>
      </c>
      <c r="AB571" s="59">
        <v>22.60090288512129</v>
      </c>
      <c r="AC571" s="59">
        <v>122.41241904228302</v>
      </c>
      <c r="AD571" s="60">
        <v>77.210613272040447</v>
      </c>
      <c r="AE571" s="61">
        <v>0.24117263684635987</v>
      </c>
      <c r="AF571" s="62">
        <v>7.1623428860179181E-2</v>
      </c>
      <c r="AG571" s="62">
        <v>0.31279606570653906</v>
      </c>
      <c r="AH571" s="63">
        <v>0.16954920798618067</v>
      </c>
      <c r="AI571">
        <f t="shared" si="32"/>
        <v>2.7030494383593981</v>
      </c>
      <c r="AJ571" s="64">
        <v>64.873186520625552</v>
      </c>
      <c r="AK571" t="str">
        <f t="shared" si="30"/>
        <v xml:space="preserve"> </v>
      </c>
      <c r="AM571" s="56">
        <v>540</v>
      </c>
      <c r="AN571" s="56">
        <f t="shared" si="31"/>
        <v>2.3799603662993718E-2</v>
      </c>
    </row>
    <row r="572" spans="14:40" x14ac:dyDescent="0.25">
      <c r="N572" s="14">
        <v>180</v>
      </c>
      <c r="O572" s="14">
        <v>1.10961</v>
      </c>
      <c r="P572" s="14">
        <f>O572+O571+O570</f>
        <v>3.2619899999999999</v>
      </c>
      <c r="Q572" s="57"/>
      <c r="R572" s="57"/>
      <c r="S572" s="14"/>
      <c r="Z572">
        <v>540</v>
      </c>
      <c r="AA572" s="58">
        <v>99.787716553498754</v>
      </c>
      <c r="AB572" s="59">
        <v>22.256531660803791</v>
      </c>
      <c r="AC572" s="59">
        <v>122.04424821430254</v>
      </c>
      <c r="AD572" s="60">
        <v>77.531184892694966</v>
      </c>
      <c r="AE572" s="61">
        <v>0.24107333298585165</v>
      </c>
      <c r="AF572" s="62">
        <v>7.074039517433936E-2</v>
      </c>
      <c r="AG572" s="62">
        <v>0.31181372816019104</v>
      </c>
      <c r="AH572" s="63">
        <v>0.17033293781151229</v>
      </c>
      <c r="AI572">
        <f t="shared" si="32"/>
        <v>3.3296522131281314</v>
      </c>
      <c r="AJ572" s="64">
        <v>79.911653115075154</v>
      </c>
      <c r="AK572" t="str">
        <f t="shared" si="30"/>
        <v xml:space="preserve"> </v>
      </c>
      <c r="AM572" s="56">
        <v>541</v>
      </c>
      <c r="AN572" s="56">
        <f t="shared" si="31"/>
        <v>2.3799603662979507E-2</v>
      </c>
    </row>
    <row r="573" spans="14:40" x14ac:dyDescent="0.25">
      <c r="N573" s="14">
        <v>180.333</v>
      </c>
      <c r="O573" s="14">
        <v>1.07307</v>
      </c>
      <c r="P573">
        <v>0</v>
      </c>
      <c r="Q573" s="57"/>
      <c r="R573" s="57"/>
      <c r="S573" s="14"/>
      <c r="Z573">
        <v>541</v>
      </c>
      <c r="AA573" s="58">
        <v>99.76391694983576</v>
      </c>
      <c r="AB573" s="59">
        <v>21.913531971271677</v>
      </c>
      <c r="AC573" s="59">
        <v>121.67744892110744</v>
      </c>
      <c r="AD573" s="60">
        <v>77.85038497856408</v>
      </c>
      <c r="AE573" s="61">
        <v>0.24097402912534344</v>
      </c>
      <c r="AF573" s="62">
        <v>6.9859762294415803E-2</v>
      </c>
      <c r="AG573" s="62">
        <v>0.31083379141975925</v>
      </c>
      <c r="AH573" s="63">
        <v>0.17111426683092762</v>
      </c>
      <c r="AI573">
        <f t="shared" si="32"/>
        <v>3.9562549878968656</v>
      </c>
      <c r="AJ573" s="64">
        <v>94.95011970952477</v>
      </c>
      <c r="AK573" t="str">
        <f t="shared" si="30"/>
        <v xml:space="preserve"> </v>
      </c>
      <c r="AM573" s="56">
        <v>542</v>
      </c>
      <c r="AN573" s="56">
        <f t="shared" si="31"/>
        <v>2.3799603662979507E-2</v>
      </c>
    </row>
    <row r="574" spans="14:40" x14ac:dyDescent="0.25">
      <c r="N574" s="14">
        <v>180.667</v>
      </c>
      <c r="O574" s="14">
        <v>1.0829500000000001</v>
      </c>
      <c r="P574">
        <v>0</v>
      </c>
      <c r="Q574" s="57"/>
      <c r="R574" s="57"/>
      <c r="S574" s="14"/>
      <c r="Z574">
        <v>542</v>
      </c>
      <c r="AA574" s="58">
        <v>99.740117346172781</v>
      </c>
      <c r="AB574" s="59">
        <v>21.571969239859037</v>
      </c>
      <c r="AC574" s="59">
        <v>121.31208658603182</v>
      </c>
      <c r="AD574" s="60">
        <v>78.168148106313737</v>
      </c>
      <c r="AE574" s="61">
        <v>0.24087472526483528</v>
      </c>
      <c r="AF574" s="62">
        <v>6.8981622167942722E-2</v>
      </c>
      <c r="AG574" s="62">
        <v>0.30985634743277801</v>
      </c>
      <c r="AH574" s="63">
        <v>0.17189310309689254</v>
      </c>
      <c r="AI574">
        <f t="shared" si="32"/>
        <v>4.0840412030765361</v>
      </c>
      <c r="AJ574" s="64">
        <v>98.016988873836866</v>
      </c>
      <c r="AK574" t="str">
        <f t="shared" si="30"/>
        <v xml:space="preserve"> </v>
      </c>
      <c r="AM574" s="56">
        <v>543</v>
      </c>
      <c r="AN574" s="56">
        <f t="shared" si="31"/>
        <v>2.3799603662979507E-2</v>
      </c>
    </row>
    <row r="575" spans="14:40" x14ac:dyDescent="0.25">
      <c r="N575" s="14">
        <v>181</v>
      </c>
      <c r="O575" s="14">
        <v>1.1161399999999999</v>
      </c>
      <c r="P575" s="14">
        <f>O575+O574+O573</f>
        <v>3.27216</v>
      </c>
      <c r="Q575" s="57"/>
      <c r="R575" s="57"/>
      <c r="S575" s="14"/>
      <c r="Z575">
        <v>543</v>
      </c>
      <c r="AA575" s="58">
        <v>99.716317742509801</v>
      </c>
      <c r="AB575" s="59">
        <v>21.231912816719905</v>
      </c>
      <c r="AC575" s="59">
        <v>120.9482305592297</v>
      </c>
      <c r="AD575" s="60">
        <v>78.484404925789903</v>
      </c>
      <c r="AE575" s="61">
        <v>0.24077542140432703</v>
      </c>
      <c r="AF575" s="62">
        <v>6.8106071217530859E-2</v>
      </c>
      <c r="AG575" s="62">
        <v>0.30888149262185788</v>
      </c>
      <c r="AH575" s="63">
        <v>0.17266935018679619</v>
      </c>
      <c r="AI575">
        <f t="shared" si="32"/>
        <v>3.2325945838177987</v>
      </c>
      <c r="AJ575" s="64">
        <v>77.582270011627173</v>
      </c>
      <c r="AK575" t="str">
        <f t="shared" si="30"/>
        <v xml:space="preserve"> </v>
      </c>
      <c r="AM575" s="56">
        <v>544</v>
      </c>
      <c r="AN575" s="56">
        <f t="shared" si="31"/>
        <v>2.3799603662979507E-2</v>
      </c>
    </row>
    <row r="576" spans="14:40" x14ac:dyDescent="0.25">
      <c r="N576" s="14">
        <v>181.333</v>
      </c>
      <c r="O576" s="14">
        <v>1.06654</v>
      </c>
      <c r="P576">
        <v>0</v>
      </c>
      <c r="Q576" s="57"/>
      <c r="R576" s="57"/>
      <c r="S576" s="14"/>
      <c r="Z576">
        <v>544</v>
      </c>
      <c r="AA576" s="58">
        <v>99.692518138846822</v>
      </c>
      <c r="AB576" s="59">
        <v>20.893436250891668</v>
      </c>
      <c r="AC576" s="59">
        <v>120.58595438973849</v>
      </c>
      <c r="AD576" s="60">
        <v>78.799081887955154</v>
      </c>
      <c r="AE576" s="61">
        <v>0.24067611754381882</v>
      </c>
      <c r="AF576" s="62">
        <v>6.7233210596638698E-2</v>
      </c>
      <c r="AG576" s="62">
        <v>0.30790932814045752</v>
      </c>
      <c r="AH576" s="63">
        <v>0.17344290694718012</v>
      </c>
      <c r="AI576">
        <f t="shared" si="32"/>
        <v>2.3552619731787079</v>
      </c>
      <c r="AJ576" s="64">
        <v>56.526287356288989</v>
      </c>
      <c r="AK576" t="str">
        <f t="shared" si="30"/>
        <v xml:space="preserve"> </v>
      </c>
      <c r="AM576" s="56">
        <v>545</v>
      </c>
      <c r="AN576" s="56">
        <f t="shared" si="31"/>
        <v>2.3799603662979507E-2</v>
      </c>
    </row>
    <row r="577" spans="14:40" x14ac:dyDescent="0.25">
      <c r="N577" s="14">
        <v>181.667</v>
      </c>
      <c r="O577" s="14">
        <v>1.0743100000000001</v>
      </c>
      <c r="P577">
        <v>0</v>
      </c>
      <c r="Q577" s="57"/>
      <c r="R577" s="57"/>
      <c r="S577" s="14"/>
      <c r="Z577">
        <v>545</v>
      </c>
      <c r="AA577" s="58">
        <v>99.668718535183842</v>
      </c>
      <c r="AB577" s="59">
        <v>20.556617582307776</v>
      </c>
      <c r="AC577" s="59">
        <v>120.22533611749162</v>
      </c>
      <c r="AD577" s="60">
        <v>79.112100952876062</v>
      </c>
      <c r="AE577" s="61">
        <v>0.2405768136833106</v>
      </c>
      <c r="AF577" s="62">
        <v>6.6363146461379668E-2</v>
      </c>
      <c r="AG577" s="62">
        <v>0.30693996014469027</v>
      </c>
      <c r="AH577" s="63">
        <v>0.17421366722193093</v>
      </c>
      <c r="AI577">
        <f t="shared" si="32"/>
        <v>1.4779293625396168</v>
      </c>
      <c r="AJ577" s="64">
        <v>35.470304700950805</v>
      </c>
      <c r="AK577" t="str">
        <f t="shared" si="30"/>
        <v xml:space="preserve"> </v>
      </c>
      <c r="AM577" s="56">
        <v>546</v>
      </c>
      <c r="AN577" s="56">
        <f t="shared" si="31"/>
        <v>5.4111498593087504E-2</v>
      </c>
    </row>
    <row r="578" spans="14:40" x14ac:dyDescent="0.25">
      <c r="N578" s="14">
        <v>182</v>
      </c>
      <c r="O578" s="14">
        <v>1.1090199999999999</v>
      </c>
      <c r="P578" s="14">
        <f>O578+O577+O576</f>
        <v>3.2498699999999996</v>
      </c>
      <c r="Q578" s="57"/>
      <c r="R578" s="57"/>
      <c r="S578" s="14"/>
      <c r="Z578">
        <v>546</v>
      </c>
      <c r="AA578" s="58">
        <v>99.644918931520863</v>
      </c>
      <c r="AB578" s="59">
        <v>20.221539655088396</v>
      </c>
      <c r="AC578" s="59">
        <v>119.86645858660926</v>
      </c>
      <c r="AD578" s="60">
        <v>79.42337927643247</v>
      </c>
      <c r="AE578" s="61">
        <v>0.24047750982280236</v>
      </c>
      <c r="AF578" s="62">
        <v>6.5495990259367143E-2</v>
      </c>
      <c r="AG578" s="62">
        <v>0.3059735000821695</v>
      </c>
      <c r="AH578" s="63">
        <v>0.17498151956343522</v>
      </c>
      <c r="AI578">
        <f t="shared" si="32"/>
        <v>0.60059675190052619</v>
      </c>
      <c r="AJ578" s="64">
        <v>14.414322045612629</v>
      </c>
      <c r="AK578" t="str">
        <f t="shared" si="30"/>
        <v xml:space="preserve"> </v>
      </c>
      <c r="AM578" s="56">
        <v>547</v>
      </c>
      <c r="AN578" s="56">
        <f t="shared" si="31"/>
        <v>0.11315728029872218</v>
      </c>
    </row>
    <row r="579" spans="14:40" x14ac:dyDescent="0.25">
      <c r="N579" s="14">
        <v>182.333</v>
      </c>
      <c r="O579" s="14">
        <v>1.0693900000000001</v>
      </c>
      <c r="P579">
        <v>0</v>
      </c>
      <c r="Q579" s="57"/>
      <c r="R579" s="57"/>
      <c r="S579" s="14"/>
      <c r="Z579">
        <v>547</v>
      </c>
      <c r="AA579" s="58">
        <v>99.590807432927775</v>
      </c>
      <c r="AB579" s="59">
        <v>19.900642167818294</v>
      </c>
      <c r="AC579" s="59">
        <v>119.49144960074607</v>
      </c>
      <c r="AD579" s="60">
        <v>79.690165265109485</v>
      </c>
      <c r="AE579" s="61">
        <v>0.24030455615815996</v>
      </c>
      <c r="AF579" s="62">
        <v>6.4652120673341321E-2</v>
      </c>
      <c r="AG579" s="62">
        <v>0.30495667683150129</v>
      </c>
      <c r="AH579" s="63">
        <v>0.17565243548481863</v>
      </c>
      <c r="AI579">
        <f t="shared" si="32"/>
        <v>0.4504456239871007</v>
      </c>
      <c r="AJ579" s="64">
        <v>10.810694975690417</v>
      </c>
      <c r="AK579" t="str">
        <f t="shared" si="30"/>
        <v xml:space="preserve"> </v>
      </c>
      <c r="AM579" s="56">
        <v>548</v>
      </c>
      <c r="AN579" s="56">
        <f t="shared" si="31"/>
        <v>0.14528020721625978</v>
      </c>
    </row>
    <row r="580" spans="14:40" x14ac:dyDescent="0.25">
      <c r="N580" s="14">
        <v>182.667</v>
      </c>
      <c r="O580" s="14">
        <v>1.0670900000000001</v>
      </c>
      <c r="P580">
        <v>0</v>
      </c>
      <c r="Q580" s="57"/>
      <c r="R580" s="57"/>
      <c r="S580" s="14"/>
      <c r="Z580">
        <v>548</v>
      </c>
      <c r="AA580" s="58">
        <v>99.477650152629053</v>
      </c>
      <c r="AB580" s="59">
        <v>19.606550929252634</v>
      </c>
      <c r="AC580" s="59">
        <v>119.08420108188169</v>
      </c>
      <c r="AD580" s="60">
        <v>79.871099223376419</v>
      </c>
      <c r="AE580" s="61">
        <v>0.23998813702335822</v>
      </c>
      <c r="AF580" s="62">
        <v>6.3851774147268614E-2</v>
      </c>
      <c r="AG580" s="62">
        <v>0.30383991117062681</v>
      </c>
      <c r="AH580" s="63">
        <v>0.17613636287608961</v>
      </c>
      <c r="AI580">
        <f t="shared" si="32"/>
        <v>1.7231189725438989</v>
      </c>
      <c r="AJ580" s="64">
        <v>41.354855341053572</v>
      </c>
      <c r="AK580" t="str">
        <f t="shared" si="30"/>
        <v xml:space="preserve"> </v>
      </c>
      <c r="AM580" s="56">
        <v>549</v>
      </c>
      <c r="AN580" s="56">
        <f t="shared" si="31"/>
        <v>0.20568003737021456</v>
      </c>
    </row>
    <row r="581" spans="14:40" x14ac:dyDescent="0.25">
      <c r="N581" s="14">
        <v>183</v>
      </c>
      <c r="O581" s="14">
        <v>1.0991899999999999</v>
      </c>
      <c r="P581" s="14">
        <f>O581+O580+O579</f>
        <v>3.2356699999999998</v>
      </c>
      <c r="Q581" s="57"/>
      <c r="R581" s="57"/>
      <c r="S581" s="14"/>
      <c r="Z581">
        <v>549</v>
      </c>
      <c r="AA581" s="58">
        <v>99.332369945412793</v>
      </c>
      <c r="AB581" s="59">
        <v>19.326695544711338</v>
      </c>
      <c r="AC581" s="59">
        <v>118.65906549012414</v>
      </c>
      <c r="AD581" s="60">
        <v>80.005674400701452</v>
      </c>
      <c r="AE581" s="61">
        <v>0.2395995305377483</v>
      </c>
      <c r="AF581" s="62">
        <v>6.3094387064648691E-2</v>
      </c>
      <c r="AG581" s="62">
        <v>0.302693917602397</v>
      </c>
      <c r="AH581" s="63">
        <v>0.17650514347309959</v>
      </c>
      <c r="AI581">
        <f t="shared" si="32"/>
        <v>1.7294498757071926</v>
      </c>
      <c r="AJ581" s="64">
        <v>41.506797016972619</v>
      </c>
      <c r="AK581" t="str">
        <f t="shared" si="30"/>
        <v xml:space="preserve"> </v>
      </c>
      <c r="AM581" s="56">
        <v>550</v>
      </c>
      <c r="AN581" s="56">
        <f t="shared" si="31"/>
        <v>0.2073023081946701</v>
      </c>
    </row>
    <row r="582" spans="14:40" x14ac:dyDescent="0.25">
      <c r="N582" s="14">
        <v>183.333</v>
      </c>
      <c r="O582" s="14">
        <v>1.0617300000000001</v>
      </c>
      <c r="P582">
        <v>0</v>
      </c>
      <c r="Q582" s="57"/>
      <c r="R582" s="57"/>
      <c r="S582" s="14"/>
      <c r="Z582">
        <v>550</v>
      </c>
      <c r="AA582" s="58">
        <v>99.126689908042579</v>
      </c>
      <c r="AB582" s="59">
        <v>19.069526590885303</v>
      </c>
      <c r="AC582" s="59">
        <v>118.19621649892788</v>
      </c>
      <c r="AD582" s="60">
        <v>80.057163317157276</v>
      </c>
      <c r="AE582" s="61">
        <v>0.23907574080983793</v>
      </c>
      <c r="AF582" s="62">
        <v>6.2414195188740328E-2</v>
      </c>
      <c r="AG582" s="62">
        <v>0.30148993599857826</v>
      </c>
      <c r="AH582" s="63">
        <v>0.17666154562109759</v>
      </c>
      <c r="AI582">
        <f t="shared" si="32"/>
        <v>0.53928679382247779</v>
      </c>
      <c r="AJ582" s="64">
        <v>12.942883051739468</v>
      </c>
      <c r="AK582" t="str">
        <f t="shared" si="30"/>
        <v xml:space="preserve"> </v>
      </c>
      <c r="AM582" s="56">
        <v>551</v>
      </c>
      <c r="AN582" s="56">
        <f t="shared" si="31"/>
        <v>0.20730230819465589</v>
      </c>
    </row>
    <row r="583" spans="14:40" x14ac:dyDescent="0.25">
      <c r="N583" s="14">
        <v>183.667</v>
      </c>
      <c r="O583" s="14">
        <v>1.0632299999999999</v>
      </c>
      <c r="P583">
        <v>0</v>
      </c>
      <c r="Q583" s="57"/>
      <c r="R583" s="57"/>
      <c r="S583" s="14"/>
      <c r="Z583">
        <v>551</v>
      </c>
      <c r="AA583" s="58">
        <v>98.919387599847909</v>
      </c>
      <c r="AB583" s="59">
        <v>18.814954225357383</v>
      </c>
      <c r="AC583" s="59">
        <v>117.73434182520529</v>
      </c>
      <c r="AD583" s="60">
        <v>80.104433374490526</v>
      </c>
      <c r="AE583" s="61">
        <v>0.2385483201122395</v>
      </c>
      <c r="AF583" s="62">
        <v>6.1739485143785466E-2</v>
      </c>
      <c r="AG583" s="62">
        <v>0.30028780525602494</v>
      </c>
      <c r="AH583" s="63">
        <v>0.17680883496845404</v>
      </c>
      <c r="AI583">
        <f t="shared" si="32"/>
        <v>1.9585658322930559</v>
      </c>
      <c r="AJ583" s="64">
        <v>47.005579975033342</v>
      </c>
      <c r="AK583" t="str">
        <f t="shared" si="30"/>
        <v xml:space="preserve"> </v>
      </c>
      <c r="AM583" s="56">
        <v>552</v>
      </c>
      <c r="AN583" s="56">
        <f t="shared" si="31"/>
        <v>0.2073023081946701</v>
      </c>
    </row>
    <row r="584" spans="14:40" x14ac:dyDescent="0.25">
      <c r="N584" s="14">
        <v>184</v>
      </c>
      <c r="O584" s="14">
        <v>1.1019000000000001</v>
      </c>
      <c r="P584" s="14">
        <f>O584+O583+O582</f>
        <v>3.2268600000000003</v>
      </c>
      <c r="Q584" s="57"/>
      <c r="R584" s="57"/>
      <c r="S584" s="14"/>
      <c r="Z584">
        <v>552</v>
      </c>
      <c r="AA584" s="58">
        <v>98.712085291653253</v>
      </c>
      <c r="AB584" s="59">
        <v>18.562516105829978</v>
      </c>
      <c r="AC584" s="59">
        <v>117.27460139748322</v>
      </c>
      <c r="AD584" s="60">
        <v>80.149569185823282</v>
      </c>
      <c r="AE584" s="61">
        <v>0.23802089941464111</v>
      </c>
      <c r="AF584" s="62">
        <v>6.1068399542602909E-2</v>
      </c>
      <c r="AG584" s="62">
        <v>0.29908929895724401</v>
      </c>
      <c r="AH584" s="63">
        <v>0.1769524998720382</v>
      </c>
      <c r="AI584">
        <f t="shared" si="32"/>
        <v>1.9841211738782496</v>
      </c>
      <c r="AJ584" s="64">
        <v>47.61890817307799</v>
      </c>
      <c r="AK584" t="str">
        <f t="shared" si="30"/>
        <v xml:space="preserve"> </v>
      </c>
      <c r="AM584" s="56">
        <v>553</v>
      </c>
      <c r="AN584" s="56">
        <f t="shared" si="31"/>
        <v>0.21600973065613971</v>
      </c>
    </row>
    <row r="585" spans="14:40" x14ac:dyDescent="0.25">
      <c r="N585" s="14">
        <v>184.333</v>
      </c>
      <c r="O585" s="14">
        <v>1.0561700000000001</v>
      </c>
      <c r="P585">
        <v>0</v>
      </c>
      <c r="Q585" s="57"/>
      <c r="R585" s="57"/>
      <c r="S585" s="14"/>
      <c r="Z585">
        <v>553</v>
      </c>
      <c r="AA585" s="58">
        <v>98.504782983458583</v>
      </c>
      <c r="AB585" s="59">
        <v>18.312300495328259</v>
      </c>
      <c r="AC585" s="59">
        <v>116.81708347878684</v>
      </c>
      <c r="AD585" s="60">
        <v>80.192482488130324</v>
      </c>
      <c r="AE585" s="61">
        <v>0.23749347871704271</v>
      </c>
      <c r="AF585" s="62">
        <v>6.040105919339453E-2</v>
      </c>
      <c r="AG585" s="62">
        <v>0.29789453791043724</v>
      </c>
      <c r="AH585" s="63">
        <v>0.17709241952364818</v>
      </c>
      <c r="AI585">
        <f t="shared" si="32"/>
        <v>0.33398436522219305</v>
      </c>
      <c r="AJ585" s="64">
        <v>8.0156247653326336</v>
      </c>
      <c r="AK585" t="str">
        <f t="shared" si="30"/>
        <v xml:space="preserve"> </v>
      </c>
      <c r="AM585" s="56">
        <v>554</v>
      </c>
      <c r="AN585" s="56">
        <f t="shared" si="31"/>
        <v>0.2332668692974238</v>
      </c>
    </row>
    <row r="586" spans="14:40" x14ac:dyDescent="0.25">
      <c r="N586" s="14">
        <v>184.667</v>
      </c>
      <c r="O586" s="14">
        <v>1.08649</v>
      </c>
      <c r="P586">
        <v>0</v>
      </c>
      <c r="Q586" s="57"/>
      <c r="R586" s="57"/>
      <c r="S586" s="14"/>
      <c r="Z586">
        <v>554</v>
      </c>
      <c r="AA586" s="58">
        <v>98.288773252802443</v>
      </c>
      <c r="AB586" s="59">
        <v>18.073533912180569</v>
      </c>
      <c r="AC586" s="59">
        <v>116.36230716498301</v>
      </c>
      <c r="AD586" s="60">
        <v>80.215239340621878</v>
      </c>
      <c r="AE586" s="61">
        <v>0.23694568353903109</v>
      </c>
      <c r="AF586" s="62">
        <v>5.9755426723769461E-2</v>
      </c>
      <c r="AG586" s="62">
        <v>0.29670111026280055</v>
      </c>
      <c r="AH586" s="63">
        <v>0.17719025681526163</v>
      </c>
      <c r="AI586">
        <f t="shared" si="32"/>
        <v>1.1177971945826728</v>
      </c>
      <c r="AJ586" s="64">
        <v>26.827132669984145</v>
      </c>
      <c r="AK586" t="str">
        <f t="shared" si="30"/>
        <v xml:space="preserve"> </v>
      </c>
      <c r="AM586" s="56">
        <v>555</v>
      </c>
      <c r="AN586" s="56">
        <f t="shared" si="31"/>
        <v>0.23373559579572145</v>
      </c>
    </row>
    <row r="587" spans="14:40" x14ac:dyDescent="0.25">
      <c r="N587" s="14">
        <v>185</v>
      </c>
      <c r="O587" s="14">
        <v>1.0822099999999999</v>
      </c>
      <c r="P587" s="14">
        <f>O587+O586+O585</f>
        <v>3.2248700000000001</v>
      </c>
      <c r="Q587" s="57"/>
      <c r="R587" s="57"/>
      <c r="S587" s="14"/>
      <c r="Z587">
        <v>555</v>
      </c>
      <c r="AA587" s="58">
        <v>98.055506383505019</v>
      </c>
      <c r="AB587" s="59">
        <v>17.85482961519995</v>
      </c>
      <c r="AC587" s="59">
        <v>115.91033599870497</v>
      </c>
      <c r="AD587" s="60">
        <v>80.200676768305073</v>
      </c>
      <c r="AE587" s="61">
        <v>0.23635750841680633</v>
      </c>
      <c r="AF587" s="62">
        <v>5.9148312322449402E-2</v>
      </c>
      <c r="AG587" s="62">
        <v>0.29550582073925574</v>
      </c>
      <c r="AH587" s="63">
        <v>0.17720919609435692</v>
      </c>
      <c r="AI587">
        <f t="shared" si="32"/>
        <v>1.9719252350944316</v>
      </c>
      <c r="AJ587" s="64">
        <v>47.326205642266359</v>
      </c>
      <c r="AK587" t="str">
        <f t="shared" si="30"/>
        <v xml:space="preserve"> </v>
      </c>
      <c r="AM587" s="56">
        <v>556</v>
      </c>
      <c r="AN587" s="56">
        <f t="shared" si="31"/>
        <v>0.23373559579572145</v>
      </c>
    </row>
    <row r="588" spans="14:40" x14ac:dyDescent="0.25">
      <c r="N588" s="14">
        <v>185.333</v>
      </c>
      <c r="O588" s="14">
        <v>1.04203</v>
      </c>
      <c r="P588">
        <v>0</v>
      </c>
      <c r="Q588" s="57"/>
      <c r="R588" s="57"/>
      <c r="S588" s="14"/>
      <c r="Z588">
        <v>556</v>
      </c>
      <c r="AA588" s="58">
        <v>97.821770787709298</v>
      </c>
      <c r="AB588" s="59">
        <v>17.638417191813549</v>
      </c>
      <c r="AC588" s="59">
        <v>115.46018797952284</v>
      </c>
      <c r="AD588" s="60">
        <v>80.183353595895753</v>
      </c>
      <c r="AE588" s="61">
        <v>0.23576823652238504</v>
      </c>
      <c r="AF588" s="62">
        <v>5.8544993305383909E-2</v>
      </c>
      <c r="AG588" s="62">
        <v>0.29431322982776897</v>
      </c>
      <c r="AH588" s="63">
        <v>0.17722324321700114</v>
      </c>
      <c r="AI588">
        <f t="shared" si="32"/>
        <v>2.8260532756061907</v>
      </c>
      <c r="AJ588" s="64">
        <v>67.82527861454858</v>
      </c>
      <c r="AK588" t="str">
        <f t="shared" si="30"/>
        <v xml:space="preserve"> </v>
      </c>
      <c r="AM588" s="56">
        <v>557</v>
      </c>
      <c r="AN588" s="56">
        <f t="shared" si="31"/>
        <v>0.23483843305525909</v>
      </c>
    </row>
    <row r="589" spans="14:40" x14ac:dyDescent="0.25">
      <c r="N589" s="14">
        <v>185.667</v>
      </c>
      <c r="O589" s="14">
        <v>1.08643</v>
      </c>
      <c r="P589">
        <v>0</v>
      </c>
      <c r="Q589" s="57"/>
      <c r="R589" s="57"/>
      <c r="S589" s="14"/>
      <c r="Z589">
        <v>557</v>
      </c>
      <c r="AA589" s="58">
        <v>97.588035191913576</v>
      </c>
      <c r="AB589" s="59">
        <v>17.423871256263197</v>
      </c>
      <c r="AC589" s="59">
        <v>115.01190644817677</v>
      </c>
      <c r="AD589" s="60">
        <v>80.164163935650379</v>
      </c>
      <c r="AE589" s="61">
        <v>0.23517896462796375</v>
      </c>
      <c r="AF589" s="62">
        <v>5.7944596729373063E-2</v>
      </c>
      <c r="AG589" s="62">
        <v>0.2931235613573368</v>
      </c>
      <c r="AH589" s="63">
        <v>0.17723436789859071</v>
      </c>
      <c r="AI589">
        <f t="shared" si="32"/>
        <v>3.6801813161179502</v>
      </c>
      <c r="AJ589" s="64">
        <v>88.324351586830801</v>
      </c>
      <c r="AK589" t="str">
        <f t="shared" si="30"/>
        <v xml:space="preserve"> </v>
      </c>
      <c r="AM589" s="56">
        <v>558</v>
      </c>
      <c r="AN589" s="56">
        <f t="shared" si="31"/>
        <v>0.23691721457882409</v>
      </c>
    </row>
    <row r="590" spans="14:40" x14ac:dyDescent="0.25">
      <c r="N590" s="14">
        <v>186</v>
      </c>
      <c r="O590" s="14">
        <v>1.06684</v>
      </c>
      <c r="P590" s="14">
        <f>O590+O589+O588</f>
        <v>3.1953</v>
      </c>
      <c r="Q590" s="57"/>
      <c r="R590" s="57"/>
      <c r="S590" s="14"/>
      <c r="Z590">
        <v>558</v>
      </c>
      <c r="AA590" s="58">
        <v>97.353196758858317</v>
      </c>
      <c r="AB590" s="59">
        <v>17.211451303479823</v>
      </c>
      <c r="AC590" s="59">
        <v>114.56464806233814</v>
      </c>
      <c r="AD590" s="60">
        <v>80.141745455378498</v>
      </c>
      <c r="AE590" s="61">
        <v>0.2345870793611223</v>
      </c>
      <c r="AF590" s="62">
        <v>5.7347736729847304E-2</v>
      </c>
      <c r="AG590" s="62">
        <v>0.29193481609096961</v>
      </c>
      <c r="AH590" s="63">
        <v>0.177239342631275</v>
      </c>
      <c r="AI590">
        <f t="shared" si="32"/>
        <v>4.5343093566297092</v>
      </c>
      <c r="AJ590" s="64">
        <v>108.82342455911302</v>
      </c>
      <c r="AK590" t="str">
        <f t="shared" si="30"/>
        <v xml:space="preserve"> </v>
      </c>
      <c r="AM590" s="56">
        <v>559</v>
      </c>
      <c r="AN590" s="56">
        <f t="shared" si="31"/>
        <v>0.2219007497511285</v>
      </c>
    </row>
    <row r="591" spans="14:40" x14ac:dyDescent="0.25">
      <c r="N591" s="14">
        <v>186.333</v>
      </c>
      <c r="O591" s="14">
        <v>1.07443</v>
      </c>
      <c r="P591">
        <v>0</v>
      </c>
      <c r="Q591" s="57"/>
      <c r="R591" s="57"/>
      <c r="S591" s="14"/>
      <c r="Z591">
        <v>559</v>
      </c>
      <c r="AA591" s="58">
        <v>97.116279544279493</v>
      </c>
      <c r="AB591" s="59">
        <v>17.001319823918127</v>
      </c>
      <c r="AC591" s="59">
        <v>114.11759936819762</v>
      </c>
      <c r="AD591" s="60">
        <v>80.114959720361369</v>
      </c>
      <c r="AE591" s="61">
        <v>0.23399026804535172</v>
      </c>
      <c r="AF591" s="62">
        <v>5.6754838138197643E-2</v>
      </c>
      <c r="AG591" s="62">
        <v>0.29074510618354937</v>
      </c>
      <c r="AH591" s="63">
        <v>0.17723542990715407</v>
      </c>
      <c r="AI591">
        <f t="shared" si="32"/>
        <v>4.2359461146636077</v>
      </c>
      <c r="AJ591" s="64">
        <v>101.66270675192659</v>
      </c>
      <c r="AK591" t="str">
        <f t="shared" si="30"/>
        <v xml:space="preserve"> </v>
      </c>
      <c r="AM591" s="56">
        <v>560</v>
      </c>
      <c r="AN591" s="56">
        <f t="shared" si="31"/>
        <v>0.19233453632875808</v>
      </c>
    </row>
    <row r="592" spans="14:40" x14ac:dyDescent="0.25">
      <c r="N592" s="14">
        <v>186.667</v>
      </c>
      <c r="O592" s="14">
        <v>1.0795399999999999</v>
      </c>
      <c r="P592">
        <v>0</v>
      </c>
      <c r="Q592" s="57"/>
      <c r="R592" s="57"/>
      <c r="S592" s="14"/>
      <c r="Z592">
        <v>560</v>
      </c>
      <c r="AA592" s="58">
        <v>96.894378794528365</v>
      </c>
      <c r="AB592" s="59">
        <v>16.82558103112137</v>
      </c>
      <c r="AC592" s="59">
        <v>113.71995982564974</v>
      </c>
      <c r="AD592" s="60">
        <v>80.068797763406991</v>
      </c>
      <c r="AE592" s="61">
        <v>0.23343279021045882</v>
      </c>
      <c r="AF592" s="62">
        <v>5.6247724246190622E-2</v>
      </c>
      <c r="AG592" s="62">
        <v>0.28968051445664944</v>
      </c>
      <c r="AH592" s="63">
        <v>0.1771850659642682</v>
      </c>
      <c r="AI592">
        <f t="shared" si="32"/>
        <v>1.7438478419860031</v>
      </c>
      <c r="AJ592" s="64">
        <v>41.852348207664072</v>
      </c>
      <c r="AK592" t="str">
        <f t="shared" si="30"/>
        <v xml:space="preserve"> </v>
      </c>
      <c r="AM592" s="56">
        <v>561</v>
      </c>
      <c r="AN592" s="56">
        <f t="shared" si="31"/>
        <v>0.19155359402390104</v>
      </c>
    </row>
    <row r="593" spans="14:40" x14ac:dyDescent="0.25">
      <c r="N593" s="14">
        <v>187</v>
      </c>
      <c r="O593" s="14">
        <v>1.05647</v>
      </c>
      <c r="P593" s="14">
        <f>O593+O592+O591</f>
        <v>3.2104399999999997</v>
      </c>
      <c r="Q593" s="57"/>
      <c r="R593" s="57"/>
      <c r="S593" s="14"/>
      <c r="Z593">
        <v>561</v>
      </c>
      <c r="AA593" s="58">
        <v>96.702044258199606</v>
      </c>
      <c r="AB593" s="59">
        <v>16.715824073327862</v>
      </c>
      <c r="AC593" s="59">
        <v>113.41786833152747</v>
      </c>
      <c r="AD593" s="60">
        <v>79.98622018487174</v>
      </c>
      <c r="AE593" s="61">
        <v>0.23295273296649502</v>
      </c>
      <c r="AF593" s="62">
        <v>5.5906932725617121E-2</v>
      </c>
      <c r="AG593" s="62">
        <v>0.28885966569211213</v>
      </c>
      <c r="AH593" s="63">
        <v>0.1770458002408779</v>
      </c>
      <c r="AI593">
        <f t="shared" si="32"/>
        <v>0.91378415723198003</v>
      </c>
      <c r="AJ593" s="64">
        <v>21.930819773567521</v>
      </c>
      <c r="AK593" t="str">
        <f t="shared" si="30"/>
        <v xml:space="preserve"> </v>
      </c>
      <c r="AM593" s="56">
        <v>562</v>
      </c>
      <c r="AN593" s="56">
        <f t="shared" si="31"/>
        <v>0.19155359402390104</v>
      </c>
    </row>
    <row r="594" spans="14:40" x14ac:dyDescent="0.25">
      <c r="N594" s="14">
        <v>187.333</v>
      </c>
      <c r="O594" s="14">
        <v>1.08599</v>
      </c>
      <c r="P594">
        <v>0</v>
      </c>
      <c r="Q594" s="57"/>
      <c r="R594" s="57"/>
      <c r="S594" s="14"/>
      <c r="Z594">
        <v>562</v>
      </c>
      <c r="AA594" s="58">
        <v>96.510490664175705</v>
      </c>
      <c r="AB594" s="59">
        <v>16.610330600901435</v>
      </c>
      <c r="AC594" s="59">
        <v>113.12082126507714</v>
      </c>
      <c r="AD594" s="60">
        <v>79.900160063274271</v>
      </c>
      <c r="AE594" s="61">
        <v>0.23247472065854846</v>
      </c>
      <c r="AF594" s="62">
        <v>5.5574857355012261E-2</v>
      </c>
      <c r="AG594" s="62">
        <v>0.28804957801356074</v>
      </c>
      <c r="AH594" s="63">
        <v>0.17689986330353619</v>
      </c>
      <c r="AI594">
        <f t="shared" si="32"/>
        <v>1.7062168210101722</v>
      </c>
      <c r="AJ594" s="64">
        <v>40.949203704244134</v>
      </c>
      <c r="AK594" t="str">
        <f t="shared" si="30"/>
        <v xml:space="preserve"> </v>
      </c>
      <c r="AM594" s="56">
        <v>563</v>
      </c>
      <c r="AN594" s="56">
        <f t="shared" si="31"/>
        <v>0.19155359402392946</v>
      </c>
    </row>
    <row r="595" spans="14:40" x14ac:dyDescent="0.25">
      <c r="N595" s="14">
        <v>187.667</v>
      </c>
      <c r="O595" s="14">
        <v>1.0736300000000001</v>
      </c>
      <c r="P595">
        <v>0</v>
      </c>
      <c r="Q595" s="57"/>
      <c r="R595" s="57"/>
      <c r="S595" s="14"/>
      <c r="Z595">
        <v>563</v>
      </c>
      <c r="AA595" s="58">
        <v>96.318937070151804</v>
      </c>
      <c r="AB595" s="59">
        <v>16.507468374193508</v>
      </c>
      <c r="AC595" s="59">
        <v>112.82640544434531</v>
      </c>
      <c r="AD595" s="60">
        <v>79.811468695958297</v>
      </c>
      <c r="AE595" s="61">
        <v>0.23199670835060193</v>
      </c>
      <c r="AF595" s="62">
        <v>5.5247285464621196E-2</v>
      </c>
      <c r="AG595" s="62">
        <v>0.28724399381522314</v>
      </c>
      <c r="AH595" s="63">
        <v>0.17674942288598072</v>
      </c>
      <c r="AI595">
        <f t="shared" si="32"/>
        <v>4.4983747296708038E-2</v>
      </c>
      <c r="AJ595" s="64">
        <v>1.0796099351209929</v>
      </c>
      <c r="AK595" t="str">
        <f t="shared" si="30"/>
        <v xml:space="preserve"> </v>
      </c>
      <c r="AM595" s="56">
        <v>564</v>
      </c>
      <c r="AN595" s="56">
        <f t="shared" si="31"/>
        <v>0.16891536774465976</v>
      </c>
    </row>
    <row r="596" spans="14:40" x14ac:dyDescent="0.25">
      <c r="N596" s="14">
        <v>188</v>
      </c>
      <c r="O596" s="14">
        <v>1.05762</v>
      </c>
      <c r="P596" s="14">
        <f>O596+O595+O594</f>
        <v>3.2172400000000003</v>
      </c>
      <c r="Q596" s="57"/>
      <c r="R596" s="57"/>
      <c r="S596" s="14"/>
      <c r="Z596">
        <v>564</v>
      </c>
      <c r="AA596" s="58">
        <v>96.127383476127875</v>
      </c>
      <c r="AB596" s="59">
        <v>16.407286881496031</v>
      </c>
      <c r="AC596" s="59">
        <v>112.53467035762391</v>
      </c>
      <c r="AD596" s="60">
        <v>79.720096594631841</v>
      </c>
      <c r="AE596" s="61">
        <v>0.2315186960426554</v>
      </c>
      <c r="AF596" s="62">
        <v>5.4924297631602545E-2</v>
      </c>
      <c r="AG596" s="62">
        <v>0.28644299367425796</v>
      </c>
      <c r="AH596" s="63">
        <v>0.17659439841105284</v>
      </c>
      <c r="AI596">
        <f t="shared" si="32"/>
        <v>0</v>
      </c>
      <c r="AJ596" s="64">
        <v>0</v>
      </c>
      <c r="AK596" t="str">
        <f t="shared" si="30"/>
        <v xml:space="preserve"> </v>
      </c>
      <c r="AM596" s="56">
        <v>565</v>
      </c>
      <c r="AN596" s="56">
        <f t="shared" si="31"/>
        <v>0.12291425734447614</v>
      </c>
    </row>
    <row r="597" spans="14:40" x14ac:dyDescent="0.25">
      <c r="N597" s="14">
        <v>188.333</v>
      </c>
      <c r="O597" s="14">
        <v>1.0644899999999999</v>
      </c>
      <c r="P597">
        <v>0</v>
      </c>
      <c r="Q597" s="57"/>
      <c r="R597" s="57"/>
      <c r="S597" s="14"/>
      <c r="Z597">
        <v>565</v>
      </c>
      <c r="AA597" s="58">
        <v>95.958468108383215</v>
      </c>
      <c r="AB597" s="59">
        <v>16.337734677708458</v>
      </c>
      <c r="AC597" s="59">
        <v>112.29620278609167</v>
      </c>
      <c r="AD597" s="60">
        <v>79.620733430674761</v>
      </c>
      <c r="AE597" s="61">
        <v>0.23110019067172236</v>
      </c>
      <c r="AF597" s="62">
        <v>5.4689861468253914E-2</v>
      </c>
      <c r="AG597" s="62">
        <v>0.28579005213997627</v>
      </c>
      <c r="AH597" s="63">
        <v>0.17641032920346844</v>
      </c>
      <c r="AI597">
        <f t="shared" si="32"/>
        <v>0</v>
      </c>
      <c r="AJ597" s="64">
        <v>0</v>
      </c>
      <c r="AK597" t="str">
        <f t="shared" si="30"/>
        <v xml:space="preserve"> </v>
      </c>
      <c r="AM597" s="56">
        <v>566</v>
      </c>
      <c r="AN597" s="56">
        <f t="shared" si="31"/>
        <v>0.12157513399473885</v>
      </c>
    </row>
    <row r="598" spans="14:40" x14ac:dyDescent="0.25">
      <c r="N598" s="14">
        <v>188.667</v>
      </c>
      <c r="O598" s="14">
        <v>1.0680499999999999</v>
      </c>
      <c r="P598">
        <v>0</v>
      </c>
      <c r="Q598" s="57"/>
      <c r="R598" s="57"/>
      <c r="S598" s="14"/>
      <c r="Z598">
        <v>566</v>
      </c>
      <c r="AA598" s="58">
        <v>95.835553851038739</v>
      </c>
      <c r="AB598" s="59">
        <v>16.327004897679867</v>
      </c>
      <c r="AC598" s="59">
        <v>112.16255874871861</v>
      </c>
      <c r="AD598" s="60">
        <v>79.508548953358869</v>
      </c>
      <c r="AE598" s="61">
        <v>0.23080260401347369</v>
      </c>
      <c r="AF598" s="62">
        <v>5.4629572593063717E-2</v>
      </c>
      <c r="AG598" s="62">
        <v>0.28543217660653741</v>
      </c>
      <c r="AH598" s="63">
        <v>0.17617303142040996</v>
      </c>
      <c r="AI598">
        <f t="shared" si="32"/>
        <v>0</v>
      </c>
      <c r="AJ598" s="64">
        <v>0</v>
      </c>
      <c r="AK598" t="str">
        <f t="shared" si="30"/>
        <v xml:space="preserve"> </v>
      </c>
      <c r="AM598" s="56">
        <v>567</v>
      </c>
      <c r="AN598" s="56">
        <f t="shared" si="31"/>
        <v>0.12157513399473885</v>
      </c>
    </row>
    <row r="599" spans="14:40" x14ac:dyDescent="0.25">
      <c r="N599" s="14">
        <v>189</v>
      </c>
      <c r="O599" s="14">
        <v>1.07555</v>
      </c>
      <c r="P599" s="14">
        <f>O599+O598+O597</f>
        <v>3.2080900000000003</v>
      </c>
      <c r="Q599" s="57"/>
      <c r="R599" s="57"/>
      <c r="S599" s="14"/>
      <c r="Z599">
        <v>567</v>
      </c>
      <c r="AA599" s="58">
        <v>95.713978717044</v>
      </c>
      <c r="AB599" s="59">
        <v>16.319767236631645</v>
      </c>
      <c r="AC599" s="59">
        <v>112.03374595367565</v>
      </c>
      <c r="AD599" s="60">
        <v>79.394211480412352</v>
      </c>
      <c r="AE599" s="61">
        <v>0.23050853738050622</v>
      </c>
      <c r="AF599" s="62">
        <v>5.4577479723407631E-2</v>
      </c>
      <c r="AG599" s="62">
        <v>0.28508601710391385</v>
      </c>
      <c r="AH599" s="63">
        <v>0.1759310576570986</v>
      </c>
      <c r="AI599">
        <f t="shared" si="32"/>
        <v>0</v>
      </c>
      <c r="AJ599" s="64">
        <v>0</v>
      </c>
      <c r="AK599" t="str">
        <f t="shared" si="30"/>
        <v xml:space="preserve"> </v>
      </c>
      <c r="AM599" s="56">
        <v>568</v>
      </c>
      <c r="AN599" s="56">
        <f t="shared" si="31"/>
        <v>0.12157513399473885</v>
      </c>
    </row>
    <row r="600" spans="14:40" x14ac:dyDescent="0.25">
      <c r="N600" s="14">
        <v>189.333</v>
      </c>
      <c r="O600" s="14">
        <v>1.0640400000000001</v>
      </c>
      <c r="P600">
        <v>0</v>
      </c>
      <c r="Q600" s="57"/>
      <c r="R600" s="57"/>
      <c r="S600" s="14"/>
      <c r="Z600">
        <v>568</v>
      </c>
      <c r="AA600" s="58">
        <v>95.592403583049261</v>
      </c>
      <c r="AB600" s="59">
        <v>16.314368156174332</v>
      </c>
      <c r="AC600" s="59">
        <v>111.90677173922359</v>
      </c>
      <c r="AD600" s="60">
        <v>79.278035426874936</v>
      </c>
      <c r="AE600" s="61">
        <v>0.23021447074753881</v>
      </c>
      <c r="AF600" s="62">
        <v>5.4528619121300109E-2</v>
      </c>
      <c r="AG600" s="62">
        <v>0.28474308986883889</v>
      </c>
      <c r="AH600" s="63">
        <v>0.1756858516262387</v>
      </c>
      <c r="AI600">
        <f t="shared" si="32"/>
        <v>0</v>
      </c>
      <c r="AJ600" s="64">
        <v>0</v>
      </c>
      <c r="AK600" t="str">
        <f t="shared" si="30"/>
        <v xml:space="preserve"> </v>
      </c>
      <c r="AM600" s="56">
        <v>569</v>
      </c>
      <c r="AN600" s="56">
        <f t="shared" si="31"/>
        <v>0.12157513399472464</v>
      </c>
    </row>
    <row r="601" spans="14:40" x14ac:dyDescent="0.25">
      <c r="N601" s="14">
        <v>189.667</v>
      </c>
      <c r="O601" s="14">
        <v>1.05318</v>
      </c>
      <c r="P601">
        <v>0</v>
      </c>
      <c r="Q601" s="57"/>
      <c r="R601" s="57"/>
      <c r="S601" s="14"/>
      <c r="Z601">
        <v>569</v>
      </c>
      <c r="AA601" s="58">
        <v>95.470828449054522</v>
      </c>
      <c r="AB601" s="59">
        <v>16.310809482087045</v>
      </c>
      <c r="AC601" s="59">
        <v>111.78163793114157</v>
      </c>
      <c r="AD601" s="60">
        <v>79.160018966967471</v>
      </c>
      <c r="AE601" s="61">
        <v>0.22992040411457132</v>
      </c>
      <c r="AF601" s="62">
        <v>5.4482999482879151E-2</v>
      </c>
      <c r="AG601" s="62">
        <v>0.28440340359745048</v>
      </c>
      <c r="AH601" s="63">
        <v>0.17543740463169216</v>
      </c>
      <c r="AI601">
        <f t="shared" si="32"/>
        <v>0</v>
      </c>
      <c r="AJ601" s="64">
        <v>0</v>
      </c>
      <c r="AK601" t="str">
        <f t="shared" si="30"/>
        <v xml:space="preserve"> </v>
      </c>
      <c r="AM601" s="56">
        <v>570</v>
      </c>
      <c r="AN601" s="56">
        <f t="shared" si="31"/>
        <v>0.12157513399471043</v>
      </c>
    </row>
    <row r="602" spans="14:40" x14ac:dyDescent="0.25">
      <c r="N602" s="14">
        <v>190</v>
      </c>
      <c r="O602" s="14">
        <v>1.0810999999999999</v>
      </c>
      <c r="P602" s="14">
        <f>O602+O601+O600</f>
        <v>3.1983199999999998</v>
      </c>
      <c r="Q602" s="57"/>
      <c r="R602" s="57"/>
      <c r="S602" s="14"/>
      <c r="Z602">
        <v>570</v>
      </c>
      <c r="AA602" s="58">
        <v>95.349253315059798</v>
      </c>
      <c r="AB602" s="59">
        <v>16.309092419109906</v>
      </c>
      <c r="AC602" s="59">
        <v>111.6583457341697</v>
      </c>
      <c r="AD602" s="60">
        <v>79.040160895949896</v>
      </c>
      <c r="AE602" s="61">
        <v>0.22962633748160394</v>
      </c>
      <c r="AF602" s="62">
        <v>5.4440628955639891E-2</v>
      </c>
      <c r="AG602" s="62">
        <v>0.28406696643724383</v>
      </c>
      <c r="AH602" s="63">
        <v>0.17518570852596405</v>
      </c>
      <c r="AI602">
        <f t="shared" si="32"/>
        <v>0</v>
      </c>
      <c r="AJ602" s="64">
        <v>0</v>
      </c>
      <c r="AK602" t="str">
        <f t="shared" si="30"/>
        <v xml:space="preserve"> </v>
      </c>
      <c r="AM602" s="56">
        <v>571</v>
      </c>
      <c r="AN602" s="56">
        <f t="shared" si="31"/>
        <v>0.12157513399473885</v>
      </c>
    </row>
    <row r="603" spans="14:40" x14ac:dyDescent="0.25">
      <c r="N603" s="14">
        <v>190.333</v>
      </c>
      <c r="O603" s="14">
        <v>1.0662</v>
      </c>
      <c r="P603">
        <v>0</v>
      </c>
      <c r="Q603" s="57"/>
      <c r="R603" s="57"/>
      <c r="S603" s="14"/>
      <c r="Z603">
        <v>571</v>
      </c>
      <c r="AA603" s="58">
        <v>95.227678181065087</v>
      </c>
      <c r="AB603" s="59">
        <v>16.309217548906986</v>
      </c>
      <c r="AC603" s="59">
        <v>111.53689572997207</v>
      </c>
      <c r="AD603" s="60">
        <v>78.918460632158101</v>
      </c>
      <c r="AE603" s="61">
        <v>0.22933227084863647</v>
      </c>
      <c r="AF603" s="62">
        <v>5.4401515131278048E-2</v>
      </c>
      <c r="AG603" s="62">
        <v>0.2837337859799145</v>
      </c>
      <c r="AH603" s="63">
        <v>0.17493075571735842</v>
      </c>
      <c r="AI603">
        <f t="shared" si="32"/>
        <v>0</v>
      </c>
      <c r="AJ603" s="64">
        <v>0</v>
      </c>
      <c r="AK603" t="str">
        <f t="shared" si="30"/>
        <v xml:space="preserve"> </v>
      </c>
      <c r="AM603" s="56">
        <v>572</v>
      </c>
      <c r="AN603" s="56">
        <f t="shared" si="31"/>
        <v>0.12157513399473885</v>
      </c>
    </row>
    <row r="604" spans="14:40" x14ac:dyDescent="0.25">
      <c r="N604" s="14">
        <v>190.667</v>
      </c>
      <c r="O604" s="14">
        <v>1.0365800000000001</v>
      </c>
      <c r="P604">
        <v>0</v>
      </c>
      <c r="Q604" s="57"/>
      <c r="R604" s="57"/>
      <c r="S604" s="14"/>
      <c r="Z604">
        <v>572</v>
      </c>
      <c r="AA604" s="58">
        <v>95.106103047070349</v>
      </c>
      <c r="AB604" s="59">
        <v>16.311184829082151</v>
      </c>
      <c r="AC604" s="59">
        <v>111.4172878761525</v>
      </c>
      <c r="AD604" s="60">
        <v>78.794918217988197</v>
      </c>
      <c r="AE604" s="61">
        <v>0.22903820421566903</v>
      </c>
      <c r="AF604" s="62">
        <v>5.4365665038978363E-2</v>
      </c>
      <c r="AG604" s="62">
        <v>0.28340386925464739</v>
      </c>
      <c r="AH604" s="63">
        <v>0.17467253917669068</v>
      </c>
      <c r="AI604">
        <f t="shared" si="32"/>
        <v>0</v>
      </c>
      <c r="AJ604" s="64">
        <v>0</v>
      </c>
      <c r="AK604" t="str">
        <f t="shared" si="30"/>
        <v xml:space="preserve"> </v>
      </c>
      <c r="AM604" s="56">
        <v>573</v>
      </c>
      <c r="AN604" s="56">
        <f t="shared" si="31"/>
        <v>0.12157513399472464</v>
      </c>
    </row>
    <row r="605" spans="14:40" x14ac:dyDescent="0.25">
      <c r="N605" s="14">
        <v>191</v>
      </c>
      <c r="O605" s="14">
        <v>1.0826899999999999</v>
      </c>
      <c r="P605" s="14">
        <f>O605+O604+O603</f>
        <v>3.1854700000000005</v>
      </c>
      <c r="Q605" s="57"/>
      <c r="R605" s="57"/>
      <c r="S605" s="14"/>
      <c r="Z605">
        <v>573</v>
      </c>
      <c r="AA605" s="58">
        <v>94.98452791307561</v>
      </c>
      <c r="AB605" s="59">
        <v>16.31499359324917</v>
      </c>
      <c r="AC605" s="59">
        <v>111.29952150632478</v>
      </c>
      <c r="AD605" s="60">
        <v>78.66953431982644</v>
      </c>
      <c r="AE605" s="61">
        <v>0.2287441375827016</v>
      </c>
      <c r="AF605" s="62">
        <v>5.4333085139174835E-2</v>
      </c>
      <c r="AG605" s="62">
        <v>0.28307722272187641</v>
      </c>
      <c r="AH605" s="63">
        <v>0.17441105244352675</v>
      </c>
      <c r="AI605">
        <f t="shared" si="32"/>
        <v>0.65665691899933842</v>
      </c>
      <c r="AJ605" s="64">
        <v>15.759766055984123</v>
      </c>
      <c r="AK605" t="str">
        <f t="shared" si="30"/>
        <v xml:space="preserve"> </v>
      </c>
      <c r="AM605" s="56">
        <v>574</v>
      </c>
      <c r="AN605" s="56">
        <f t="shared" si="31"/>
        <v>0.12157513399472464</v>
      </c>
    </row>
    <row r="606" spans="14:40" x14ac:dyDescent="0.25">
      <c r="N606" s="14">
        <v>191.333</v>
      </c>
      <c r="O606" s="14">
        <v>1.0654300000000001</v>
      </c>
      <c r="P606">
        <v>0</v>
      </c>
      <c r="Q606" s="57"/>
      <c r="R606" s="57"/>
      <c r="S606" s="14"/>
      <c r="Z606">
        <v>574</v>
      </c>
      <c r="AA606" s="58">
        <v>94.862952779080885</v>
      </c>
      <c r="AB606" s="59">
        <v>16.320642552161779</v>
      </c>
      <c r="AC606" s="59">
        <v>111.18359533124266</v>
      </c>
      <c r="AD606" s="60">
        <v>78.542310226919113</v>
      </c>
      <c r="AE606" s="61">
        <v>0.22845007094973416</v>
      </c>
      <c r="AF606" s="62">
        <v>5.4303781317786459E-2</v>
      </c>
      <c r="AG606" s="62">
        <v>0.28275385226752059</v>
      </c>
      <c r="AH606" s="63">
        <v>0.1741462896319477</v>
      </c>
      <c r="AI606">
        <f t="shared" si="32"/>
        <v>2.6076136413620712</v>
      </c>
      <c r="AJ606" s="64">
        <v>62.582727392689712</v>
      </c>
      <c r="AK606" t="str">
        <f t="shared" si="30"/>
        <v xml:space="preserve"> </v>
      </c>
      <c r="AM606" s="56">
        <v>575</v>
      </c>
      <c r="AN606" s="56">
        <f t="shared" si="31"/>
        <v>0.12157513399473885</v>
      </c>
    </row>
    <row r="607" spans="14:40" x14ac:dyDescent="0.25">
      <c r="N607" s="14">
        <v>191.667</v>
      </c>
      <c r="O607" s="14">
        <v>1.0360799999999999</v>
      </c>
      <c r="P607">
        <v>0</v>
      </c>
      <c r="Q607" s="57"/>
      <c r="R607" s="57"/>
      <c r="S607" s="14"/>
      <c r="Z607">
        <v>575</v>
      </c>
      <c r="AA607" s="58">
        <v>94.74137764508616</v>
      </c>
      <c r="AB607" s="59">
        <v>16.328129795891748</v>
      </c>
      <c r="AC607" s="59">
        <v>111.0695074409779</v>
      </c>
      <c r="AD607" s="60">
        <v>78.41324784919442</v>
      </c>
      <c r="AE607" s="61">
        <v>0.22815600431676675</v>
      </c>
      <c r="AF607" s="62">
        <v>5.4277758880943439E-2</v>
      </c>
      <c r="AG607" s="62">
        <v>0.28243376319771019</v>
      </c>
      <c r="AH607" s="63">
        <v>0.17387824543582331</v>
      </c>
      <c r="AI607">
        <f t="shared" si="32"/>
        <v>4.0649489079014325</v>
      </c>
      <c r="AJ607" s="64">
        <v>97.558773789634373</v>
      </c>
      <c r="AK607" t="str">
        <f t="shared" si="30"/>
        <v xml:space="preserve"> </v>
      </c>
      <c r="AM607" s="56">
        <v>576</v>
      </c>
      <c r="AN607" s="56">
        <f t="shared" si="31"/>
        <v>0.12157513399472464</v>
      </c>
    </row>
    <row r="608" spans="14:40" x14ac:dyDescent="0.25">
      <c r="N608" s="14">
        <v>192</v>
      </c>
      <c r="O608" s="14">
        <v>1.0831299999999999</v>
      </c>
      <c r="P608" s="14">
        <f>O608+O607+O606</f>
        <v>3.1846399999999999</v>
      </c>
      <c r="Q608" s="57"/>
      <c r="R608" s="57"/>
      <c r="S608" s="14"/>
      <c r="Z608">
        <v>576</v>
      </c>
      <c r="AA608" s="58">
        <v>94.619802511091422</v>
      </c>
      <c r="AB608" s="59">
        <v>16.33745279705273</v>
      </c>
      <c r="AC608" s="59">
        <v>110.95725530814416</v>
      </c>
      <c r="AD608" s="60">
        <v>78.282349714038688</v>
      </c>
      <c r="AE608" s="61">
        <v>0.22786193768379925</v>
      </c>
      <c r="AF608" s="62">
        <v>5.4255022550215817E-2</v>
      </c>
      <c r="AG608" s="62">
        <v>0.28211696023401506</v>
      </c>
      <c r="AH608" s="63">
        <v>0.17360691513358345</v>
      </c>
      <c r="AI608">
        <f t="shared" si="32"/>
        <v>4.4729961982367614</v>
      </c>
      <c r="AJ608" s="64">
        <v>107.35190875768227</v>
      </c>
      <c r="AK608" t="str">
        <f t="shared" si="30"/>
        <v xml:space="preserve"> </v>
      </c>
      <c r="AM608" s="56">
        <v>577</v>
      </c>
      <c r="AN608" s="56">
        <f t="shared" si="31"/>
        <v>0.12157513399473885</v>
      </c>
    </row>
    <row r="609" spans="14:40" x14ac:dyDescent="0.25">
      <c r="N609" s="14">
        <v>192.333</v>
      </c>
      <c r="O609" s="14">
        <v>1.05932</v>
      </c>
      <c r="P609">
        <v>0</v>
      </c>
      <c r="Q609" s="57"/>
      <c r="R609" s="57"/>
      <c r="S609" s="14"/>
      <c r="Z609">
        <v>577</v>
      </c>
      <c r="AA609" s="58">
        <v>94.498227377096697</v>
      </c>
      <c r="AB609" s="59">
        <v>16.348608415053327</v>
      </c>
      <c r="AC609" s="59">
        <v>110.84683579215002</v>
      </c>
      <c r="AD609" s="60">
        <v>78.149618962043377</v>
      </c>
      <c r="AE609" s="61">
        <v>0.2275678710508319</v>
      </c>
      <c r="AF609" s="62">
        <v>5.4235576458351399E-2</v>
      </c>
      <c r="AG609" s="62">
        <v>0.28180344750918329</v>
      </c>
      <c r="AH609" s="63">
        <v>0.17333229459248051</v>
      </c>
      <c r="AI609">
        <f t="shared" si="32"/>
        <v>4.852359511574786</v>
      </c>
      <c r="AJ609" s="64">
        <v>116.45662827779486</v>
      </c>
      <c r="AK609" t="str">
        <f t="shared" ref="AK609:AK632" si="33">IF(Z609&lt;=$R$12,AI609," ")</f>
        <v xml:space="preserve"> </v>
      </c>
      <c r="AM609" s="56">
        <v>578</v>
      </c>
      <c r="AN609" s="56">
        <f t="shared" ref="AN609:AN630" si="34">AA610-AA611</f>
        <v>0.12157513399472464</v>
      </c>
    </row>
    <row r="610" spans="14:40" x14ac:dyDescent="0.25">
      <c r="N610" s="14">
        <v>192.667</v>
      </c>
      <c r="O610" s="14">
        <v>1.03277</v>
      </c>
      <c r="P610">
        <v>0</v>
      </c>
      <c r="Q610" s="57"/>
      <c r="R610" s="57"/>
      <c r="S610" s="14"/>
      <c r="Z610">
        <v>578</v>
      </c>
      <c r="AA610" s="58">
        <v>94.376652243101958</v>
      </c>
      <c r="AB610" s="59">
        <v>16.361592901364073</v>
      </c>
      <c r="AC610" s="59">
        <v>110.73824514446603</v>
      </c>
      <c r="AD610" s="60">
        <v>78.015059341737881</v>
      </c>
      <c r="AE610" s="61">
        <v>0.22727380441786441</v>
      </c>
      <c r="AF610" s="62">
        <v>5.4219424145537758E-2</v>
      </c>
      <c r="AG610" s="62">
        <v>0.28149322856340214</v>
      </c>
      <c r="AH610" s="63">
        <v>0.17305438027232664</v>
      </c>
      <c r="AI610">
        <f t="shared" ref="AI610:AI632" si="35">AJ610/24</f>
        <v>4.6814316274812127</v>
      </c>
      <c r="AJ610" s="64">
        <v>112.3543590595491</v>
      </c>
      <c r="AK610" t="str">
        <f t="shared" si="33"/>
        <v xml:space="preserve"> </v>
      </c>
      <c r="AM610" s="56">
        <v>579</v>
      </c>
      <c r="AN610" s="56">
        <f t="shared" si="34"/>
        <v>0.12157513399473885</v>
      </c>
    </row>
    <row r="611" spans="14:40" x14ac:dyDescent="0.25">
      <c r="N611" s="14">
        <v>193</v>
      </c>
      <c r="O611" s="14">
        <v>1.06989</v>
      </c>
      <c r="P611" s="14">
        <f>O611+O610+O609</f>
        <v>3.1619800000000002</v>
      </c>
      <c r="Q611" s="57"/>
      <c r="R611" s="57"/>
      <c r="S611" s="14"/>
      <c r="Z611">
        <v>579</v>
      </c>
      <c r="AA611" s="58">
        <v>94.255077109107233</v>
      </c>
      <c r="AB611" s="59">
        <v>16.376401905777833</v>
      </c>
      <c r="AC611" s="59">
        <v>110.63147901488506</v>
      </c>
      <c r="AD611" s="60">
        <v>77.878675203329408</v>
      </c>
      <c r="AE611" s="61">
        <v>0.226979737784897</v>
      </c>
      <c r="AF611" s="62">
        <v>5.4206568556185525E-2</v>
      </c>
      <c r="AG611" s="62">
        <v>0.28118630634108255</v>
      </c>
      <c r="AH611" s="63">
        <v>0.17277316922871147</v>
      </c>
      <c r="AI611">
        <f t="shared" si="35"/>
        <v>3.4328663667697903</v>
      </c>
      <c r="AJ611" s="64">
        <v>82.388792802474967</v>
      </c>
      <c r="AK611" t="str">
        <f t="shared" si="33"/>
        <v xml:space="preserve"> </v>
      </c>
      <c r="AM611" s="56">
        <v>580</v>
      </c>
      <c r="AN611" s="56">
        <f t="shared" si="34"/>
        <v>0.12157513399472464</v>
      </c>
    </row>
    <row r="612" spans="14:40" x14ac:dyDescent="0.25">
      <c r="N612" s="14">
        <v>193.333</v>
      </c>
      <c r="O612" s="14">
        <v>1.0519799999999999</v>
      </c>
      <c r="P612">
        <v>0</v>
      </c>
      <c r="Q612" s="57"/>
      <c r="R612" s="57"/>
      <c r="S612" s="14"/>
      <c r="Z612">
        <v>580</v>
      </c>
      <c r="AA612" s="58">
        <v>94.133501975112495</v>
      </c>
      <c r="AB612" s="59">
        <v>16.393030483639954</v>
      </c>
      <c r="AC612" s="59">
        <v>110.52653245875246</v>
      </c>
      <c r="AD612" s="60">
        <v>77.740471491472533</v>
      </c>
      <c r="AE612" s="61">
        <v>0.22668567115192953</v>
      </c>
      <c r="AF612" s="62">
        <v>5.4197012036254433E-2</v>
      </c>
      <c r="AG612" s="62">
        <v>0.28088268318818399</v>
      </c>
      <c r="AH612" s="63">
        <v>0.1724886591156751</v>
      </c>
      <c r="AI612">
        <f t="shared" si="35"/>
        <v>2.156013833614955</v>
      </c>
      <c r="AJ612" s="64">
        <v>51.744332006758917</v>
      </c>
      <c r="AK612" t="str">
        <f t="shared" si="33"/>
        <v xml:space="preserve"> </v>
      </c>
      <c r="AM612" s="56">
        <v>581</v>
      </c>
      <c r="AN612" s="56">
        <f t="shared" si="34"/>
        <v>0.12157513399473885</v>
      </c>
    </row>
    <row r="613" spans="14:40" x14ac:dyDescent="0.25">
      <c r="N613" s="14">
        <v>193.667</v>
      </c>
      <c r="O613" s="14">
        <v>1.0445599999999999</v>
      </c>
      <c r="P613">
        <v>0</v>
      </c>
      <c r="Q613" s="57"/>
      <c r="R613" s="57"/>
      <c r="S613" s="14"/>
      <c r="Z613">
        <v>581</v>
      </c>
      <c r="AA613" s="58">
        <v>94.01192684111777</v>
      </c>
      <c r="AB613" s="59">
        <v>16.411473104018224</v>
      </c>
      <c r="AC613" s="59">
        <v>110.423399945136</v>
      </c>
      <c r="AD613" s="60">
        <v>77.600453737099542</v>
      </c>
      <c r="AE613" s="61">
        <v>0.22639160451896212</v>
      </c>
      <c r="AF613" s="62">
        <v>5.4190756331112887E-2</v>
      </c>
      <c r="AG613" s="62">
        <v>0.28058236085007499</v>
      </c>
      <c r="AH613" s="63">
        <v>0.17220084818784923</v>
      </c>
      <c r="AI613">
        <f t="shared" si="35"/>
        <v>0.87916130046011887</v>
      </c>
      <c r="AJ613" s="64">
        <v>21.099871211042853</v>
      </c>
      <c r="AK613" t="str">
        <f t="shared" si="33"/>
        <v xml:space="preserve"> </v>
      </c>
      <c r="AM613" s="56">
        <v>582</v>
      </c>
      <c r="AN613" s="56">
        <f t="shared" si="34"/>
        <v>0.10238334080621314</v>
      </c>
    </row>
    <row r="614" spans="14:40" x14ac:dyDescent="0.25">
      <c r="N614" s="14">
        <v>194</v>
      </c>
      <c r="O614" s="14">
        <v>1.0765199999999999</v>
      </c>
      <c r="P614" s="14">
        <f>O614+O613+O612</f>
        <v>3.17306</v>
      </c>
      <c r="Q614" s="57"/>
      <c r="R614" s="57"/>
      <c r="S614" s="14"/>
      <c r="Z614">
        <v>582</v>
      </c>
      <c r="AA614" s="58">
        <v>93.890351707123031</v>
      </c>
      <c r="AB614" s="59">
        <v>16.431723658784879</v>
      </c>
      <c r="AC614" s="59">
        <v>110.32207536590791</v>
      </c>
      <c r="AD614" s="60">
        <v>77.458628048338156</v>
      </c>
      <c r="AE614" s="61">
        <v>0.22609753788599465</v>
      </c>
      <c r="AF614" s="62">
        <v>5.4187802583948196E-2</v>
      </c>
      <c r="AG614" s="62">
        <v>0.28028534046994286</v>
      </c>
      <c r="AH614" s="63">
        <v>0.17190973530204645</v>
      </c>
      <c r="AI614">
        <f t="shared" si="35"/>
        <v>5.5853743415166385E-2</v>
      </c>
      <c r="AJ614" s="64">
        <v>1.3404898419639932</v>
      </c>
      <c r="AK614" t="str">
        <f t="shared" si="33"/>
        <v xml:space="preserve"> </v>
      </c>
      <c r="AM614" s="56">
        <v>583</v>
      </c>
      <c r="AN614" s="56">
        <f t="shared" si="34"/>
        <v>6.4990331381267197E-2</v>
      </c>
    </row>
    <row r="615" spans="14:40" x14ac:dyDescent="0.25">
      <c r="N615" s="14">
        <v>194.333</v>
      </c>
      <c r="O615" s="14">
        <v>1.04786</v>
      </c>
      <c r="P615">
        <v>0</v>
      </c>
      <c r="Q615" s="57"/>
      <c r="R615" s="57"/>
      <c r="S615" s="14"/>
      <c r="Z615">
        <v>583</v>
      </c>
      <c r="AA615" s="58">
        <v>93.787968366316818</v>
      </c>
      <c r="AB615" s="59">
        <v>16.433658245746138</v>
      </c>
      <c r="AC615" s="59">
        <v>110.22162661206295</v>
      </c>
      <c r="AD615" s="60">
        <v>77.354310120570688</v>
      </c>
      <c r="AE615" s="61">
        <v>0.2258465784684717</v>
      </c>
      <c r="AF615" s="62">
        <v>5.4143527066237734E-2</v>
      </c>
      <c r="AG615" s="62">
        <v>0.27999010553470943</v>
      </c>
      <c r="AH615" s="63">
        <v>0.17170305140223396</v>
      </c>
      <c r="AI615">
        <f t="shared" si="35"/>
        <v>0.13208775864969549</v>
      </c>
      <c r="AJ615" s="64">
        <v>3.1701062075926916</v>
      </c>
      <c r="AK615" t="str">
        <f t="shared" si="33"/>
        <v xml:space="preserve"> </v>
      </c>
      <c r="AM615" s="56">
        <v>584</v>
      </c>
      <c r="AN615" s="56">
        <f t="shared" si="34"/>
        <v>4.3848036305888627E-2</v>
      </c>
    </row>
    <row r="616" spans="14:40" x14ac:dyDescent="0.25">
      <c r="N616" s="14">
        <v>194.667</v>
      </c>
      <c r="O616" s="14">
        <v>1.0334700000000001</v>
      </c>
      <c r="P616">
        <v>0</v>
      </c>
      <c r="Q616" s="57"/>
      <c r="R616" s="57"/>
      <c r="S616" s="14"/>
      <c r="Z616">
        <v>584</v>
      </c>
      <c r="AA616" s="58">
        <v>93.722978034935551</v>
      </c>
      <c r="AB616" s="59">
        <v>16.399100645415405</v>
      </c>
      <c r="AC616" s="59">
        <v>110.12207868035095</v>
      </c>
      <c r="AD616" s="60">
        <v>77.323877389520149</v>
      </c>
      <c r="AE616" s="61">
        <v>0.22567960851965371</v>
      </c>
      <c r="AF616" s="62">
        <v>5.4016918366709639E-2</v>
      </c>
      <c r="AG616" s="62">
        <v>0.27969652688636337</v>
      </c>
      <c r="AH616" s="63">
        <v>0.17166269015294408</v>
      </c>
      <c r="AI616">
        <f t="shared" si="35"/>
        <v>0.23280569309259916</v>
      </c>
      <c r="AJ616" s="64">
        <v>5.58733663422238</v>
      </c>
      <c r="AK616" t="str">
        <f t="shared" si="33"/>
        <v xml:space="preserve"> </v>
      </c>
      <c r="AM616" s="56">
        <v>585</v>
      </c>
      <c r="AN616" s="56">
        <f t="shared" si="34"/>
        <v>4.503340051030591E-3</v>
      </c>
    </row>
    <row r="617" spans="14:40" x14ac:dyDescent="0.25">
      <c r="N617" s="14">
        <v>195</v>
      </c>
      <c r="O617" s="14">
        <v>1.06749</v>
      </c>
      <c r="P617" s="14">
        <f>O617+O616+O615</f>
        <v>3.1488200000000002</v>
      </c>
      <c r="Q617" s="57"/>
      <c r="R617" s="57"/>
      <c r="S617" s="14"/>
      <c r="Z617">
        <v>585</v>
      </c>
      <c r="AA617" s="58">
        <v>93.679129998629662</v>
      </c>
      <c r="AB617" s="59">
        <v>16.357042087677005</v>
      </c>
      <c r="AC617" s="59">
        <v>110.03617208630666</v>
      </c>
      <c r="AD617" s="60">
        <v>77.322087910952661</v>
      </c>
      <c r="AE617" s="61">
        <v>0.22555972526780446</v>
      </c>
      <c r="AF617" s="62">
        <v>5.3862612426515528E-2</v>
      </c>
      <c r="AG617" s="62">
        <v>0.27942233769432001</v>
      </c>
      <c r="AH617" s="63">
        <v>0.17169711284128894</v>
      </c>
      <c r="AI617">
        <f t="shared" si="35"/>
        <v>0.33352362753550285</v>
      </c>
      <c r="AJ617" s="64">
        <v>8.004567060852068</v>
      </c>
      <c r="AK617" t="str">
        <f t="shared" si="33"/>
        <v xml:space="preserve"> </v>
      </c>
      <c r="AM617" s="56">
        <v>586</v>
      </c>
      <c r="AN617" s="56">
        <f t="shared" si="34"/>
        <v>-3.537931905779601E-2</v>
      </c>
    </row>
    <row r="618" spans="14:40" x14ac:dyDescent="0.25">
      <c r="N618" s="14">
        <v>195.333</v>
      </c>
      <c r="O618" s="14">
        <v>1.05193</v>
      </c>
      <c r="P618">
        <v>0</v>
      </c>
      <c r="Q618" s="57"/>
      <c r="R618" s="57"/>
      <c r="S618" s="14"/>
      <c r="Z618">
        <v>586</v>
      </c>
      <c r="AA618" s="58">
        <v>93.674626658578632</v>
      </c>
      <c r="AB618" s="59">
        <v>16.299718642997298</v>
      </c>
      <c r="AC618" s="59">
        <v>109.97434530157594</v>
      </c>
      <c r="AD618" s="60">
        <v>77.374908015581326</v>
      </c>
      <c r="AE618" s="61">
        <v>0.22552743204638526</v>
      </c>
      <c r="AF618" s="62">
        <v>5.3654124842897347E-2</v>
      </c>
      <c r="AG618" s="62">
        <v>0.27918155688928259</v>
      </c>
      <c r="AH618" s="63">
        <v>0.17187330720348792</v>
      </c>
      <c r="AI618">
        <f t="shared" si="35"/>
        <v>0.43424156197840652</v>
      </c>
      <c r="AJ618" s="64">
        <v>10.421797487481756</v>
      </c>
      <c r="AK618" t="str">
        <f t="shared" si="33"/>
        <v xml:space="preserve"> </v>
      </c>
      <c r="AM618" s="56">
        <v>587</v>
      </c>
      <c r="AN618" s="56">
        <f t="shared" si="34"/>
        <v>-0.11001081325906625</v>
      </c>
    </row>
    <row r="619" spans="14:40" x14ac:dyDescent="0.25">
      <c r="N619" s="14">
        <v>195.667</v>
      </c>
      <c r="O619" s="14">
        <v>1.0294700000000001</v>
      </c>
      <c r="P619">
        <v>0</v>
      </c>
      <c r="Q619" s="57"/>
      <c r="R619" s="57"/>
      <c r="S619" s="14"/>
      <c r="Z619">
        <v>587</v>
      </c>
      <c r="AA619" s="58">
        <v>93.710005977636428</v>
      </c>
      <c r="AB619" s="59">
        <v>16.19406732327591</v>
      </c>
      <c r="AC619" s="59">
        <v>109.90407330091233</v>
      </c>
      <c r="AD619" s="60">
        <v>77.515938654360525</v>
      </c>
      <c r="AE619" s="61">
        <v>0.22559183536090277</v>
      </c>
      <c r="AF619" s="62">
        <v>5.336174531158077E-2</v>
      </c>
      <c r="AG619" s="62">
        <v>0.27895358067248355</v>
      </c>
      <c r="AH619" s="63">
        <v>0.17223009004932199</v>
      </c>
      <c r="AI619">
        <f t="shared" si="35"/>
        <v>0.53495949642131013</v>
      </c>
      <c r="AJ619" s="64">
        <v>12.839027914111444</v>
      </c>
      <c r="AK619" t="str">
        <f t="shared" si="33"/>
        <v xml:space="preserve"> </v>
      </c>
      <c r="AM619" s="56">
        <v>588</v>
      </c>
      <c r="AN619" s="56">
        <f t="shared" si="34"/>
        <v>-0.12466443102213987</v>
      </c>
    </row>
    <row r="620" spans="14:40" x14ac:dyDescent="0.25">
      <c r="N620" s="14">
        <v>196</v>
      </c>
      <c r="O620" s="14">
        <v>1.0568</v>
      </c>
      <c r="P620" s="14">
        <f>O620+O619+O618</f>
        <v>3.1381999999999999</v>
      </c>
      <c r="Q620" s="57"/>
      <c r="R620" s="57"/>
      <c r="S620" s="14"/>
      <c r="Z620">
        <v>588</v>
      </c>
      <c r="AA620" s="58">
        <v>93.820016790895494</v>
      </c>
      <c r="AB620" s="59">
        <v>15.990875311427427</v>
      </c>
      <c r="AC620" s="59">
        <v>109.81089210232292</v>
      </c>
      <c r="AD620" s="60">
        <v>77.829141479468063</v>
      </c>
      <c r="AE620" s="61">
        <v>0.22583757326182072</v>
      </c>
      <c r="AF620" s="62">
        <v>5.2902707167123024E-2</v>
      </c>
      <c r="AG620" s="62">
        <v>0.27874028042894372</v>
      </c>
      <c r="AH620" s="63">
        <v>0.17293486609469769</v>
      </c>
      <c r="AI620">
        <f t="shared" si="35"/>
        <v>0.6356774308642138</v>
      </c>
      <c r="AJ620" s="64">
        <v>15.25625834074113</v>
      </c>
      <c r="AK620" t="str">
        <f t="shared" si="33"/>
        <v xml:space="preserve"> </v>
      </c>
      <c r="AM620" s="56">
        <v>589</v>
      </c>
      <c r="AN620" s="56">
        <f t="shared" si="34"/>
        <v>-0.14967724533819649</v>
      </c>
    </row>
    <row r="621" spans="14:40" x14ac:dyDescent="0.25">
      <c r="N621" s="14">
        <v>196.333</v>
      </c>
      <c r="O621" s="14">
        <v>1.0437099999999999</v>
      </c>
      <c r="P621">
        <v>0</v>
      </c>
      <c r="Q621" s="57"/>
      <c r="R621" s="57"/>
      <c r="S621" s="14"/>
      <c r="Z621">
        <v>589</v>
      </c>
      <c r="AA621" s="58">
        <v>93.944681221917634</v>
      </c>
      <c r="AB621" s="59">
        <v>15.78384997651332</v>
      </c>
      <c r="AC621" s="59">
        <v>109.72853119843096</v>
      </c>
      <c r="AD621" s="60">
        <v>78.16083124540431</v>
      </c>
      <c r="AE621" s="61">
        <v>0.22611662345120664</v>
      </c>
      <c r="AF621" s="62">
        <v>5.242897525484233E-2</v>
      </c>
      <c r="AG621" s="62">
        <v>0.278545598706049</v>
      </c>
      <c r="AH621" s="63">
        <v>0.17368764819636431</v>
      </c>
      <c r="AI621">
        <f t="shared" si="35"/>
        <v>0.73639536530711747</v>
      </c>
      <c r="AJ621" s="64">
        <v>17.67348876737082</v>
      </c>
      <c r="AK621" t="str">
        <f t="shared" si="33"/>
        <v xml:space="preserve"> </v>
      </c>
      <c r="AM621" s="56">
        <v>590</v>
      </c>
      <c r="AN621" s="56">
        <f t="shared" si="34"/>
        <v>-0.15032929312302201</v>
      </c>
    </row>
    <row r="622" spans="14:40" x14ac:dyDescent="0.25">
      <c r="N622" s="14">
        <v>196.667</v>
      </c>
      <c r="O622" s="14">
        <v>1.0376000000000001</v>
      </c>
      <c r="P622">
        <v>0</v>
      </c>
      <c r="Q622" s="57"/>
      <c r="R622" s="57"/>
      <c r="S622" s="14"/>
      <c r="Z622">
        <v>590</v>
      </c>
      <c r="AA622" s="58">
        <v>94.09435846725583</v>
      </c>
      <c r="AB622" s="59">
        <v>15.572926493365953</v>
      </c>
      <c r="AC622" s="59">
        <v>109.66728496062179</v>
      </c>
      <c r="AD622" s="60">
        <v>78.521431973889875</v>
      </c>
      <c r="AE622" s="61">
        <v>0.226451970235692</v>
      </c>
      <c r="AF622" s="62">
        <v>5.1931844754885388E-2</v>
      </c>
      <c r="AG622" s="62">
        <v>0.27838381499057741</v>
      </c>
      <c r="AH622" s="63">
        <v>0.17452012548080661</v>
      </c>
      <c r="AI622">
        <f t="shared" si="35"/>
        <v>0.83711329975002113</v>
      </c>
      <c r="AJ622" s="64">
        <v>20.090719194000506</v>
      </c>
      <c r="AK622" t="str">
        <f t="shared" si="33"/>
        <v xml:space="preserve"> </v>
      </c>
      <c r="AM622" s="56">
        <v>591</v>
      </c>
      <c r="AN622" s="56">
        <f t="shared" si="34"/>
        <v>-0.15032929312302201</v>
      </c>
    </row>
    <row r="623" spans="14:40" x14ac:dyDescent="0.25">
      <c r="N623" s="14">
        <v>197</v>
      </c>
      <c r="O623" s="14">
        <v>1.0446599999999999</v>
      </c>
      <c r="P623" s="14">
        <f>O623+O622+O621</f>
        <v>3.1259699999999997</v>
      </c>
      <c r="Q623" s="57"/>
      <c r="R623" s="57"/>
      <c r="S623" s="14"/>
      <c r="Z623">
        <v>591</v>
      </c>
      <c r="AA623" s="58">
        <v>94.244687760378852</v>
      </c>
      <c r="AB623" s="59">
        <v>15.362458448814008</v>
      </c>
      <c r="AC623" s="59">
        <v>109.60714620919286</v>
      </c>
      <c r="AD623" s="60">
        <v>78.882229311564842</v>
      </c>
      <c r="AE623" s="61">
        <v>0.22678878459074589</v>
      </c>
      <c r="AF623" s="62">
        <v>5.1435351047312151E-2</v>
      </c>
      <c r="AG623" s="62">
        <v>0.27822413563805803</v>
      </c>
      <c r="AH623" s="63">
        <v>0.17535343354343375</v>
      </c>
      <c r="AI623">
        <f t="shared" si="35"/>
        <v>0.93783123419292502</v>
      </c>
      <c r="AJ623" s="64">
        <v>22.5079496206302</v>
      </c>
      <c r="AK623" t="str">
        <f t="shared" si="33"/>
        <v xml:space="preserve"> </v>
      </c>
      <c r="AM623" s="56">
        <v>592</v>
      </c>
      <c r="AN623" s="56">
        <f t="shared" si="34"/>
        <v>-0.15032929312302201</v>
      </c>
    </row>
    <row r="624" spans="14:40" x14ac:dyDescent="0.25">
      <c r="N624" s="14">
        <v>197.333</v>
      </c>
      <c r="O624" s="14">
        <v>1.0388599999999999</v>
      </c>
      <c r="P624">
        <v>0</v>
      </c>
      <c r="Q624" s="57"/>
      <c r="R624" s="57"/>
      <c r="S624" s="14"/>
      <c r="Z624">
        <v>592</v>
      </c>
      <c r="AA624" s="58">
        <v>94.395017053501874</v>
      </c>
      <c r="AB624" s="59">
        <v>15.152587508916413</v>
      </c>
      <c r="AC624" s="59">
        <v>109.54760456241829</v>
      </c>
      <c r="AD624" s="60">
        <v>79.242429544585463</v>
      </c>
      <c r="AE624" s="61">
        <v>0.22712559894579976</v>
      </c>
      <c r="AF624" s="62">
        <v>5.0940180785020314E-2</v>
      </c>
      <c r="AG624" s="62">
        <v>0.27806577973082008</v>
      </c>
      <c r="AH624" s="63">
        <v>0.17618541816077943</v>
      </c>
      <c r="AI624">
        <f t="shared" si="35"/>
        <v>1.0385491686358284</v>
      </c>
      <c r="AJ624" s="64">
        <v>24.925180047259882</v>
      </c>
      <c r="AK624" t="str">
        <f t="shared" si="33"/>
        <v xml:space="preserve"> </v>
      </c>
      <c r="AM624" s="56">
        <v>593</v>
      </c>
      <c r="AN624" s="56">
        <f t="shared" si="34"/>
        <v>-0.1503292931230078</v>
      </c>
    </row>
    <row r="625" spans="14:40" x14ac:dyDescent="0.25">
      <c r="N625" s="14">
        <v>197.667</v>
      </c>
      <c r="O625" s="14">
        <v>1.04678</v>
      </c>
      <c r="P625">
        <v>0</v>
      </c>
      <c r="Q625" s="57"/>
      <c r="R625" s="57"/>
      <c r="S625" s="14"/>
      <c r="Z625">
        <v>593</v>
      </c>
      <c r="AA625" s="58">
        <v>94.545346346624896</v>
      </c>
      <c r="AB625" s="59">
        <v>14.943338831709381</v>
      </c>
      <c r="AC625" s="59">
        <v>109.48868517833428</v>
      </c>
      <c r="AD625" s="60">
        <v>79.602007514915513</v>
      </c>
      <c r="AE625" s="61">
        <v>0.22746241330085362</v>
      </c>
      <c r="AF625" s="62">
        <v>5.044637293994958E-2</v>
      </c>
      <c r="AG625" s="62">
        <v>0.27790878624080317</v>
      </c>
      <c r="AH625" s="63">
        <v>0.17701604036090404</v>
      </c>
      <c r="AI625">
        <f t="shared" si="35"/>
        <v>1.1392671030787322</v>
      </c>
      <c r="AJ625" s="64">
        <v>27.342410473889572</v>
      </c>
      <c r="AK625" t="str">
        <f t="shared" si="33"/>
        <v xml:space="preserve"> </v>
      </c>
      <c r="AM625" s="56">
        <v>594</v>
      </c>
      <c r="AN625" s="56">
        <f t="shared" si="34"/>
        <v>-0.15032929312302201</v>
      </c>
    </row>
    <row r="626" spans="14:40" x14ac:dyDescent="0.25">
      <c r="N626" s="14">
        <v>198</v>
      </c>
      <c r="O626" s="14">
        <v>1.0513399999999999</v>
      </c>
      <c r="P626" s="14">
        <f>O626+O625+O624</f>
        <v>3.1369799999999994</v>
      </c>
      <c r="Q626" s="57"/>
      <c r="R626" s="57"/>
      <c r="S626" s="14"/>
      <c r="Z626">
        <v>594</v>
      </c>
      <c r="AA626" s="58">
        <v>94.695675639747904</v>
      </c>
      <c r="AB626" s="59">
        <v>14.73473892755697</v>
      </c>
      <c r="AC626" s="59">
        <v>109.43041456730488</v>
      </c>
      <c r="AD626" s="60">
        <v>79.960936712190929</v>
      </c>
      <c r="AE626" s="61">
        <v>0.22779922765590749</v>
      </c>
      <c r="AF626" s="62">
        <v>4.9953967915652105E-2</v>
      </c>
      <c r="AG626" s="62">
        <v>0.27775319557155959</v>
      </c>
      <c r="AH626" s="63">
        <v>0.17784525974025539</v>
      </c>
      <c r="AI626">
        <f t="shared" si="35"/>
        <v>1.2399850375216359</v>
      </c>
      <c r="AJ626" s="64">
        <v>29.759640900519262</v>
      </c>
      <c r="AK626" t="str">
        <f t="shared" si="33"/>
        <v xml:space="preserve"> </v>
      </c>
      <c r="AM626" s="56">
        <v>595</v>
      </c>
      <c r="AN626" s="56">
        <f t="shared" si="34"/>
        <v>-0.1503292931230078</v>
      </c>
    </row>
    <row r="627" spans="14:40" x14ac:dyDescent="0.25">
      <c r="N627" s="14">
        <v>198.333</v>
      </c>
      <c r="O627" s="14">
        <v>1.0244200000000001</v>
      </c>
      <c r="P627">
        <v>0</v>
      </c>
      <c r="Q627" s="57"/>
      <c r="R627" s="57"/>
      <c r="S627" s="14"/>
      <c r="Z627">
        <v>595</v>
      </c>
      <c r="AA627" s="58">
        <v>94.846004932870926</v>
      </c>
      <c r="AB627" s="59">
        <v>14.526815744935799</v>
      </c>
      <c r="AC627" s="59">
        <v>109.37282067780673</v>
      </c>
      <c r="AD627" s="60">
        <v>80.319189187935123</v>
      </c>
      <c r="AE627" s="61">
        <v>0.22813604201096135</v>
      </c>
      <c r="AF627" s="62">
        <v>4.9463007607454139E-2</v>
      </c>
      <c r="AG627" s="62">
        <v>0.27759904961841547</v>
      </c>
      <c r="AH627" s="63">
        <v>0.17867303440350721</v>
      </c>
      <c r="AI627">
        <f t="shared" si="35"/>
        <v>1.9328982850237353</v>
      </c>
      <c r="AJ627" s="64">
        <v>46.389558840569649</v>
      </c>
      <c r="AK627" t="str">
        <f t="shared" si="33"/>
        <v xml:space="preserve"> </v>
      </c>
      <c r="AM627" s="56">
        <v>596</v>
      </c>
      <c r="AN627" s="56">
        <f t="shared" si="34"/>
        <v>-0.15032929312303622</v>
      </c>
    </row>
    <row r="628" spans="14:40" x14ac:dyDescent="0.25">
      <c r="N628" s="14">
        <v>198.667</v>
      </c>
      <c r="O628" s="14">
        <v>1.03243</v>
      </c>
      <c r="P628">
        <v>0</v>
      </c>
      <c r="Q628" s="57"/>
      <c r="R628" s="57"/>
      <c r="S628" s="14"/>
      <c r="Z628">
        <v>596</v>
      </c>
      <c r="AA628" s="58">
        <v>94.996334225993934</v>
      </c>
      <c r="AB628" s="59">
        <v>14.319598762236668</v>
      </c>
      <c r="AC628" s="59">
        <v>109.3159329882306</v>
      </c>
      <c r="AD628" s="60">
        <v>80.676735463757268</v>
      </c>
      <c r="AE628" s="61">
        <v>0.22847285636601525</v>
      </c>
      <c r="AF628" s="62">
        <v>4.897353546526715E-2</v>
      </c>
      <c r="AG628" s="62">
        <v>0.27744639183128239</v>
      </c>
      <c r="AH628" s="63">
        <v>0.1794993209007481</v>
      </c>
      <c r="AI628">
        <f t="shared" si="35"/>
        <v>3.8089907907968588</v>
      </c>
      <c r="AJ628" s="64">
        <v>91.41577897912461</v>
      </c>
      <c r="AK628" t="str">
        <f t="shared" si="33"/>
        <v xml:space="preserve"> </v>
      </c>
      <c r="AM628" s="56">
        <v>597</v>
      </c>
      <c r="AN628" s="56">
        <f t="shared" si="34"/>
        <v>-0.15891587770545357</v>
      </c>
    </row>
    <row r="629" spans="14:40" x14ac:dyDescent="0.25">
      <c r="N629" s="14">
        <v>199</v>
      </c>
      <c r="O629" s="14">
        <v>1.0581499999999999</v>
      </c>
      <c r="P629" s="14">
        <f>O629+O628+O627</f>
        <v>3.1150000000000002</v>
      </c>
      <c r="Q629" s="57"/>
      <c r="R629" s="57"/>
      <c r="S629" s="14"/>
      <c r="Z629">
        <v>597</v>
      </c>
      <c r="AA629" s="58">
        <v>95.14666351911697</v>
      </c>
      <c r="AB629" s="59">
        <v>14.113119086001296</v>
      </c>
      <c r="AC629" s="59">
        <v>109.25978260511826</v>
      </c>
      <c r="AD629" s="60">
        <v>81.033544433115679</v>
      </c>
      <c r="AE629" s="61">
        <v>0.22880967072106914</v>
      </c>
      <c r="AF629" s="62">
        <v>4.8485596559143744E-2</v>
      </c>
      <c r="AG629" s="62">
        <v>0.27729526728021286</v>
      </c>
      <c r="AH629" s="63">
        <v>0.18032407416192539</v>
      </c>
      <c r="AI629">
        <f t="shared" si="35"/>
        <v>4.977499147696772</v>
      </c>
      <c r="AJ629" s="64">
        <v>119.45997954472253</v>
      </c>
      <c r="AK629" t="str">
        <f t="shared" si="33"/>
        <v xml:space="preserve"> </v>
      </c>
      <c r="AM629" s="56">
        <v>598</v>
      </c>
      <c r="AN629" s="56">
        <f t="shared" si="34"/>
        <v>-0.17580598388059343</v>
      </c>
    </row>
    <row r="630" spans="14:40" x14ac:dyDescent="0.25">
      <c r="N630" s="14">
        <v>199.333</v>
      </c>
      <c r="O630" s="14">
        <v>1.0353399999999999</v>
      </c>
      <c r="P630">
        <v>0</v>
      </c>
      <c r="Q630" s="57"/>
      <c r="R630" s="57"/>
      <c r="S630" s="14"/>
      <c r="Z630">
        <v>598</v>
      </c>
      <c r="AA630" s="58">
        <v>95.305579396822424</v>
      </c>
      <c r="AB630" s="59">
        <v>13.900570751455557</v>
      </c>
      <c r="AC630" s="59">
        <v>109.20615014827798</v>
      </c>
      <c r="AD630" s="60">
        <v>81.405008645366863</v>
      </c>
      <c r="AE630" s="61">
        <v>0.22916657680822455</v>
      </c>
      <c r="AF630" s="62">
        <v>4.7985441998050285E-2</v>
      </c>
      <c r="AG630" s="62">
        <v>0.27715201880627482</v>
      </c>
      <c r="AH630" s="63">
        <v>0.18118113481017428</v>
      </c>
      <c r="AI630">
        <f t="shared" si="35"/>
        <v>4.7066811146427137</v>
      </c>
      <c r="AJ630" s="64">
        <v>112.96034675142512</v>
      </c>
      <c r="AK630" t="str">
        <f t="shared" si="33"/>
        <v xml:space="preserve"> </v>
      </c>
      <c r="AM630" s="56">
        <v>599</v>
      </c>
      <c r="AN630" s="56">
        <f t="shared" si="34"/>
        <v>-0.17625503277734822</v>
      </c>
    </row>
    <row r="631" spans="14:40" x14ac:dyDescent="0.25">
      <c r="N631" s="14">
        <v>199.667</v>
      </c>
      <c r="O631" s="14">
        <v>1.01922</v>
      </c>
      <c r="P631">
        <v>0</v>
      </c>
      <c r="Q631" s="57"/>
      <c r="R631" s="57"/>
      <c r="S631" s="14"/>
      <c r="Z631">
        <v>599</v>
      </c>
      <c r="AA631" s="58">
        <v>95.481385380703017</v>
      </c>
      <c r="AB631" s="59">
        <v>13.675026699431193</v>
      </c>
      <c r="AC631" s="59">
        <v>109.1564120801342</v>
      </c>
      <c r="AD631" s="60">
        <v>81.806358681271831</v>
      </c>
      <c r="AE631" s="61">
        <v>0.22956300402105939</v>
      </c>
      <c r="AF631" s="62">
        <v>4.7459348986141389E-2</v>
      </c>
      <c r="AG631" s="62">
        <v>0.27702235300720079</v>
      </c>
      <c r="AH631" s="63">
        <v>0.18210365503491799</v>
      </c>
      <c r="AI631">
        <f t="shared" si="35"/>
        <v>4.398884485899405</v>
      </c>
      <c r="AJ631" s="64">
        <v>105.57322766158572</v>
      </c>
      <c r="AK631" t="str">
        <f t="shared" si="33"/>
        <v xml:space="preserve"> </v>
      </c>
    </row>
    <row r="632" spans="14:40" ht="15.75" thickBot="1" x14ac:dyDescent="0.3">
      <c r="N632" s="14">
        <v>200</v>
      </c>
      <c r="O632" s="14">
        <v>1.05247</v>
      </c>
      <c r="P632" s="14">
        <f>O632+O631+O630</f>
        <v>3.10703</v>
      </c>
      <c r="Q632" s="57"/>
      <c r="R632" s="57"/>
      <c r="S632" s="14"/>
      <c r="AA632" s="65">
        <v>95.657640413480365</v>
      </c>
      <c r="AB632" s="66">
        <v>13.449425991245434</v>
      </c>
      <c r="AC632" s="66">
        <v>109.1070664047258</v>
      </c>
      <c r="AD632" s="67">
        <v>82.208214422234931</v>
      </c>
      <c r="AE632" s="68">
        <v>0.22996048196251001</v>
      </c>
      <c r="AF632" s="69">
        <v>4.6933556451631796E-2</v>
      </c>
      <c r="AG632" s="69">
        <v>0.27689403841414179</v>
      </c>
      <c r="AH632" s="70">
        <v>0.18302692551087821</v>
      </c>
      <c r="AI632">
        <f t="shared" si="35"/>
        <v>2.7992029170888508</v>
      </c>
      <c r="AJ632" s="64">
        <v>67.180870010132423</v>
      </c>
      <c r="AK632">
        <f t="shared" si="33"/>
        <v>2.7992029170888508</v>
      </c>
    </row>
    <row r="633" spans="14:40" x14ac:dyDescent="0.25">
      <c r="N633" s="14">
        <v>200.333</v>
      </c>
      <c r="O633" s="14">
        <v>7.0599500000000003E-11</v>
      </c>
      <c r="P633">
        <v>0</v>
      </c>
      <c r="Q633" s="57"/>
      <c r="R633" s="57"/>
      <c r="S633" s="14"/>
    </row>
    <row r="634" spans="14:40" x14ac:dyDescent="0.25">
      <c r="N634" s="14">
        <v>200.667</v>
      </c>
      <c r="O634" s="14">
        <v>2.8095300000000002E-4</v>
      </c>
      <c r="P634">
        <v>0</v>
      </c>
      <c r="Q634" s="57"/>
      <c r="R634" s="57"/>
      <c r="S634" s="14"/>
    </row>
    <row r="635" spans="14:40" x14ac:dyDescent="0.25">
      <c r="N635" s="14">
        <v>201</v>
      </c>
      <c r="O635" s="14">
        <v>0.62174499999999999</v>
      </c>
      <c r="P635" s="14">
        <f>O635+O634+O633</f>
        <v>0.62202595307059949</v>
      </c>
      <c r="Q635" s="57"/>
      <c r="R635" s="57"/>
      <c r="S635" s="14"/>
    </row>
    <row r="636" spans="14:40" x14ac:dyDescent="0.25">
      <c r="N636" s="14">
        <v>201.333</v>
      </c>
      <c r="O636" s="14">
        <v>0</v>
      </c>
      <c r="P636">
        <v>0</v>
      </c>
      <c r="Q636" s="57"/>
      <c r="R636" s="57"/>
      <c r="S636" s="14"/>
    </row>
    <row r="637" spans="14:40" x14ac:dyDescent="0.25">
      <c r="N637" s="14">
        <v>201.667</v>
      </c>
      <c r="O637" s="14">
        <v>2.9590299999999998</v>
      </c>
      <c r="P637">
        <v>0</v>
      </c>
      <c r="Q637" s="57"/>
      <c r="R637" s="57"/>
      <c r="S637" s="14"/>
    </row>
    <row r="638" spans="14:40" x14ac:dyDescent="0.25">
      <c r="N638" s="14">
        <v>202</v>
      </c>
      <c r="O638" s="14">
        <v>0.66376500000000005</v>
      </c>
      <c r="P638" s="14">
        <f>O638+O637+O636</f>
        <v>3.622795</v>
      </c>
      <c r="Q638" s="57"/>
      <c r="R638" s="57"/>
      <c r="S638" s="14"/>
    </row>
    <row r="639" spans="14:40" x14ac:dyDescent="0.25">
      <c r="N639" s="14">
        <v>202.333</v>
      </c>
      <c r="O639" s="14">
        <v>1.56044</v>
      </c>
      <c r="P639">
        <v>0</v>
      </c>
      <c r="Q639" s="57"/>
      <c r="R639" s="57"/>
      <c r="S639" s="14"/>
    </row>
    <row r="640" spans="14:40" x14ac:dyDescent="0.25">
      <c r="N640" s="14">
        <v>202.667</v>
      </c>
      <c r="O640" s="14">
        <v>1.07239</v>
      </c>
      <c r="P640">
        <v>0</v>
      </c>
      <c r="Q640" s="57"/>
      <c r="R640" s="57"/>
      <c r="S640" s="14"/>
    </row>
    <row r="641" spans="14:19" x14ac:dyDescent="0.25">
      <c r="N641" s="14">
        <v>203</v>
      </c>
      <c r="O641" s="14">
        <v>1.2436700000000001</v>
      </c>
      <c r="P641" s="14">
        <f>O641+O640+O639</f>
        <v>3.8765000000000001</v>
      </c>
      <c r="Q641" s="57"/>
      <c r="R641" s="57"/>
      <c r="S641" s="14"/>
    </row>
    <row r="642" spans="14:19" x14ac:dyDescent="0.25">
      <c r="N642" s="14">
        <v>203.333</v>
      </c>
      <c r="O642" s="14">
        <v>1.2188600000000001</v>
      </c>
      <c r="P642">
        <v>0</v>
      </c>
      <c r="Q642" s="57"/>
      <c r="R642" s="57"/>
      <c r="S642" s="14"/>
    </row>
    <row r="643" spans="14:19" x14ac:dyDescent="0.25">
      <c r="N643" s="14">
        <v>203.667</v>
      </c>
      <c r="O643" s="14">
        <v>1.18299</v>
      </c>
      <c r="P643">
        <v>0</v>
      </c>
      <c r="Q643" s="57"/>
      <c r="R643" s="57"/>
      <c r="S643" s="14"/>
    </row>
    <row r="644" spans="14:19" x14ac:dyDescent="0.25">
      <c r="N644" s="14">
        <v>204</v>
      </c>
      <c r="O644" s="14">
        <v>1.2584500000000001</v>
      </c>
      <c r="P644" s="14">
        <f>O644+O643+O642</f>
        <v>3.6603000000000003</v>
      </c>
      <c r="Q644" s="57"/>
      <c r="R644" s="57"/>
      <c r="S644" s="14"/>
    </row>
    <row r="645" spans="14:19" x14ac:dyDescent="0.25">
      <c r="N645" s="14">
        <v>204.333</v>
      </c>
      <c r="O645" s="14">
        <v>1.19781</v>
      </c>
      <c r="P645">
        <v>0</v>
      </c>
      <c r="Q645" s="57"/>
      <c r="R645" s="57"/>
      <c r="S645" s="14"/>
    </row>
    <row r="646" spans="14:19" x14ac:dyDescent="0.25">
      <c r="N646" s="14">
        <v>204.667</v>
      </c>
      <c r="O646" s="14">
        <v>1.1960500000000001</v>
      </c>
      <c r="P646">
        <v>0</v>
      </c>
      <c r="Q646" s="57"/>
      <c r="R646" s="57"/>
      <c r="S646" s="14"/>
    </row>
    <row r="647" spans="14:19" x14ac:dyDescent="0.25">
      <c r="N647" s="14">
        <v>205</v>
      </c>
      <c r="O647" s="14">
        <v>1.21448</v>
      </c>
      <c r="P647" s="14">
        <f>O647+O646+O645</f>
        <v>3.6083400000000001</v>
      </c>
      <c r="Q647" s="57"/>
      <c r="R647" s="57"/>
      <c r="S647" s="14"/>
    </row>
    <row r="648" spans="14:19" x14ac:dyDescent="0.25">
      <c r="N648" s="14">
        <v>205.333</v>
      </c>
      <c r="O648" s="14">
        <v>1.2168600000000001</v>
      </c>
      <c r="P648">
        <v>0</v>
      </c>
      <c r="Q648" s="57"/>
      <c r="R648" s="57"/>
      <c r="S648" s="14"/>
    </row>
    <row r="649" spans="14:19" x14ac:dyDescent="0.25">
      <c r="N649" s="14">
        <v>205.667</v>
      </c>
      <c r="O649" s="14">
        <v>1.19842</v>
      </c>
      <c r="P649">
        <v>0</v>
      </c>
      <c r="Q649" s="57"/>
      <c r="R649" s="57"/>
      <c r="S649" s="14"/>
    </row>
    <row r="650" spans="14:19" x14ac:dyDescent="0.25">
      <c r="N650" s="14">
        <v>206</v>
      </c>
      <c r="O650" s="14">
        <v>1.20068</v>
      </c>
      <c r="P650" s="14">
        <f>O650+O649+O648</f>
        <v>3.6159599999999998</v>
      </c>
      <c r="Q650" s="57"/>
      <c r="R650" s="57"/>
      <c r="S650" s="14"/>
    </row>
    <row r="651" spans="14:19" x14ac:dyDescent="0.25">
      <c r="N651" s="14">
        <v>206.333</v>
      </c>
      <c r="O651" s="14">
        <v>1.2095800000000001</v>
      </c>
      <c r="P651">
        <v>0</v>
      </c>
      <c r="Q651" s="57"/>
      <c r="R651" s="57"/>
      <c r="S651" s="14"/>
    </row>
    <row r="652" spans="14:19" x14ac:dyDescent="0.25">
      <c r="N652" s="14">
        <v>206.667</v>
      </c>
      <c r="O652" s="14">
        <v>1.1793</v>
      </c>
      <c r="P652">
        <v>0</v>
      </c>
      <c r="Q652" s="57"/>
      <c r="R652" s="57"/>
      <c r="S652" s="14"/>
    </row>
    <row r="653" spans="14:19" x14ac:dyDescent="0.25">
      <c r="N653" s="14">
        <v>207</v>
      </c>
      <c r="O653" s="14">
        <v>1.2145900000000001</v>
      </c>
      <c r="P653" s="14">
        <f>O653+O652+O651</f>
        <v>3.6034699999999997</v>
      </c>
      <c r="Q653" s="57"/>
      <c r="R653" s="57"/>
      <c r="S653" s="14"/>
    </row>
    <row r="654" spans="14:19" x14ac:dyDescent="0.25">
      <c r="N654" s="14">
        <v>207.333</v>
      </c>
      <c r="O654" s="14">
        <v>1.2038800000000001</v>
      </c>
      <c r="P654">
        <v>0</v>
      </c>
      <c r="Q654" s="57"/>
      <c r="R654" s="57"/>
      <c r="S654" s="14"/>
    </row>
    <row r="655" spans="14:19" x14ac:dyDescent="0.25">
      <c r="N655" s="14">
        <v>207.667</v>
      </c>
      <c r="O655" s="14">
        <v>1.1834800000000001</v>
      </c>
      <c r="P655">
        <v>0</v>
      </c>
      <c r="Q655" s="57"/>
      <c r="R655" s="57"/>
      <c r="S655" s="14"/>
    </row>
    <row r="656" spans="14:19" x14ac:dyDescent="0.25">
      <c r="N656" s="14">
        <v>208</v>
      </c>
      <c r="O656" s="14">
        <v>1.2022999999999999</v>
      </c>
      <c r="P656" s="14">
        <f>O656+O655+O654</f>
        <v>3.5896600000000003</v>
      </c>
      <c r="Q656" s="57"/>
      <c r="R656" s="57"/>
      <c r="S656" s="14"/>
    </row>
    <row r="657" spans="14:19" x14ac:dyDescent="0.25">
      <c r="N657" s="14">
        <v>208.333</v>
      </c>
      <c r="O657" s="14">
        <v>1.1819200000000001</v>
      </c>
      <c r="P657">
        <v>0</v>
      </c>
      <c r="Q657" s="57"/>
      <c r="R657" s="57"/>
      <c r="S657" s="14"/>
    </row>
    <row r="658" spans="14:19" x14ac:dyDescent="0.25">
      <c r="N658" s="14">
        <v>208.667</v>
      </c>
      <c r="O658" s="14">
        <v>1.19371</v>
      </c>
      <c r="P658">
        <v>0</v>
      </c>
      <c r="Q658" s="57"/>
      <c r="R658" s="57"/>
      <c r="S658" s="14"/>
    </row>
    <row r="659" spans="14:19" x14ac:dyDescent="0.25">
      <c r="N659" s="14">
        <v>209</v>
      </c>
      <c r="O659" s="14">
        <v>1.2038500000000001</v>
      </c>
      <c r="P659" s="14">
        <f>O659+O658+O657</f>
        <v>3.5794800000000002</v>
      </c>
      <c r="Q659" s="57"/>
      <c r="R659" s="57"/>
      <c r="S659" s="14"/>
    </row>
    <row r="660" spans="14:19" x14ac:dyDescent="0.25">
      <c r="N660" s="14">
        <v>209.333</v>
      </c>
      <c r="O660" s="14">
        <v>1.1721999999999999</v>
      </c>
      <c r="P660">
        <v>0</v>
      </c>
      <c r="Q660" s="57"/>
      <c r="R660" s="57"/>
      <c r="S660" s="14"/>
    </row>
    <row r="661" spans="14:19" x14ac:dyDescent="0.25">
      <c r="N661" s="14">
        <v>209.667</v>
      </c>
      <c r="O661" s="14">
        <v>1.17987</v>
      </c>
      <c r="P661">
        <v>0</v>
      </c>
      <c r="Q661" s="57"/>
      <c r="R661" s="57"/>
      <c r="S661" s="14"/>
    </row>
    <row r="662" spans="14:19" x14ac:dyDescent="0.25">
      <c r="N662" s="14">
        <v>210</v>
      </c>
      <c r="O662" s="14">
        <v>1.19459</v>
      </c>
      <c r="P662" s="14">
        <f>O662+O661+O660</f>
        <v>3.5466600000000001</v>
      </c>
      <c r="Q662" s="57"/>
      <c r="R662" s="57"/>
      <c r="S662" s="14"/>
    </row>
    <row r="663" spans="14:19" x14ac:dyDescent="0.25">
      <c r="N663" s="14">
        <v>210.333</v>
      </c>
      <c r="O663" s="14">
        <v>1.18157</v>
      </c>
      <c r="P663">
        <v>0</v>
      </c>
      <c r="Q663" s="57"/>
      <c r="R663" s="57"/>
      <c r="S663" s="14"/>
    </row>
    <row r="664" spans="14:19" x14ac:dyDescent="0.25">
      <c r="N664" s="14">
        <v>210.667</v>
      </c>
      <c r="O664" s="14">
        <v>1.1831400000000001</v>
      </c>
      <c r="P664">
        <v>0</v>
      </c>
      <c r="Q664" s="57"/>
      <c r="R664" s="57"/>
      <c r="S664" s="14"/>
    </row>
    <row r="665" spans="14:19" x14ac:dyDescent="0.25">
      <c r="N665" s="14">
        <v>211</v>
      </c>
      <c r="O665" s="14">
        <v>1.1751799999999999</v>
      </c>
      <c r="P665" s="14">
        <f>O665+O664+O663</f>
        <v>3.5398899999999998</v>
      </c>
      <c r="Q665" s="57"/>
    </row>
    <row r="666" spans="14:19" x14ac:dyDescent="0.25">
      <c r="N666" s="14">
        <v>211.333</v>
      </c>
      <c r="O666" s="14">
        <v>1.1718999999999999</v>
      </c>
      <c r="P666">
        <v>0</v>
      </c>
      <c r="Q666" s="57"/>
    </row>
    <row r="667" spans="14:19" x14ac:dyDescent="0.25">
      <c r="N667" s="14">
        <v>211.667</v>
      </c>
      <c r="O667" s="14">
        <v>1.1879500000000001</v>
      </c>
      <c r="P667">
        <v>0</v>
      </c>
      <c r="Q667" s="57"/>
    </row>
    <row r="668" spans="14:19" x14ac:dyDescent="0.25">
      <c r="N668" s="14">
        <v>212</v>
      </c>
      <c r="O668" s="14">
        <v>1.1698999999999999</v>
      </c>
      <c r="P668" s="14">
        <f>O668+O667+O666</f>
        <v>3.5297499999999999</v>
      </c>
      <c r="Q668" s="57"/>
    </row>
    <row r="669" spans="14:19" x14ac:dyDescent="0.25">
      <c r="N669" s="14">
        <v>212.333</v>
      </c>
      <c r="O669" s="14">
        <v>1.1619699999999999</v>
      </c>
      <c r="P669">
        <v>0</v>
      </c>
      <c r="Q669" s="57"/>
    </row>
    <row r="670" spans="14:19" x14ac:dyDescent="0.25">
      <c r="N670" s="14">
        <v>212.667</v>
      </c>
      <c r="O670" s="14">
        <v>1.19465</v>
      </c>
      <c r="P670">
        <v>0</v>
      </c>
      <c r="Q670" s="57"/>
    </row>
    <row r="671" spans="14:19" x14ac:dyDescent="0.25">
      <c r="N671" s="14">
        <v>213</v>
      </c>
      <c r="O671" s="14">
        <v>1.16117</v>
      </c>
      <c r="P671" s="14">
        <f>O671+O670+O669</f>
        <v>3.5177899999999998</v>
      </c>
      <c r="Q671" s="57"/>
    </row>
    <row r="672" spans="14:19" x14ac:dyDescent="0.25">
      <c r="N672" s="14">
        <v>213.333</v>
      </c>
      <c r="O672" s="14">
        <v>1.1532899999999999</v>
      </c>
      <c r="P672">
        <v>0</v>
      </c>
      <c r="Q672" s="57"/>
    </row>
    <row r="673" spans="14:17" x14ac:dyDescent="0.25">
      <c r="N673" s="14">
        <v>213.667</v>
      </c>
      <c r="O673" s="14">
        <v>1.1580900000000001</v>
      </c>
      <c r="P673">
        <v>0</v>
      </c>
      <c r="Q673" s="57"/>
    </row>
    <row r="674" spans="14:17" x14ac:dyDescent="0.25">
      <c r="N674" s="14">
        <v>214</v>
      </c>
      <c r="O674" s="14">
        <v>1.1130899999999999</v>
      </c>
      <c r="P674" s="14">
        <f>O674+O673+O672</f>
        <v>3.4244700000000003</v>
      </c>
      <c r="Q674" s="57"/>
    </row>
    <row r="675" spans="14:17" x14ac:dyDescent="0.25">
      <c r="N675" s="14">
        <v>214.333</v>
      </c>
      <c r="O675" s="14">
        <v>1.1123700000000001</v>
      </c>
      <c r="P675">
        <v>0</v>
      </c>
      <c r="Q675" s="57"/>
    </row>
    <row r="676" spans="14:17" x14ac:dyDescent="0.25">
      <c r="N676" s="14">
        <v>214.667</v>
      </c>
      <c r="O676" s="14">
        <v>1.1393800000000001</v>
      </c>
      <c r="P676">
        <v>0</v>
      </c>
      <c r="Q676" s="57"/>
    </row>
    <row r="677" spans="14:17" x14ac:dyDescent="0.25">
      <c r="N677" s="14">
        <v>215</v>
      </c>
      <c r="O677" s="14">
        <v>1.11137</v>
      </c>
      <c r="P677" s="14">
        <f>O677+O676+O675</f>
        <v>3.3631200000000003</v>
      </c>
      <c r="Q677" s="57"/>
    </row>
    <row r="678" spans="14:17" x14ac:dyDescent="0.25">
      <c r="N678" s="14">
        <v>215.333</v>
      </c>
      <c r="O678" s="14">
        <v>1.1251</v>
      </c>
      <c r="P678">
        <v>0</v>
      </c>
      <c r="Q678" s="57"/>
    </row>
    <row r="679" spans="14:17" x14ac:dyDescent="0.25">
      <c r="N679" s="14">
        <v>215.667</v>
      </c>
      <c r="O679" s="14">
        <v>1.1280300000000001</v>
      </c>
      <c r="P679">
        <v>0</v>
      </c>
      <c r="Q679" s="57"/>
    </row>
    <row r="680" spans="14:17" x14ac:dyDescent="0.25">
      <c r="N680" s="14">
        <v>216</v>
      </c>
      <c r="O680" s="14">
        <v>1.1089899999999999</v>
      </c>
      <c r="P680" s="14">
        <f>O680+O679+O678</f>
        <v>3.36212</v>
      </c>
      <c r="Q680" s="57"/>
    </row>
    <row r="681" spans="14:17" x14ac:dyDescent="0.25">
      <c r="N681" s="14">
        <v>216.333</v>
      </c>
      <c r="O681" s="14">
        <v>1.1091299999999999</v>
      </c>
      <c r="P681">
        <v>0</v>
      </c>
      <c r="Q681" s="57"/>
    </row>
    <row r="682" spans="14:17" x14ac:dyDescent="0.25">
      <c r="N682" s="14">
        <v>216.667</v>
      </c>
      <c r="O682" s="14">
        <v>1.12347</v>
      </c>
      <c r="P682">
        <v>0</v>
      </c>
      <c r="Q682" s="57"/>
    </row>
    <row r="683" spans="14:17" x14ac:dyDescent="0.25">
      <c r="N683" s="14">
        <v>217</v>
      </c>
      <c r="O683" s="14">
        <v>1.1184700000000001</v>
      </c>
      <c r="P683" s="14">
        <f>O683+O682+O681</f>
        <v>3.35107</v>
      </c>
      <c r="Q683" s="57"/>
    </row>
    <row r="684" spans="14:17" x14ac:dyDescent="0.25">
      <c r="N684" s="14">
        <v>217.333</v>
      </c>
      <c r="O684" s="14">
        <v>1.0913200000000001</v>
      </c>
      <c r="P684">
        <v>0</v>
      </c>
      <c r="Q684" s="57"/>
    </row>
    <row r="685" spans="14:17" x14ac:dyDescent="0.25">
      <c r="N685" s="14">
        <v>217.667</v>
      </c>
      <c r="O685" s="14">
        <v>1.1311100000000001</v>
      </c>
      <c r="P685">
        <v>0</v>
      </c>
      <c r="Q685" s="57"/>
    </row>
    <row r="686" spans="14:17" x14ac:dyDescent="0.25">
      <c r="N686" s="14">
        <v>218</v>
      </c>
      <c r="O686" s="14">
        <v>1.1134599999999999</v>
      </c>
      <c r="P686" s="14">
        <f>O686+O685+O684</f>
        <v>3.33589</v>
      </c>
      <c r="Q686" s="57"/>
    </row>
    <row r="687" spans="14:17" x14ac:dyDescent="0.25">
      <c r="N687" s="14">
        <v>218.333</v>
      </c>
      <c r="O687" s="14">
        <v>1.0856300000000001</v>
      </c>
      <c r="P687">
        <v>0</v>
      </c>
      <c r="Q687" s="57"/>
    </row>
    <row r="688" spans="14:17" x14ac:dyDescent="0.25">
      <c r="N688" s="14">
        <v>218.667</v>
      </c>
      <c r="O688" s="14">
        <v>1.12537</v>
      </c>
      <c r="P688">
        <v>0</v>
      </c>
      <c r="Q688" s="57"/>
    </row>
    <row r="689" spans="14:17" x14ac:dyDescent="0.25">
      <c r="N689" s="14">
        <v>219</v>
      </c>
      <c r="O689" s="14">
        <v>1.10856</v>
      </c>
      <c r="P689" s="14">
        <f>O689+O688+O687</f>
        <v>3.3195600000000001</v>
      </c>
      <c r="Q689" s="57"/>
    </row>
    <row r="690" spans="14:17" x14ac:dyDescent="0.25">
      <c r="N690" s="14">
        <v>219.333</v>
      </c>
      <c r="O690" s="14">
        <v>1.0806800000000001</v>
      </c>
      <c r="P690">
        <v>0</v>
      </c>
      <c r="Q690" s="57"/>
    </row>
    <row r="691" spans="14:17" x14ac:dyDescent="0.25">
      <c r="N691" s="14">
        <v>219.667</v>
      </c>
      <c r="O691" s="14">
        <v>1.10975</v>
      </c>
      <c r="P691">
        <v>0</v>
      </c>
      <c r="Q691" s="57"/>
    </row>
    <row r="692" spans="14:17" x14ac:dyDescent="0.25">
      <c r="N692" s="14">
        <v>220</v>
      </c>
      <c r="O692" s="14">
        <v>1.1210800000000001</v>
      </c>
      <c r="P692" s="14">
        <f>O692+O691+O690</f>
        <v>3.3115100000000002</v>
      </c>
      <c r="Q692" s="57"/>
    </row>
    <row r="693" spans="14:17" x14ac:dyDescent="0.25">
      <c r="N693" s="14">
        <v>220.333</v>
      </c>
      <c r="O693" s="14">
        <v>1.07562</v>
      </c>
      <c r="P693">
        <v>0</v>
      </c>
      <c r="Q693" s="57"/>
    </row>
    <row r="694" spans="14:17" x14ac:dyDescent="0.25">
      <c r="N694" s="14">
        <v>220.667</v>
      </c>
      <c r="O694" s="14">
        <v>1.10616</v>
      </c>
      <c r="P694">
        <v>0</v>
      </c>
      <c r="Q694" s="57"/>
    </row>
    <row r="695" spans="14:17" x14ac:dyDescent="0.25">
      <c r="N695" s="14">
        <v>221</v>
      </c>
      <c r="O695" s="14">
        <v>1.1209899999999999</v>
      </c>
      <c r="P695" s="14">
        <f>O695+O694+O693</f>
        <v>3.3027699999999998</v>
      </c>
      <c r="Q695" s="57"/>
    </row>
    <row r="696" spans="14:17" x14ac:dyDescent="0.25">
      <c r="N696" s="14">
        <v>221.333</v>
      </c>
      <c r="O696" s="14">
        <v>1.05966</v>
      </c>
      <c r="P696">
        <v>0</v>
      </c>
      <c r="Q696" s="57"/>
    </row>
    <row r="697" spans="14:17" x14ac:dyDescent="0.25">
      <c r="N697" s="14">
        <v>221.667</v>
      </c>
      <c r="O697" s="14">
        <v>1.1032900000000001</v>
      </c>
      <c r="P697">
        <v>0</v>
      </c>
      <c r="Q697" s="57"/>
    </row>
    <row r="698" spans="14:17" x14ac:dyDescent="0.25">
      <c r="N698" s="14">
        <v>222</v>
      </c>
      <c r="O698" s="14">
        <v>1.1158300000000001</v>
      </c>
      <c r="P698" s="14">
        <f>O698+O697+O696</f>
        <v>3.2787800000000002</v>
      </c>
      <c r="Q698" s="57"/>
    </row>
    <row r="699" spans="14:17" x14ac:dyDescent="0.25">
      <c r="N699" s="14">
        <v>222.333</v>
      </c>
      <c r="O699" s="14">
        <v>1.0625899999999999</v>
      </c>
      <c r="P699">
        <v>0</v>
      </c>
      <c r="Q699" s="57"/>
    </row>
    <row r="700" spans="14:17" x14ac:dyDescent="0.25">
      <c r="N700" s="14">
        <v>222.667</v>
      </c>
      <c r="O700" s="14">
        <v>1.1023000000000001</v>
      </c>
      <c r="P700">
        <v>0</v>
      </c>
      <c r="Q700" s="57"/>
    </row>
    <row r="701" spans="14:17" x14ac:dyDescent="0.25">
      <c r="N701" s="14">
        <v>223</v>
      </c>
      <c r="O701" s="14">
        <v>1.1081099999999999</v>
      </c>
      <c r="P701" s="14">
        <f>O701+O700+O699</f>
        <v>3.2729999999999997</v>
      </c>
      <c r="Q701" s="57"/>
    </row>
    <row r="702" spans="14:17" x14ac:dyDescent="0.25">
      <c r="N702" s="14">
        <v>223.333</v>
      </c>
      <c r="O702" s="14">
        <v>1.0509500000000001</v>
      </c>
      <c r="P702">
        <v>0</v>
      </c>
      <c r="Q702" s="57"/>
    </row>
    <row r="703" spans="14:17" x14ac:dyDescent="0.25">
      <c r="N703" s="14">
        <v>223.667</v>
      </c>
      <c r="O703" s="14">
        <v>1.0922099999999999</v>
      </c>
      <c r="P703">
        <v>0</v>
      </c>
      <c r="Q703" s="57"/>
    </row>
    <row r="704" spans="14:17" x14ac:dyDescent="0.25">
      <c r="N704" s="14">
        <v>224</v>
      </c>
      <c r="O704" s="14">
        <v>1.1091</v>
      </c>
      <c r="P704" s="14">
        <f>O704+O703+O702</f>
        <v>3.2522599999999997</v>
      </c>
      <c r="Q704" s="57"/>
    </row>
    <row r="705" spans="14:17" x14ac:dyDescent="0.25">
      <c r="N705" s="14">
        <v>224.333</v>
      </c>
      <c r="O705" s="14">
        <v>1.0534699999999999</v>
      </c>
      <c r="P705">
        <v>0</v>
      </c>
      <c r="Q705" s="57"/>
    </row>
    <row r="706" spans="14:17" x14ac:dyDescent="0.25">
      <c r="N706" s="14">
        <v>224.667</v>
      </c>
      <c r="O706" s="14">
        <v>1.09379</v>
      </c>
      <c r="P706">
        <v>0</v>
      </c>
      <c r="Q706" s="57"/>
    </row>
    <row r="707" spans="14:17" x14ac:dyDescent="0.25">
      <c r="N707" s="14">
        <v>225</v>
      </c>
      <c r="O707" s="14">
        <v>1.08836</v>
      </c>
      <c r="P707" s="14">
        <f>O707+O706+O705</f>
        <v>3.2356199999999999</v>
      </c>
      <c r="Q707" s="57"/>
    </row>
    <row r="708" spans="14:17" x14ac:dyDescent="0.25">
      <c r="N708" s="14">
        <v>225.333</v>
      </c>
      <c r="O708" s="14">
        <v>1.04817</v>
      </c>
      <c r="P708">
        <v>0</v>
      </c>
      <c r="Q708" s="57"/>
    </row>
    <row r="709" spans="14:17" x14ac:dyDescent="0.25">
      <c r="N709" s="14">
        <v>225.667</v>
      </c>
      <c r="O709" s="14">
        <v>1.0999300000000001</v>
      </c>
      <c r="P709">
        <v>0</v>
      </c>
      <c r="Q709" s="57"/>
    </row>
    <row r="710" spans="14:17" x14ac:dyDescent="0.25">
      <c r="N710" s="14">
        <v>226</v>
      </c>
      <c r="O710" s="14">
        <v>1.0772600000000001</v>
      </c>
      <c r="P710" s="14">
        <f>O710+O709+O708</f>
        <v>3.2253600000000002</v>
      </c>
      <c r="Q710" s="57"/>
    </row>
    <row r="711" spans="14:17" x14ac:dyDescent="0.25">
      <c r="N711" s="14">
        <v>226.333</v>
      </c>
      <c r="O711" s="14">
        <v>1.0513399999999999</v>
      </c>
      <c r="P711">
        <v>0</v>
      </c>
      <c r="Q711" s="57"/>
    </row>
    <row r="712" spans="14:17" x14ac:dyDescent="0.25">
      <c r="N712" s="14">
        <v>226.667</v>
      </c>
      <c r="O712" s="14">
        <v>1.0898399999999999</v>
      </c>
      <c r="P712">
        <v>0</v>
      </c>
      <c r="Q712" s="57"/>
    </row>
    <row r="713" spans="14:17" x14ac:dyDescent="0.25">
      <c r="N713" s="14">
        <v>227</v>
      </c>
      <c r="O713" s="14">
        <v>1.0467</v>
      </c>
      <c r="P713" s="14">
        <f>O713+O712+O711</f>
        <v>3.1878799999999998</v>
      </c>
      <c r="Q713" s="57"/>
    </row>
    <row r="714" spans="14:17" x14ac:dyDescent="0.25">
      <c r="N714" s="14">
        <v>227.333</v>
      </c>
      <c r="O714" s="14">
        <v>1.05779</v>
      </c>
      <c r="P714">
        <v>0</v>
      </c>
      <c r="Q714" s="57"/>
    </row>
    <row r="715" spans="14:17" x14ac:dyDescent="0.25">
      <c r="N715" s="14">
        <v>227.667</v>
      </c>
      <c r="O715" s="14">
        <v>1.1039699999999999</v>
      </c>
      <c r="P715">
        <v>0</v>
      </c>
      <c r="Q715" s="57"/>
    </row>
    <row r="716" spans="14:17" x14ac:dyDescent="0.25">
      <c r="N716" s="14">
        <v>228</v>
      </c>
      <c r="O716" s="14">
        <v>1.0394300000000001</v>
      </c>
      <c r="P716" s="14">
        <f>O716+O715+O714</f>
        <v>3.2011899999999995</v>
      </c>
      <c r="Q716" s="57"/>
    </row>
    <row r="717" spans="14:17" x14ac:dyDescent="0.25">
      <c r="N717" s="14">
        <v>228.333</v>
      </c>
      <c r="O717" s="14">
        <v>1.07301</v>
      </c>
      <c r="P717">
        <v>0</v>
      </c>
      <c r="Q717" s="57"/>
    </row>
    <row r="718" spans="14:17" x14ac:dyDescent="0.25">
      <c r="N718" s="14">
        <v>228.667</v>
      </c>
      <c r="O718" s="14">
        <v>1.0677000000000001</v>
      </c>
      <c r="P718">
        <v>0</v>
      </c>
      <c r="Q718" s="57"/>
    </row>
    <row r="719" spans="14:17" x14ac:dyDescent="0.25">
      <c r="N719" s="14">
        <v>229</v>
      </c>
      <c r="O719" s="14">
        <v>0.99306099999999997</v>
      </c>
      <c r="P719" s="14">
        <f>O719+O718+O717</f>
        <v>3.1337710000000003</v>
      </c>
      <c r="Q719" s="57"/>
    </row>
    <row r="720" spans="14:17" x14ac:dyDescent="0.25">
      <c r="N720" s="14">
        <v>229.333</v>
      </c>
      <c r="O720" s="14">
        <v>1.0382899999999999</v>
      </c>
      <c r="P720">
        <v>0</v>
      </c>
      <c r="Q720" s="57"/>
    </row>
    <row r="721" spans="14:17" x14ac:dyDescent="0.25">
      <c r="N721" s="14">
        <v>229.667</v>
      </c>
      <c r="O721" s="14">
        <v>1.02041</v>
      </c>
      <c r="P721">
        <v>0</v>
      </c>
      <c r="Q721" s="57"/>
    </row>
    <row r="722" spans="14:17" x14ac:dyDescent="0.25">
      <c r="N722" s="14">
        <v>230</v>
      </c>
      <c r="O722" s="14">
        <v>1.02817</v>
      </c>
      <c r="P722" s="14">
        <f>O722+O721+O720</f>
        <v>3.0868700000000002</v>
      </c>
      <c r="Q722" s="57"/>
    </row>
    <row r="723" spans="14:17" x14ac:dyDescent="0.25">
      <c r="N723" s="14">
        <v>230.333</v>
      </c>
      <c r="O723" s="14">
        <v>1.0187200000000001</v>
      </c>
      <c r="P723">
        <v>0</v>
      </c>
      <c r="Q723" s="57"/>
    </row>
    <row r="724" spans="14:17" x14ac:dyDescent="0.25">
      <c r="N724" s="14">
        <v>230.667</v>
      </c>
      <c r="O724" s="14">
        <v>1.02589</v>
      </c>
      <c r="P724">
        <v>0</v>
      </c>
      <c r="Q724" s="57"/>
    </row>
    <row r="725" spans="14:17" x14ac:dyDescent="0.25">
      <c r="N725" s="14">
        <v>231</v>
      </c>
      <c r="O725" s="14">
        <v>1.01545</v>
      </c>
      <c r="P725" s="14">
        <f>O725+O724+O723</f>
        <v>3.06006</v>
      </c>
      <c r="Q725" s="57"/>
    </row>
    <row r="726" spans="14:17" x14ac:dyDescent="0.25">
      <c r="N726" s="14">
        <v>231.333</v>
      </c>
      <c r="O726" s="14">
        <v>1.01311</v>
      </c>
      <c r="P726">
        <v>0</v>
      </c>
      <c r="Q726" s="57"/>
    </row>
    <row r="727" spans="14:17" x14ac:dyDescent="0.25">
      <c r="N727" s="14">
        <v>231.667</v>
      </c>
      <c r="O727" s="14">
        <v>1.0290299999999999</v>
      </c>
      <c r="P727">
        <v>0</v>
      </c>
      <c r="Q727" s="57"/>
    </row>
    <row r="728" spans="14:17" x14ac:dyDescent="0.25">
      <c r="N728" s="14">
        <v>232</v>
      </c>
      <c r="O728" s="14">
        <v>1.00284</v>
      </c>
      <c r="P728" s="14">
        <f>O728+O727+O726</f>
        <v>3.0449799999999998</v>
      </c>
      <c r="Q728" s="57"/>
    </row>
    <row r="729" spans="14:17" x14ac:dyDescent="0.25">
      <c r="N729" s="14">
        <v>232.333</v>
      </c>
      <c r="O729" s="14">
        <v>1.0079400000000001</v>
      </c>
      <c r="P729">
        <v>0</v>
      </c>
      <c r="Q729" s="57"/>
    </row>
    <row r="730" spans="14:17" x14ac:dyDescent="0.25">
      <c r="N730" s="14">
        <v>232.667</v>
      </c>
      <c r="O730" s="14">
        <v>1.02291</v>
      </c>
      <c r="P730">
        <v>0</v>
      </c>
      <c r="Q730" s="57"/>
    </row>
    <row r="731" spans="14:17" x14ac:dyDescent="0.25">
      <c r="N731" s="14">
        <v>233</v>
      </c>
      <c r="O731" s="14">
        <v>1.0162100000000001</v>
      </c>
      <c r="P731" s="14">
        <f>O731+O730+O729</f>
        <v>3.0470600000000001</v>
      </c>
      <c r="Q731" s="57"/>
    </row>
    <row r="732" spans="14:17" x14ac:dyDescent="0.25">
      <c r="N732" s="14">
        <v>233.333</v>
      </c>
      <c r="O732" s="14">
        <v>1.0008600000000001</v>
      </c>
      <c r="P732">
        <v>0</v>
      </c>
      <c r="Q732" s="57"/>
    </row>
    <row r="733" spans="14:17" x14ac:dyDescent="0.25">
      <c r="N733" s="14">
        <v>233.667</v>
      </c>
      <c r="O733" s="14">
        <v>1.01254</v>
      </c>
      <c r="P733">
        <v>0</v>
      </c>
      <c r="Q733" s="57"/>
    </row>
    <row r="734" spans="14:17" x14ac:dyDescent="0.25">
      <c r="N734" s="14">
        <v>234</v>
      </c>
      <c r="O734" s="14">
        <v>0.99947600000000003</v>
      </c>
      <c r="P734" s="14">
        <f>O734+O733+O732</f>
        <v>3.0128760000000003</v>
      </c>
      <c r="Q734" s="57"/>
    </row>
    <row r="735" spans="14:17" x14ac:dyDescent="0.25">
      <c r="N735" s="14">
        <v>234.333</v>
      </c>
      <c r="O735" s="14">
        <v>1.00078</v>
      </c>
      <c r="P735">
        <v>0</v>
      </c>
      <c r="Q735" s="57"/>
    </row>
    <row r="736" spans="14:17" x14ac:dyDescent="0.25">
      <c r="N736" s="14">
        <v>234.667</v>
      </c>
      <c r="O736" s="14">
        <v>1.0323599999999999</v>
      </c>
      <c r="P736">
        <v>0</v>
      </c>
      <c r="Q736" s="57"/>
    </row>
    <row r="737" spans="14:17" x14ac:dyDescent="0.25">
      <c r="N737" s="14">
        <v>235</v>
      </c>
      <c r="O737" s="14">
        <v>0.986487</v>
      </c>
      <c r="P737" s="14">
        <f>O737+O736+O735</f>
        <v>3.0196269999999998</v>
      </c>
      <c r="Q737" s="57"/>
    </row>
    <row r="738" spans="14:17" x14ac:dyDescent="0.25">
      <c r="N738" s="14">
        <v>235.333</v>
      </c>
      <c r="O738" s="14">
        <v>1.00139</v>
      </c>
      <c r="P738">
        <v>0</v>
      </c>
      <c r="Q738" s="57"/>
    </row>
    <row r="739" spans="14:17" x14ac:dyDescent="0.25">
      <c r="N739" s="14">
        <v>235.667</v>
      </c>
      <c r="O739" s="14">
        <v>1.0269600000000001</v>
      </c>
      <c r="P739">
        <v>0</v>
      </c>
      <c r="Q739" s="57"/>
    </row>
    <row r="740" spans="14:17" x14ac:dyDescent="0.25">
      <c r="N740" s="14">
        <v>236</v>
      </c>
      <c r="O740" s="14">
        <v>0.98361299999999996</v>
      </c>
      <c r="P740" s="14">
        <f>O740+O739+O738</f>
        <v>3.0119629999999997</v>
      </c>
      <c r="Q740" s="57"/>
    </row>
    <row r="741" spans="14:17" x14ac:dyDescent="0.25">
      <c r="N741" s="14">
        <v>236.333</v>
      </c>
      <c r="O741" s="14">
        <v>0.98469799999999996</v>
      </c>
      <c r="P741">
        <v>0</v>
      </c>
      <c r="Q741" s="57"/>
    </row>
    <row r="742" spans="14:17" x14ac:dyDescent="0.25">
      <c r="N742" s="14">
        <v>236.667</v>
      </c>
      <c r="O742" s="14">
        <v>1.01694</v>
      </c>
      <c r="P742">
        <v>0</v>
      </c>
      <c r="Q742" s="57"/>
    </row>
    <row r="743" spans="14:17" x14ac:dyDescent="0.25">
      <c r="N743" s="14">
        <v>237</v>
      </c>
      <c r="O743" s="14">
        <v>0.99981399999999998</v>
      </c>
      <c r="P743" s="14">
        <f>O743+O742+O741</f>
        <v>3.0014519999999996</v>
      </c>
      <c r="Q743" s="57"/>
    </row>
    <row r="744" spans="14:17" x14ac:dyDescent="0.25">
      <c r="N744" s="14">
        <v>237.333</v>
      </c>
      <c r="O744" s="14">
        <v>0.97190799999999999</v>
      </c>
      <c r="P744">
        <v>0</v>
      </c>
      <c r="Q744" s="57"/>
    </row>
    <row r="745" spans="14:17" x14ac:dyDescent="0.25">
      <c r="N745" s="14">
        <v>237.667</v>
      </c>
      <c r="O745" s="14">
        <v>1.02379</v>
      </c>
      <c r="P745">
        <v>0</v>
      </c>
      <c r="Q745" s="57"/>
    </row>
    <row r="746" spans="14:17" x14ac:dyDescent="0.25">
      <c r="N746" s="14">
        <v>238</v>
      </c>
      <c r="O746" s="14">
        <v>0.99094899999999997</v>
      </c>
      <c r="P746" s="14">
        <f>O746+O745+O744</f>
        <v>2.9866470000000001</v>
      </c>
      <c r="Q746" s="57"/>
    </row>
    <row r="747" spans="14:17" x14ac:dyDescent="0.25">
      <c r="N747" s="14">
        <v>238.333</v>
      </c>
      <c r="O747" s="14">
        <v>0.97416599999999998</v>
      </c>
      <c r="P747">
        <v>0</v>
      </c>
      <c r="Q747" s="57"/>
    </row>
    <row r="748" spans="14:17" x14ac:dyDescent="0.25">
      <c r="N748" s="14">
        <v>238.667</v>
      </c>
      <c r="O748" s="14">
        <v>0.98986799999999997</v>
      </c>
      <c r="P748">
        <v>0</v>
      </c>
      <c r="Q748" s="57"/>
    </row>
    <row r="749" spans="14:17" x14ac:dyDescent="0.25">
      <c r="N749" s="14">
        <v>239</v>
      </c>
      <c r="O749" s="14">
        <v>0.98323799999999995</v>
      </c>
      <c r="P749" s="14">
        <f>O749+O748+O747</f>
        <v>2.9472719999999999</v>
      </c>
      <c r="Q749" s="57"/>
    </row>
    <row r="750" spans="14:17" x14ac:dyDescent="0.25">
      <c r="N750" s="14">
        <v>239.333</v>
      </c>
      <c r="O750" s="14">
        <v>1.0103599999999999</v>
      </c>
      <c r="P750">
        <v>0</v>
      </c>
      <c r="Q750" s="57"/>
    </row>
    <row r="751" spans="14:17" x14ac:dyDescent="0.25">
      <c r="N751" s="14">
        <v>239.667</v>
      </c>
      <c r="O751" s="14">
        <v>0.95832399999999995</v>
      </c>
      <c r="P751">
        <v>0</v>
      </c>
      <c r="Q751" s="57"/>
    </row>
    <row r="752" spans="14:17" x14ac:dyDescent="0.25">
      <c r="N752" s="14">
        <v>240</v>
      </c>
      <c r="O752" s="14">
        <v>0.99172300000000002</v>
      </c>
      <c r="P752" s="14">
        <f>O752+O751+O750</f>
        <v>2.960407</v>
      </c>
      <c r="Q752" s="57"/>
    </row>
    <row r="753" spans="14:17" x14ac:dyDescent="0.25">
      <c r="N753" s="14">
        <v>240.333</v>
      </c>
      <c r="O753" s="14">
        <v>1.00729</v>
      </c>
      <c r="P753">
        <v>0</v>
      </c>
      <c r="Q753" s="57"/>
    </row>
    <row r="754" spans="14:17" x14ac:dyDescent="0.25">
      <c r="N754" s="14">
        <v>240.667</v>
      </c>
      <c r="O754" s="14">
        <v>0.964534</v>
      </c>
      <c r="P754">
        <v>0</v>
      </c>
      <c r="Q754" s="57"/>
    </row>
    <row r="755" spans="14:17" x14ac:dyDescent="0.25">
      <c r="N755" s="14">
        <v>241</v>
      </c>
      <c r="O755" s="14">
        <v>0.99866100000000002</v>
      </c>
      <c r="P755" s="14">
        <f>O755+O754+O753</f>
        <v>2.970485</v>
      </c>
      <c r="Q755" s="57"/>
    </row>
    <row r="756" spans="14:17" x14ac:dyDescent="0.25">
      <c r="N756" s="14">
        <v>241.333</v>
      </c>
      <c r="O756" s="14">
        <v>0.98260899999999995</v>
      </c>
      <c r="P756">
        <v>0</v>
      </c>
      <c r="Q756" s="57"/>
    </row>
    <row r="757" spans="14:17" x14ac:dyDescent="0.25">
      <c r="N757" s="14">
        <v>241.667</v>
      </c>
      <c r="O757" s="14">
        <v>0.97409000000000001</v>
      </c>
      <c r="P757">
        <v>0</v>
      </c>
      <c r="Q757" s="57"/>
    </row>
    <row r="758" spans="14:17" x14ac:dyDescent="0.25">
      <c r="N758" s="14">
        <v>242</v>
      </c>
      <c r="O758" s="14">
        <v>0.98332600000000003</v>
      </c>
      <c r="P758" s="14">
        <f>O758+O757+O756</f>
        <v>2.9400249999999999</v>
      </c>
      <c r="Q758" s="57"/>
    </row>
    <row r="759" spans="14:17" x14ac:dyDescent="0.25">
      <c r="N759" s="14">
        <v>242.333</v>
      </c>
      <c r="O759" s="14">
        <v>0.99388900000000002</v>
      </c>
      <c r="P759">
        <v>0</v>
      </c>
      <c r="Q759" s="57"/>
    </row>
    <row r="760" spans="14:17" x14ac:dyDescent="0.25">
      <c r="N760" s="14">
        <v>242.667</v>
      </c>
      <c r="O760" s="14">
        <v>0.96888300000000005</v>
      </c>
      <c r="P760">
        <v>0</v>
      </c>
      <c r="Q760" s="57"/>
    </row>
    <row r="761" spans="14:17" x14ac:dyDescent="0.25">
      <c r="N761" s="14">
        <v>243</v>
      </c>
      <c r="O761" s="14">
        <v>0.97448000000000001</v>
      </c>
      <c r="P761" s="14">
        <f>O761+O760+O759</f>
        <v>2.937252</v>
      </c>
      <c r="Q761" s="57"/>
    </row>
    <row r="762" spans="14:17" x14ac:dyDescent="0.25">
      <c r="N762" s="14">
        <v>243.333</v>
      </c>
      <c r="O762" s="14">
        <v>0.99602999999999997</v>
      </c>
      <c r="P762">
        <v>0</v>
      </c>
      <c r="Q762" s="57"/>
    </row>
    <row r="763" spans="14:17" x14ac:dyDescent="0.25">
      <c r="N763" s="14">
        <v>243.667</v>
      </c>
      <c r="O763" s="14">
        <v>0.95722399999999996</v>
      </c>
      <c r="P763">
        <v>0</v>
      </c>
      <c r="Q763" s="57"/>
    </row>
    <row r="764" spans="14:17" x14ac:dyDescent="0.25">
      <c r="N764" s="14">
        <v>244</v>
      </c>
      <c r="O764" s="14">
        <v>0.97742499999999999</v>
      </c>
      <c r="P764" s="14">
        <f>O764+O763+O762</f>
        <v>2.9306789999999996</v>
      </c>
      <c r="Q764" s="57"/>
    </row>
    <row r="765" spans="14:17" x14ac:dyDescent="0.25">
      <c r="N765" s="14">
        <v>244.333</v>
      </c>
      <c r="O765" s="14">
        <v>0.99125200000000002</v>
      </c>
      <c r="P765">
        <v>0</v>
      </c>
      <c r="Q765" s="57"/>
    </row>
    <row r="766" spans="14:17" x14ac:dyDescent="0.25">
      <c r="N766" s="14">
        <v>244.667</v>
      </c>
      <c r="O766" s="14">
        <v>0.95669800000000005</v>
      </c>
      <c r="P766">
        <v>0</v>
      </c>
      <c r="Q766" s="57"/>
    </row>
    <row r="767" spans="14:17" x14ac:dyDescent="0.25">
      <c r="N767" s="14">
        <v>245</v>
      </c>
      <c r="O767" s="14">
        <v>0.97230300000000003</v>
      </c>
      <c r="P767" s="14">
        <f>O767+O766+O765</f>
        <v>2.9202529999999998</v>
      </c>
      <c r="Q767" s="57"/>
    </row>
    <row r="768" spans="14:17" x14ac:dyDescent="0.25">
      <c r="N768" s="14">
        <v>245.333</v>
      </c>
      <c r="O768" s="14">
        <v>0.98515200000000003</v>
      </c>
      <c r="P768">
        <v>0</v>
      </c>
      <c r="Q768" s="57"/>
    </row>
    <row r="769" spans="14:17" x14ac:dyDescent="0.25">
      <c r="N769" s="14">
        <v>245.667</v>
      </c>
      <c r="O769" s="14">
        <v>0.95200300000000004</v>
      </c>
      <c r="P769">
        <v>0</v>
      </c>
      <c r="Q769" s="57"/>
    </row>
    <row r="770" spans="14:17" x14ac:dyDescent="0.25">
      <c r="N770" s="14">
        <v>246</v>
      </c>
      <c r="O770" s="14">
        <v>0.96962199999999998</v>
      </c>
      <c r="P770" s="14">
        <f>O770+O769+O768</f>
        <v>2.9067769999999999</v>
      </c>
      <c r="Q770" s="57"/>
    </row>
    <row r="771" spans="14:17" x14ac:dyDescent="0.25">
      <c r="N771" s="14">
        <v>246.333</v>
      </c>
      <c r="O771" s="14">
        <v>0.98425700000000005</v>
      </c>
      <c r="P771">
        <v>0</v>
      </c>
      <c r="Q771" s="57"/>
    </row>
    <row r="772" spans="14:17" x14ac:dyDescent="0.25">
      <c r="N772" s="14">
        <v>246.667</v>
      </c>
      <c r="O772" s="14">
        <v>0.95028800000000002</v>
      </c>
      <c r="P772">
        <v>0</v>
      </c>
      <c r="Q772" s="57"/>
    </row>
    <row r="773" spans="14:17" x14ac:dyDescent="0.25">
      <c r="N773" s="14">
        <v>247</v>
      </c>
      <c r="O773" s="14">
        <v>0.96509400000000001</v>
      </c>
      <c r="P773" s="14">
        <f>O773+O772+O771</f>
        <v>2.8996390000000001</v>
      </c>
      <c r="Q773" s="57"/>
    </row>
    <row r="774" spans="14:17" x14ac:dyDescent="0.25">
      <c r="N774" s="14">
        <v>247.333</v>
      </c>
      <c r="O774" s="14">
        <v>0.97802</v>
      </c>
      <c r="P774">
        <v>0</v>
      </c>
      <c r="Q774" s="57"/>
    </row>
    <row r="775" spans="14:17" x14ac:dyDescent="0.25">
      <c r="N775" s="14">
        <v>247.667</v>
      </c>
      <c r="O775" s="14">
        <v>0.94384999999999997</v>
      </c>
      <c r="P775">
        <v>0</v>
      </c>
      <c r="Q775" s="57"/>
    </row>
    <row r="776" spans="14:17" x14ac:dyDescent="0.25">
      <c r="N776" s="14">
        <v>248</v>
      </c>
      <c r="O776" s="14">
        <v>0.96062499999999995</v>
      </c>
      <c r="P776" s="14">
        <f>O776+O775+O774</f>
        <v>2.882495</v>
      </c>
      <c r="Q776" s="57"/>
    </row>
    <row r="777" spans="14:17" x14ac:dyDescent="0.25">
      <c r="N777" s="14">
        <v>248.333</v>
      </c>
      <c r="O777" s="14">
        <v>0.97914699999999999</v>
      </c>
      <c r="P777">
        <v>0</v>
      </c>
      <c r="Q777" s="57"/>
    </row>
    <row r="778" spans="14:17" x14ac:dyDescent="0.25">
      <c r="N778" s="14">
        <v>248.667</v>
      </c>
      <c r="O778" s="14">
        <v>0.94132400000000005</v>
      </c>
      <c r="P778">
        <v>0</v>
      </c>
      <c r="Q778" s="57"/>
    </row>
    <row r="779" spans="14:17" x14ac:dyDescent="0.25">
      <c r="N779" s="14">
        <v>249</v>
      </c>
      <c r="O779" s="14">
        <v>0.959202</v>
      </c>
      <c r="P779" s="14">
        <f>O779+O778+O777</f>
        <v>2.8796730000000004</v>
      </c>
      <c r="Q779" s="57"/>
    </row>
    <row r="780" spans="14:17" x14ac:dyDescent="0.25">
      <c r="N780" s="14">
        <v>249.333</v>
      </c>
      <c r="O780" s="14">
        <v>0.95949799999999996</v>
      </c>
      <c r="P780">
        <v>0</v>
      </c>
      <c r="Q780" s="57"/>
    </row>
    <row r="781" spans="14:17" x14ac:dyDescent="0.25">
      <c r="N781" s="14">
        <v>249.667</v>
      </c>
      <c r="O781" s="14">
        <v>0.94229499999999999</v>
      </c>
      <c r="P781">
        <v>0</v>
      </c>
      <c r="Q781" s="57"/>
    </row>
    <row r="782" spans="14:17" x14ac:dyDescent="0.25">
      <c r="N782" s="14">
        <v>250</v>
      </c>
      <c r="O782" s="14">
        <v>0.97213000000000005</v>
      </c>
      <c r="P782" s="14">
        <f>O782+O781+O780</f>
        <v>2.873923</v>
      </c>
      <c r="Q782" s="57"/>
    </row>
    <row r="783" spans="14:17" x14ac:dyDescent="0.25">
      <c r="N783" s="14">
        <v>250.333</v>
      </c>
      <c r="O783" s="14">
        <v>0.95079899999999995</v>
      </c>
      <c r="P783">
        <v>0</v>
      </c>
      <c r="Q783" s="57"/>
    </row>
    <row r="784" spans="14:17" x14ac:dyDescent="0.25">
      <c r="N784" s="14">
        <v>250.667</v>
      </c>
      <c r="O784" s="14">
        <v>0.92983700000000002</v>
      </c>
      <c r="P784">
        <v>0</v>
      </c>
      <c r="Q784" s="57"/>
    </row>
    <row r="785" spans="14:17" x14ac:dyDescent="0.25">
      <c r="N785" s="14">
        <v>251</v>
      </c>
      <c r="O785" s="14">
        <v>0.95295099999999999</v>
      </c>
      <c r="P785" s="14">
        <f>O785+O784+O783</f>
        <v>2.8335870000000001</v>
      </c>
      <c r="Q785" s="57"/>
    </row>
    <row r="786" spans="14:17" x14ac:dyDescent="0.25">
      <c r="N786" s="14">
        <v>251.333</v>
      </c>
      <c r="O786" s="14">
        <v>0.96441299999999996</v>
      </c>
      <c r="P786">
        <v>0</v>
      </c>
      <c r="Q786" s="57"/>
    </row>
    <row r="787" spans="14:17" x14ac:dyDescent="0.25">
      <c r="N787" s="14">
        <v>251.667</v>
      </c>
      <c r="O787" s="14">
        <v>0.94378300000000004</v>
      </c>
      <c r="P787">
        <v>0</v>
      </c>
      <c r="Q787" s="57"/>
    </row>
    <row r="788" spans="14:17" x14ac:dyDescent="0.25">
      <c r="N788" s="14">
        <v>252</v>
      </c>
      <c r="O788" s="14">
        <v>0.940137</v>
      </c>
      <c r="P788" s="14">
        <f>O788+O787+O786</f>
        <v>2.8483330000000002</v>
      </c>
      <c r="Q788" s="57"/>
    </row>
    <row r="789" spans="14:17" x14ac:dyDescent="0.25">
      <c r="N789" s="14">
        <v>252.333</v>
      </c>
      <c r="O789" s="14">
        <v>0.94281099999999995</v>
      </c>
      <c r="P789">
        <v>0</v>
      </c>
      <c r="Q789" s="57"/>
    </row>
    <row r="790" spans="14:17" x14ac:dyDescent="0.25">
      <c r="N790" s="14">
        <v>252.667</v>
      </c>
      <c r="O790" s="14">
        <v>0.94192799999999999</v>
      </c>
      <c r="P790">
        <v>0</v>
      </c>
      <c r="Q790" s="57"/>
    </row>
    <row r="791" spans="14:17" x14ac:dyDescent="0.25">
      <c r="N791" s="14">
        <v>253</v>
      </c>
      <c r="O791" s="14">
        <v>0.96115899999999999</v>
      </c>
      <c r="P791" s="14">
        <f>O791+O790+O789</f>
        <v>2.845898</v>
      </c>
      <c r="Q791" s="57"/>
    </row>
    <row r="792" spans="14:17" x14ac:dyDescent="0.25">
      <c r="N792" s="14">
        <v>253.333</v>
      </c>
      <c r="O792" s="14">
        <v>0.924319</v>
      </c>
      <c r="P792">
        <v>0</v>
      </c>
      <c r="Q792" s="57"/>
    </row>
    <row r="793" spans="14:17" x14ac:dyDescent="0.25">
      <c r="N793" s="14">
        <v>253.667</v>
      </c>
      <c r="O793" s="14">
        <v>0.94416100000000003</v>
      </c>
      <c r="P793">
        <v>0</v>
      </c>
      <c r="Q793" s="57"/>
    </row>
    <row r="794" spans="14:17" x14ac:dyDescent="0.25">
      <c r="N794" s="14">
        <v>254</v>
      </c>
      <c r="O794" s="14">
        <v>0.96161700000000006</v>
      </c>
      <c r="P794" s="14">
        <f>O794+O793+O792</f>
        <v>2.8300970000000003</v>
      </c>
      <c r="Q794" s="57"/>
    </row>
    <row r="795" spans="14:17" x14ac:dyDescent="0.25">
      <c r="N795" s="14">
        <v>254.333</v>
      </c>
      <c r="O795" s="14">
        <v>0.91377299999999995</v>
      </c>
      <c r="P795">
        <v>0</v>
      </c>
      <c r="Q795" s="57"/>
    </row>
    <row r="796" spans="14:17" x14ac:dyDescent="0.25">
      <c r="N796" s="14">
        <v>254.667</v>
      </c>
      <c r="O796" s="14">
        <v>0.94598899999999997</v>
      </c>
      <c r="P796">
        <v>0</v>
      </c>
      <c r="Q796" s="57"/>
    </row>
    <row r="797" spans="14:17" x14ac:dyDescent="0.25">
      <c r="N797" s="14">
        <v>255</v>
      </c>
      <c r="O797" s="14">
        <v>0.95250199999999996</v>
      </c>
      <c r="P797" s="14">
        <f>O797+O796+O795</f>
        <v>2.8122639999999999</v>
      </c>
      <c r="Q797" s="57"/>
    </row>
    <row r="798" spans="14:17" x14ac:dyDescent="0.25">
      <c r="N798" s="14">
        <v>255.333</v>
      </c>
      <c r="O798" s="14">
        <v>0.91439199999999998</v>
      </c>
      <c r="P798">
        <v>0</v>
      </c>
      <c r="Q798" s="57"/>
    </row>
    <row r="799" spans="14:17" x14ac:dyDescent="0.25">
      <c r="N799" s="14">
        <v>255.667</v>
      </c>
      <c r="O799" s="14">
        <v>0.94215000000000004</v>
      </c>
      <c r="P799">
        <v>0</v>
      </c>
      <c r="Q799" s="57"/>
    </row>
    <row r="800" spans="14:17" x14ac:dyDescent="0.25">
      <c r="N800" s="14">
        <v>256</v>
      </c>
      <c r="O800" s="14">
        <v>0.950021</v>
      </c>
      <c r="P800" s="14">
        <f>O800+O799+O798</f>
        <v>2.8065630000000001</v>
      </c>
      <c r="Q800" s="57"/>
    </row>
    <row r="801" spans="14:17" x14ac:dyDescent="0.25">
      <c r="N801" s="14">
        <v>256.33300000000003</v>
      </c>
      <c r="O801" s="14">
        <v>0.910497</v>
      </c>
      <c r="P801">
        <v>0</v>
      </c>
      <c r="Q801" s="57"/>
    </row>
    <row r="802" spans="14:17" x14ac:dyDescent="0.25">
      <c r="N802" s="14">
        <v>256.66699999999997</v>
      </c>
      <c r="O802" s="14">
        <v>0.93735199999999996</v>
      </c>
      <c r="P802">
        <v>0</v>
      </c>
      <c r="Q802" s="57"/>
    </row>
    <row r="803" spans="14:17" x14ac:dyDescent="0.25">
      <c r="N803" s="14">
        <v>257</v>
      </c>
      <c r="O803" s="14">
        <v>0.946631</v>
      </c>
      <c r="P803" s="14">
        <f>O803+O802+O801</f>
        <v>2.7944800000000001</v>
      </c>
      <c r="Q803" s="57"/>
    </row>
    <row r="804" spans="14:17" x14ac:dyDescent="0.25">
      <c r="N804" s="14">
        <v>257.33300000000003</v>
      </c>
      <c r="O804" s="14">
        <v>0.90510699999999999</v>
      </c>
      <c r="P804">
        <v>0</v>
      </c>
      <c r="Q804" s="57"/>
    </row>
    <row r="805" spans="14:17" x14ac:dyDescent="0.25">
      <c r="N805" s="14">
        <v>257.66699999999997</v>
      </c>
      <c r="O805" s="14">
        <v>0.93618800000000002</v>
      </c>
      <c r="P805">
        <v>0</v>
      </c>
      <c r="Q805" s="57"/>
    </row>
    <row r="806" spans="14:17" x14ac:dyDescent="0.25">
      <c r="N806" s="14">
        <v>258</v>
      </c>
      <c r="O806" s="14">
        <v>0.94250699999999998</v>
      </c>
      <c r="P806" s="14">
        <f>O806+O805+O804</f>
        <v>2.7838020000000001</v>
      </c>
      <c r="Q806" s="57"/>
    </row>
    <row r="807" spans="14:17" x14ac:dyDescent="0.25">
      <c r="N807" s="14">
        <v>258.33300000000003</v>
      </c>
      <c r="O807" s="14">
        <v>0.90384100000000001</v>
      </c>
      <c r="P807">
        <v>0</v>
      </c>
      <c r="Q807" s="57"/>
    </row>
    <row r="808" spans="14:17" x14ac:dyDescent="0.25">
      <c r="N808" s="14">
        <v>258.66699999999997</v>
      </c>
      <c r="O808" s="14">
        <v>0.93098800000000004</v>
      </c>
      <c r="P808">
        <v>0</v>
      </c>
      <c r="Q808" s="57"/>
    </row>
    <row r="809" spans="14:17" x14ac:dyDescent="0.25">
      <c r="N809" s="14">
        <v>259</v>
      </c>
      <c r="O809" s="14">
        <v>0.93951700000000005</v>
      </c>
      <c r="P809" s="14">
        <f>O809+O808+O807</f>
        <v>2.774346</v>
      </c>
      <c r="Q809" s="57"/>
    </row>
    <row r="810" spans="14:17" x14ac:dyDescent="0.25">
      <c r="N810" s="14">
        <v>259.33300000000003</v>
      </c>
      <c r="O810" s="14">
        <v>0.90030399999999999</v>
      </c>
      <c r="P810">
        <v>0</v>
      </c>
      <c r="Q810" s="57"/>
    </row>
    <row r="811" spans="14:17" x14ac:dyDescent="0.25">
      <c r="N811" s="14">
        <v>259.66699999999997</v>
      </c>
      <c r="O811" s="14">
        <v>0.928373</v>
      </c>
      <c r="P811">
        <v>0</v>
      </c>
      <c r="Q811" s="57"/>
    </row>
    <row r="812" spans="14:17" x14ac:dyDescent="0.25">
      <c r="N812" s="14">
        <v>260</v>
      </c>
      <c r="O812" s="14">
        <v>0.93579699999999999</v>
      </c>
      <c r="P812" s="14">
        <f>O812+O811+O810</f>
        <v>2.7644739999999999</v>
      </c>
      <c r="Q812" s="57"/>
    </row>
    <row r="813" spans="14:17" x14ac:dyDescent="0.25">
      <c r="N813" s="14">
        <v>260.33300000000003</v>
      </c>
      <c r="O813" s="14">
        <v>0.89705900000000005</v>
      </c>
      <c r="P813">
        <v>0</v>
      </c>
      <c r="Q813" s="57"/>
    </row>
    <row r="814" spans="14:17" x14ac:dyDescent="0.25">
      <c r="N814" s="14">
        <v>260.66699999999997</v>
      </c>
      <c r="O814" s="14">
        <v>0.92448399999999997</v>
      </c>
      <c r="P814">
        <v>0</v>
      </c>
      <c r="Q814" s="57"/>
    </row>
    <row r="815" spans="14:17" x14ac:dyDescent="0.25">
      <c r="N815" s="14">
        <v>261</v>
      </c>
      <c r="O815" s="14">
        <v>0.932114</v>
      </c>
      <c r="P815" s="14">
        <f>O815+O814+O813</f>
        <v>2.753657</v>
      </c>
      <c r="Q815" s="57"/>
    </row>
    <row r="816" spans="14:17" x14ac:dyDescent="0.25">
      <c r="N816" s="14">
        <v>261.33300000000003</v>
      </c>
      <c r="O816" s="14">
        <v>0.89372399999999996</v>
      </c>
      <c r="P816">
        <v>0</v>
      </c>
      <c r="Q816" s="57"/>
    </row>
    <row r="817" spans="14:17" x14ac:dyDescent="0.25">
      <c r="N817" s="14">
        <v>261.66699999999997</v>
      </c>
      <c r="O817" s="14">
        <v>0.92147599999999996</v>
      </c>
      <c r="P817">
        <v>0</v>
      </c>
      <c r="Q817" s="57"/>
    </row>
    <row r="818" spans="14:17" x14ac:dyDescent="0.25">
      <c r="N818" s="14">
        <v>262</v>
      </c>
      <c r="O818" s="14">
        <v>0.92867200000000005</v>
      </c>
      <c r="P818" s="14">
        <f>O818+O817+O816</f>
        <v>2.7438719999999996</v>
      </c>
      <c r="Q818" s="57"/>
    </row>
    <row r="819" spans="14:17" x14ac:dyDescent="0.25">
      <c r="N819" s="14">
        <v>262.33300000000003</v>
      </c>
      <c r="O819" s="14">
        <v>0.89044299999999998</v>
      </c>
      <c r="P819">
        <v>0</v>
      </c>
      <c r="Q819" s="57"/>
    </row>
    <row r="820" spans="14:17" x14ac:dyDescent="0.25">
      <c r="N820" s="14">
        <v>262.66699999999997</v>
      </c>
      <c r="O820" s="14">
        <v>0.91787700000000005</v>
      </c>
      <c r="P820">
        <v>0</v>
      </c>
      <c r="Q820" s="57"/>
    </row>
    <row r="821" spans="14:17" x14ac:dyDescent="0.25">
      <c r="N821" s="14">
        <v>263</v>
      </c>
      <c r="O821" s="14">
        <v>0.92485499999999998</v>
      </c>
      <c r="P821" s="14">
        <f>O821+O820+O819</f>
        <v>2.7331750000000001</v>
      </c>
      <c r="Q821" s="57"/>
    </row>
    <row r="822" spans="14:17" x14ac:dyDescent="0.25">
      <c r="N822" s="14">
        <v>263.33300000000003</v>
      </c>
      <c r="O822" s="14">
        <v>0.88744400000000001</v>
      </c>
      <c r="P822">
        <v>0</v>
      </c>
      <c r="Q822" s="57"/>
    </row>
    <row r="823" spans="14:17" x14ac:dyDescent="0.25">
      <c r="N823" s="14">
        <v>263.66699999999997</v>
      </c>
      <c r="O823" s="14">
        <v>0.91401200000000005</v>
      </c>
      <c r="P823">
        <v>0</v>
      </c>
      <c r="Q823" s="57"/>
    </row>
    <row r="824" spans="14:17" x14ac:dyDescent="0.25">
      <c r="N824" s="14">
        <v>264</v>
      </c>
      <c r="O824" s="14">
        <v>0.92225500000000005</v>
      </c>
      <c r="P824" s="14">
        <f>O824+O823+O822</f>
        <v>2.7237110000000002</v>
      </c>
      <c r="Q824" s="57"/>
    </row>
    <row r="825" spans="14:17" x14ac:dyDescent="0.25">
      <c r="N825" s="14">
        <v>264.33300000000003</v>
      </c>
      <c r="O825" s="14">
        <v>0.88328099999999998</v>
      </c>
      <c r="P825">
        <v>0</v>
      </c>
      <c r="Q825" s="57"/>
    </row>
    <row r="826" spans="14:17" x14ac:dyDescent="0.25">
      <c r="N826" s="14">
        <v>264.66699999999997</v>
      </c>
      <c r="O826" s="14">
        <v>0.91154500000000005</v>
      </c>
      <c r="P826">
        <v>0</v>
      </c>
      <c r="Q826" s="57"/>
    </row>
    <row r="827" spans="14:17" x14ac:dyDescent="0.25">
      <c r="N827" s="14">
        <v>265</v>
      </c>
      <c r="O827" s="14">
        <v>0.91795000000000004</v>
      </c>
      <c r="P827" s="14">
        <f>O827+O826+O825</f>
        <v>2.7127759999999999</v>
      </c>
      <c r="Q827" s="57"/>
    </row>
    <row r="828" spans="14:17" x14ac:dyDescent="0.25">
      <c r="N828" s="14">
        <v>265.33300000000003</v>
      </c>
      <c r="O828" s="14">
        <v>0.88035600000000003</v>
      </c>
      <c r="P828">
        <v>0</v>
      </c>
      <c r="Q828" s="57"/>
    </row>
    <row r="829" spans="14:17" x14ac:dyDescent="0.25">
      <c r="N829" s="14">
        <v>265.66699999999997</v>
      </c>
      <c r="O829" s="14">
        <v>0.90785400000000005</v>
      </c>
      <c r="P829">
        <v>0</v>
      </c>
      <c r="Q829" s="57"/>
    </row>
    <row r="830" spans="14:17" x14ac:dyDescent="0.25">
      <c r="N830" s="14">
        <v>266</v>
      </c>
      <c r="O830" s="14">
        <v>0.91455399999999998</v>
      </c>
      <c r="P830" s="14">
        <f>O830+O829+O828</f>
        <v>2.7027640000000002</v>
      </c>
      <c r="Q830" s="57"/>
    </row>
    <row r="831" spans="14:17" x14ac:dyDescent="0.25">
      <c r="N831" s="14">
        <v>266.33300000000003</v>
      </c>
      <c r="O831" s="14">
        <v>0.87695199999999995</v>
      </c>
      <c r="P831">
        <v>0</v>
      </c>
      <c r="Q831" s="57"/>
    </row>
    <row r="832" spans="14:17" x14ac:dyDescent="0.25">
      <c r="N832" s="14">
        <v>266.66699999999997</v>
      </c>
      <c r="O832" s="14">
        <v>0.904802</v>
      </c>
      <c r="P832">
        <v>0</v>
      </c>
      <c r="Q832" s="57"/>
    </row>
    <row r="833" spans="14:17" x14ac:dyDescent="0.25">
      <c r="N833" s="14">
        <v>267</v>
      </c>
      <c r="O833" s="14">
        <v>0.90903</v>
      </c>
      <c r="P833" s="14">
        <f>O833+O832+O831</f>
        <v>2.6907839999999998</v>
      </c>
      <c r="Q833" s="57"/>
    </row>
    <row r="834" spans="14:17" x14ac:dyDescent="0.25">
      <c r="N834" s="14">
        <v>267.33300000000003</v>
      </c>
      <c r="O834" s="14">
        <v>0.87491099999999999</v>
      </c>
      <c r="P834">
        <v>0</v>
      </c>
      <c r="Q834" s="57"/>
    </row>
    <row r="835" spans="14:17" x14ac:dyDescent="0.25">
      <c r="N835" s="14">
        <v>267.66699999999997</v>
      </c>
      <c r="O835" s="14">
        <v>0.90051599999999998</v>
      </c>
      <c r="P835">
        <v>0</v>
      </c>
      <c r="Q835" s="57"/>
    </row>
    <row r="836" spans="14:17" x14ac:dyDescent="0.25">
      <c r="N836" s="14">
        <v>268</v>
      </c>
      <c r="O836" s="14">
        <v>0.90770799999999996</v>
      </c>
      <c r="P836" s="14">
        <f>O836+O835+O834</f>
        <v>2.683135</v>
      </c>
      <c r="Q836" s="57"/>
    </row>
    <row r="837" spans="14:17" x14ac:dyDescent="0.25">
      <c r="N837" s="14">
        <v>268.33300000000003</v>
      </c>
      <c r="O837" s="14">
        <v>0.87020900000000001</v>
      </c>
      <c r="P837">
        <v>0</v>
      </c>
      <c r="Q837" s="57"/>
    </row>
    <row r="838" spans="14:17" x14ac:dyDescent="0.25">
      <c r="N838" s="14">
        <v>268.66699999999997</v>
      </c>
      <c r="O838" s="14">
        <v>0.89811700000000005</v>
      </c>
      <c r="P838">
        <v>0</v>
      </c>
      <c r="Q838" s="57"/>
    </row>
    <row r="839" spans="14:17" x14ac:dyDescent="0.25">
      <c r="N839" s="14">
        <v>269</v>
      </c>
      <c r="O839" s="14">
        <v>0.90400700000000001</v>
      </c>
      <c r="P839" s="14">
        <f>O839+O838+O837</f>
        <v>2.6723330000000001</v>
      </c>
      <c r="Q839" s="57"/>
    </row>
    <row r="840" spans="14:17" x14ac:dyDescent="0.25">
      <c r="N840" s="14">
        <v>269.33300000000003</v>
      </c>
      <c r="O840" s="14">
        <v>0.86733899999999997</v>
      </c>
      <c r="P840">
        <v>0</v>
      </c>
      <c r="Q840" s="57"/>
    </row>
    <row r="841" spans="14:17" x14ac:dyDescent="0.25">
      <c r="N841" s="14">
        <v>269.66699999999997</v>
      </c>
      <c r="O841" s="14">
        <v>0.89438099999999998</v>
      </c>
      <c r="P841">
        <v>0</v>
      </c>
      <c r="Q841" s="57"/>
    </row>
    <row r="842" spans="14:17" x14ac:dyDescent="0.25">
      <c r="N842" s="14">
        <v>270</v>
      </c>
      <c r="O842" s="14">
        <v>0.90022899999999995</v>
      </c>
      <c r="P842" s="14">
        <f>O842+O841+O840</f>
        <v>2.6619489999999999</v>
      </c>
      <c r="Q842" s="57"/>
    </row>
    <row r="843" spans="14:17" x14ac:dyDescent="0.25">
      <c r="N843" s="14">
        <v>270.33300000000003</v>
      </c>
      <c r="O843" s="14">
        <v>0.86379899999999998</v>
      </c>
      <c r="P843">
        <v>0</v>
      </c>
      <c r="Q843" s="57"/>
    </row>
    <row r="844" spans="14:17" x14ac:dyDescent="0.25">
      <c r="N844" s="14">
        <v>270.66699999999997</v>
      </c>
      <c r="O844" s="14">
        <v>0.89134100000000005</v>
      </c>
      <c r="P844">
        <v>0</v>
      </c>
      <c r="Q844" s="57"/>
    </row>
    <row r="845" spans="14:17" x14ac:dyDescent="0.25">
      <c r="N845" s="14">
        <v>271</v>
      </c>
      <c r="O845" s="14">
        <v>0.89727400000000002</v>
      </c>
      <c r="P845" s="14">
        <f>O845+O844+O843</f>
        <v>2.6524140000000003</v>
      </c>
      <c r="Q845" s="57"/>
    </row>
    <row r="846" spans="14:17" x14ac:dyDescent="0.25">
      <c r="N846" s="14">
        <v>271.33300000000003</v>
      </c>
      <c r="O846" s="14">
        <v>0.86078699999999997</v>
      </c>
      <c r="P846">
        <v>0</v>
      </c>
      <c r="Q846" s="57"/>
    </row>
    <row r="847" spans="14:17" x14ac:dyDescent="0.25">
      <c r="N847" s="14">
        <v>271.66699999999997</v>
      </c>
      <c r="O847" s="14">
        <v>0.88765000000000005</v>
      </c>
      <c r="P847">
        <v>0</v>
      </c>
      <c r="Q847" s="57"/>
    </row>
    <row r="848" spans="14:17" x14ac:dyDescent="0.25">
      <c r="N848" s="14">
        <v>272</v>
      </c>
      <c r="O848" s="14">
        <v>0.89257799999999998</v>
      </c>
      <c r="P848" s="14">
        <f>O848+O847+O846</f>
        <v>2.6410150000000003</v>
      </c>
      <c r="Q848" s="57"/>
    </row>
    <row r="849" spans="14:17" x14ac:dyDescent="0.25">
      <c r="N849" s="14">
        <v>272.33300000000003</v>
      </c>
      <c r="O849" s="14">
        <v>0.85785900000000004</v>
      </c>
      <c r="P849">
        <v>0</v>
      </c>
      <c r="Q849" s="57"/>
    </row>
    <row r="850" spans="14:17" x14ac:dyDescent="0.25">
      <c r="N850" s="14">
        <v>272.66699999999997</v>
      </c>
      <c r="O850" s="14">
        <v>0.88433700000000004</v>
      </c>
      <c r="P850">
        <v>0</v>
      </c>
      <c r="Q850" s="57"/>
    </row>
    <row r="851" spans="14:17" x14ac:dyDescent="0.25">
      <c r="N851" s="14">
        <v>273</v>
      </c>
      <c r="O851" s="14">
        <v>0.89070000000000005</v>
      </c>
      <c r="P851" s="14">
        <f>O851+O850+O849</f>
        <v>2.6328960000000001</v>
      </c>
      <c r="Q851" s="57"/>
    </row>
    <row r="852" spans="14:17" x14ac:dyDescent="0.25">
      <c r="N852" s="14">
        <v>273.33300000000003</v>
      </c>
      <c r="O852" s="14">
        <v>0.85382400000000003</v>
      </c>
      <c r="P852">
        <v>0</v>
      </c>
      <c r="Q852" s="57"/>
    </row>
    <row r="853" spans="14:17" x14ac:dyDescent="0.25">
      <c r="N853" s="14">
        <v>273.66699999999997</v>
      </c>
      <c r="O853" s="14">
        <v>0.88126700000000002</v>
      </c>
      <c r="P853">
        <v>0</v>
      </c>
      <c r="Q853" s="57"/>
    </row>
    <row r="854" spans="14:17" x14ac:dyDescent="0.25">
      <c r="N854" s="14">
        <v>274</v>
      </c>
      <c r="O854" s="14">
        <v>0.88574299999999995</v>
      </c>
      <c r="P854" s="14">
        <f>O854+O853+O852</f>
        <v>2.6208339999999999</v>
      </c>
      <c r="Q854" s="57"/>
    </row>
    <row r="855" spans="14:17" x14ac:dyDescent="0.25">
      <c r="N855" s="14">
        <v>274.33300000000003</v>
      </c>
      <c r="O855" s="14">
        <v>0.85095600000000005</v>
      </c>
      <c r="P855">
        <v>0</v>
      </c>
      <c r="Q855" s="57"/>
    </row>
    <row r="856" spans="14:17" x14ac:dyDescent="0.25">
      <c r="N856" s="14">
        <v>274.66699999999997</v>
      </c>
      <c r="O856" s="14">
        <v>0.87817500000000004</v>
      </c>
      <c r="P856">
        <v>0</v>
      </c>
      <c r="Q856" s="57"/>
    </row>
    <row r="857" spans="14:17" x14ac:dyDescent="0.25">
      <c r="N857" s="14">
        <v>275</v>
      </c>
      <c r="O857" s="14">
        <v>0.88331300000000001</v>
      </c>
      <c r="P857" s="14">
        <f>O857+O856+O855</f>
        <v>2.612444</v>
      </c>
      <c r="Q857" s="57"/>
    </row>
    <row r="858" spans="14:17" x14ac:dyDescent="0.25">
      <c r="N858" s="14">
        <v>275.33300000000003</v>
      </c>
      <c r="O858" s="14">
        <v>0.84775800000000001</v>
      </c>
      <c r="P858">
        <v>0</v>
      </c>
      <c r="Q858" s="57"/>
    </row>
    <row r="859" spans="14:17" x14ac:dyDescent="0.25">
      <c r="N859" s="14">
        <v>275.66699999999997</v>
      </c>
      <c r="O859" s="14">
        <v>0.87429299999999999</v>
      </c>
      <c r="P859">
        <v>0</v>
      </c>
      <c r="Q859" s="57"/>
    </row>
    <row r="860" spans="14:17" x14ac:dyDescent="0.25">
      <c r="N860" s="14">
        <v>276</v>
      </c>
      <c r="O860" s="14">
        <v>0.87687899999999996</v>
      </c>
      <c r="P860" s="14">
        <f>O860+O859+O858</f>
        <v>2.5989300000000002</v>
      </c>
      <c r="Q860" s="57"/>
    </row>
    <row r="861" spans="14:17" x14ac:dyDescent="0.25">
      <c r="N861" s="14">
        <v>276.33300000000003</v>
      </c>
      <c r="O861" s="14">
        <v>0.84544200000000003</v>
      </c>
      <c r="P861">
        <v>0</v>
      </c>
      <c r="Q861" s="57"/>
    </row>
    <row r="862" spans="14:17" x14ac:dyDescent="0.25">
      <c r="N862" s="14">
        <v>276.66699999999997</v>
      </c>
      <c r="O862" s="14">
        <v>0.87101600000000001</v>
      </c>
      <c r="P862">
        <v>0</v>
      </c>
      <c r="Q862" s="57"/>
    </row>
    <row r="863" spans="14:17" x14ac:dyDescent="0.25">
      <c r="N863" s="14">
        <v>277</v>
      </c>
      <c r="O863" s="14">
        <v>0.876915</v>
      </c>
      <c r="P863" s="14">
        <f>O863+O862+O861</f>
        <v>2.5933729999999997</v>
      </c>
      <c r="Q863" s="57"/>
    </row>
    <row r="864" spans="14:17" x14ac:dyDescent="0.25">
      <c r="N864" s="14">
        <v>277.33300000000003</v>
      </c>
      <c r="O864" s="14">
        <v>0.84092100000000003</v>
      </c>
      <c r="P864">
        <v>0</v>
      </c>
      <c r="Q864" s="57"/>
    </row>
    <row r="865" spans="14:17" x14ac:dyDescent="0.25">
      <c r="N865" s="14">
        <v>277.66699999999997</v>
      </c>
      <c r="O865" s="14">
        <v>0.86784499999999998</v>
      </c>
      <c r="P865">
        <v>0</v>
      </c>
      <c r="Q865" s="57"/>
    </row>
    <row r="866" spans="14:17" x14ac:dyDescent="0.25">
      <c r="N866" s="14">
        <v>278</v>
      </c>
      <c r="O866" s="14">
        <v>0.87178999999999995</v>
      </c>
      <c r="P866" s="14">
        <f>O866+O865+O864</f>
        <v>2.5805559999999996</v>
      </c>
      <c r="Q866" s="57"/>
    </row>
    <row r="867" spans="14:17" x14ac:dyDescent="0.25">
      <c r="N867" s="14">
        <v>278.33300000000003</v>
      </c>
      <c r="O867" s="14">
        <v>0.83803700000000003</v>
      </c>
      <c r="P867">
        <v>0</v>
      </c>
      <c r="Q867" s="57"/>
    </row>
    <row r="868" spans="14:17" x14ac:dyDescent="0.25">
      <c r="N868" s="14">
        <v>278.66699999999997</v>
      </c>
      <c r="O868" s="14">
        <v>0.86507299999999998</v>
      </c>
      <c r="P868">
        <v>0</v>
      </c>
      <c r="Q868" s="57"/>
    </row>
    <row r="869" spans="14:17" x14ac:dyDescent="0.25">
      <c r="N869" s="14">
        <v>279</v>
      </c>
      <c r="O869" s="14">
        <v>0.86954100000000001</v>
      </c>
      <c r="P869" s="14">
        <f>O869+O868+O867</f>
        <v>2.572651</v>
      </c>
      <c r="Q869" s="57"/>
    </row>
    <row r="870" spans="14:17" x14ac:dyDescent="0.25">
      <c r="N870" s="14">
        <v>279.33300000000003</v>
      </c>
      <c r="O870" s="14">
        <v>0.83471600000000001</v>
      </c>
      <c r="P870">
        <v>0</v>
      </c>
      <c r="Q870" s="57"/>
    </row>
    <row r="871" spans="14:17" x14ac:dyDescent="0.25">
      <c r="N871" s="14">
        <v>279.66699999999997</v>
      </c>
      <c r="O871" s="14">
        <v>0.86095500000000003</v>
      </c>
      <c r="P871">
        <v>0</v>
      </c>
      <c r="Q871" s="57"/>
    </row>
    <row r="872" spans="14:17" x14ac:dyDescent="0.25">
      <c r="N872" s="14">
        <v>280</v>
      </c>
      <c r="O872" s="14">
        <v>0.86511099999999996</v>
      </c>
      <c r="P872" s="14">
        <f>O872+O871+O870</f>
        <v>2.5607819999999997</v>
      </c>
      <c r="Q872" s="57"/>
    </row>
    <row r="873" spans="14:17" x14ac:dyDescent="0.25">
      <c r="N873" s="14">
        <v>280.33300000000003</v>
      </c>
      <c r="O873" s="14">
        <v>0.83132899999999998</v>
      </c>
      <c r="P873">
        <v>0</v>
      </c>
      <c r="Q873" s="57"/>
    </row>
    <row r="874" spans="14:17" x14ac:dyDescent="0.25">
      <c r="N874" s="14">
        <v>280.66699999999997</v>
      </c>
      <c r="O874" s="14">
        <v>0.85877499999999996</v>
      </c>
      <c r="P874">
        <v>0</v>
      </c>
      <c r="Q874" s="57"/>
    </row>
    <row r="875" spans="14:17" x14ac:dyDescent="0.25">
      <c r="N875" s="14">
        <v>281</v>
      </c>
      <c r="O875" s="14">
        <v>0.862645</v>
      </c>
      <c r="P875" s="14">
        <f>O875+O874+O873</f>
        <v>2.5527489999999999</v>
      </c>
      <c r="Q875" s="57"/>
    </row>
    <row r="876" spans="14:17" x14ac:dyDescent="0.25">
      <c r="N876" s="14">
        <v>281.33300000000003</v>
      </c>
      <c r="O876" s="14">
        <v>0.82806400000000002</v>
      </c>
      <c r="P876">
        <v>0</v>
      </c>
      <c r="Q876" s="57"/>
    </row>
    <row r="877" spans="14:17" x14ac:dyDescent="0.25">
      <c r="N877" s="14">
        <v>281.66699999999997</v>
      </c>
      <c r="O877" s="14">
        <v>0.85407599999999995</v>
      </c>
      <c r="P877">
        <v>0</v>
      </c>
      <c r="Q877" s="57"/>
    </row>
    <row r="878" spans="14:17" x14ac:dyDescent="0.25">
      <c r="N878" s="14">
        <v>282</v>
      </c>
      <c r="O878" s="14">
        <v>0.85837399999999997</v>
      </c>
      <c r="P878" s="14">
        <f>O878+O877+O876</f>
        <v>2.5405139999999999</v>
      </c>
      <c r="Q878" s="57"/>
    </row>
    <row r="879" spans="14:17" x14ac:dyDescent="0.25">
      <c r="N879" s="14">
        <v>282.33300000000003</v>
      </c>
      <c r="O879" s="14">
        <v>0.82508899999999996</v>
      </c>
      <c r="P879">
        <v>0</v>
      </c>
      <c r="Q879" s="57"/>
    </row>
    <row r="880" spans="14:17" x14ac:dyDescent="0.25">
      <c r="N880" s="14">
        <v>282.66699999999997</v>
      </c>
      <c r="O880" s="14">
        <v>0.85224699999999998</v>
      </c>
      <c r="P880">
        <v>0</v>
      </c>
      <c r="Q880" s="57"/>
    </row>
    <row r="881" spans="14:17" x14ac:dyDescent="0.25">
      <c r="N881" s="14">
        <v>283</v>
      </c>
      <c r="O881" s="14">
        <v>0.85577099999999995</v>
      </c>
      <c r="P881" s="14">
        <f>O881+O880+O879</f>
        <v>2.5331070000000002</v>
      </c>
      <c r="Q881" s="57"/>
    </row>
    <row r="882" spans="14:17" x14ac:dyDescent="0.25">
      <c r="N882" s="14">
        <v>283.33300000000003</v>
      </c>
      <c r="O882" s="14">
        <v>0.82148600000000005</v>
      </c>
      <c r="P882">
        <v>0</v>
      </c>
      <c r="Q882" s="57"/>
    </row>
    <row r="883" spans="14:17" x14ac:dyDescent="0.25">
      <c r="N883" s="14">
        <v>283.66699999999997</v>
      </c>
      <c r="O883" s="14">
        <v>0.84769499999999998</v>
      </c>
      <c r="P883">
        <v>0</v>
      </c>
      <c r="Q883" s="57"/>
    </row>
    <row r="884" spans="14:17" x14ac:dyDescent="0.25">
      <c r="N884" s="14">
        <v>284</v>
      </c>
      <c r="O884" s="14">
        <v>0.85116999999999998</v>
      </c>
      <c r="P884" s="14">
        <f>O884+O883+O882</f>
        <v>2.5203510000000002</v>
      </c>
      <c r="Q884" s="57"/>
    </row>
    <row r="885" spans="14:17" x14ac:dyDescent="0.25">
      <c r="N885" s="14">
        <v>284.33300000000003</v>
      </c>
      <c r="O885" s="14">
        <v>0.81904900000000003</v>
      </c>
      <c r="P885">
        <v>0</v>
      </c>
      <c r="Q885" s="57"/>
    </row>
    <row r="886" spans="14:17" x14ac:dyDescent="0.25">
      <c r="N886" s="14">
        <v>284.66699999999997</v>
      </c>
      <c r="O886" s="14">
        <v>0.84593300000000005</v>
      </c>
      <c r="P886">
        <v>0</v>
      </c>
      <c r="Q886" s="57"/>
    </row>
    <row r="887" spans="14:17" x14ac:dyDescent="0.25">
      <c r="N887" s="14">
        <v>285</v>
      </c>
      <c r="O887" s="14">
        <v>0.84864399999999995</v>
      </c>
      <c r="P887" s="14">
        <f>O887+O886+O885</f>
        <v>2.5136259999999999</v>
      </c>
      <c r="Q887" s="57"/>
    </row>
    <row r="888" spans="14:17" x14ac:dyDescent="0.25">
      <c r="N888" s="14">
        <v>285.33300000000003</v>
      </c>
      <c r="O888" s="14">
        <v>0.81334499999999998</v>
      </c>
      <c r="P888">
        <v>0</v>
      </c>
      <c r="Q888" s="57"/>
    </row>
    <row r="889" spans="14:17" x14ac:dyDescent="0.25">
      <c r="N889" s="14">
        <v>285.66699999999997</v>
      </c>
      <c r="O889" s="14">
        <v>0.84214800000000001</v>
      </c>
      <c r="P889">
        <v>0</v>
      </c>
      <c r="Q889" s="57"/>
    </row>
    <row r="890" spans="14:17" x14ac:dyDescent="0.25">
      <c r="N890" s="14">
        <v>286</v>
      </c>
      <c r="O890" s="14">
        <v>0.84325799999999995</v>
      </c>
      <c r="P890" s="14">
        <f>O890+O889+O888</f>
        <v>2.4987509999999999</v>
      </c>
      <c r="Q890" s="57"/>
    </row>
    <row r="891" spans="14:17" x14ac:dyDescent="0.25">
      <c r="N891" s="14">
        <v>286.33300000000003</v>
      </c>
      <c r="O891" s="14">
        <v>0.81330899999999995</v>
      </c>
      <c r="P891">
        <v>0</v>
      </c>
      <c r="Q891" s="57"/>
    </row>
    <row r="892" spans="14:17" x14ac:dyDescent="0.25">
      <c r="N892" s="14">
        <v>286.66699999999997</v>
      </c>
      <c r="O892" s="14">
        <v>0.83947700000000003</v>
      </c>
      <c r="P892">
        <v>0</v>
      </c>
      <c r="Q892" s="57"/>
    </row>
    <row r="893" spans="14:17" x14ac:dyDescent="0.25">
      <c r="N893" s="14">
        <v>287</v>
      </c>
      <c r="O893" s="14">
        <v>0.84192400000000001</v>
      </c>
      <c r="P893" s="14">
        <f>O893+O892+O891</f>
        <v>2.49471</v>
      </c>
      <c r="Q893" s="57"/>
    </row>
    <row r="894" spans="14:17" x14ac:dyDescent="0.25">
      <c r="N894" s="14">
        <v>287.33300000000003</v>
      </c>
      <c r="O894" s="14">
        <v>0.80853799999999998</v>
      </c>
      <c r="P894">
        <v>0</v>
      </c>
      <c r="Q894" s="57"/>
    </row>
    <row r="895" spans="14:17" x14ac:dyDescent="0.25">
      <c r="N895" s="14">
        <v>287.66699999999997</v>
      </c>
      <c r="O895" s="14">
        <v>0.828125</v>
      </c>
      <c r="P895">
        <v>0</v>
      </c>
      <c r="Q895" s="57"/>
    </row>
    <row r="896" spans="14:17" x14ac:dyDescent="0.25">
      <c r="N896" s="14">
        <v>288</v>
      </c>
      <c r="O896" s="14">
        <v>0.83986099999999997</v>
      </c>
      <c r="P896" s="14">
        <f>O896+O895+O894</f>
        <v>2.4765239999999999</v>
      </c>
      <c r="Q896" s="57"/>
    </row>
    <row r="897" spans="14:17" x14ac:dyDescent="0.25">
      <c r="N897" s="14">
        <v>288.33300000000003</v>
      </c>
      <c r="O897" s="14">
        <v>0.81630499999999995</v>
      </c>
      <c r="P897">
        <v>0</v>
      </c>
      <c r="Q897" s="57"/>
    </row>
    <row r="898" spans="14:17" x14ac:dyDescent="0.25">
      <c r="N898" s="14">
        <v>288.66699999999997</v>
      </c>
      <c r="O898" s="14">
        <v>0.823681</v>
      </c>
      <c r="P898">
        <v>0</v>
      </c>
      <c r="Q898" s="57"/>
    </row>
    <row r="899" spans="14:17" x14ac:dyDescent="0.25">
      <c r="N899" s="14">
        <v>289</v>
      </c>
      <c r="O899" s="14">
        <v>0.82558600000000004</v>
      </c>
      <c r="P899" s="14">
        <f>O899+O898+O897</f>
        <v>2.4655719999999999</v>
      </c>
      <c r="Q899" s="57"/>
    </row>
    <row r="900" spans="14:17" x14ac:dyDescent="0.25">
      <c r="N900" s="14">
        <v>289.33300000000003</v>
      </c>
      <c r="O900" s="14">
        <v>0.807315</v>
      </c>
      <c r="P900">
        <v>0</v>
      </c>
      <c r="Q900" s="57"/>
    </row>
    <row r="901" spans="14:17" x14ac:dyDescent="0.25">
      <c r="N901" s="14">
        <v>289.66699999999997</v>
      </c>
      <c r="O901" s="14">
        <v>0.83093399999999995</v>
      </c>
      <c r="P901">
        <v>0</v>
      </c>
      <c r="Q901" s="57"/>
    </row>
    <row r="902" spans="14:17" x14ac:dyDescent="0.25">
      <c r="N902" s="14">
        <v>290</v>
      </c>
      <c r="O902" s="14">
        <v>0.82725800000000005</v>
      </c>
      <c r="P902" s="14">
        <f>O902+O901+O900</f>
        <v>2.4655070000000001</v>
      </c>
      <c r="Q902" s="57"/>
    </row>
    <row r="903" spans="14:17" x14ac:dyDescent="0.25">
      <c r="N903" s="14">
        <v>290.33300000000003</v>
      </c>
      <c r="O903" s="14">
        <v>0.80534700000000004</v>
      </c>
      <c r="P903">
        <v>0</v>
      </c>
      <c r="Q903" s="57"/>
    </row>
    <row r="904" spans="14:17" x14ac:dyDescent="0.25">
      <c r="N904" s="14">
        <v>290.66699999999997</v>
      </c>
      <c r="O904" s="14">
        <v>0.82137000000000004</v>
      </c>
      <c r="P904">
        <v>0</v>
      </c>
      <c r="Q904" s="57"/>
    </row>
    <row r="905" spans="14:17" x14ac:dyDescent="0.25">
      <c r="N905" s="14">
        <v>291</v>
      </c>
      <c r="O905" s="14">
        <v>0.82478799999999997</v>
      </c>
      <c r="P905" s="14">
        <f>O905+O904+O903</f>
        <v>2.451505</v>
      </c>
      <c r="Q905" s="57"/>
    </row>
    <row r="906" spans="14:17" x14ac:dyDescent="0.25">
      <c r="N906" s="14">
        <v>291.33300000000003</v>
      </c>
      <c r="O906" s="14">
        <v>0.80886400000000003</v>
      </c>
      <c r="P906">
        <v>0</v>
      </c>
      <c r="Q906" s="57"/>
    </row>
    <row r="907" spans="14:17" x14ac:dyDescent="0.25">
      <c r="N907" s="14">
        <v>291.66699999999997</v>
      </c>
      <c r="O907" s="14">
        <v>0.80783099999999997</v>
      </c>
      <c r="P907">
        <v>0</v>
      </c>
      <c r="Q907" s="57"/>
    </row>
    <row r="908" spans="14:17" x14ac:dyDescent="0.25">
      <c r="N908" s="14">
        <v>292</v>
      </c>
      <c r="O908" s="14">
        <v>0.82572699999999999</v>
      </c>
      <c r="P908" s="14">
        <f>O908+O907+O906</f>
        <v>2.4424219999999996</v>
      </c>
      <c r="Q908" s="57"/>
    </row>
    <row r="909" spans="14:17" x14ac:dyDescent="0.25">
      <c r="N909" s="14">
        <v>292.33300000000003</v>
      </c>
      <c r="O909" s="14">
        <v>0.80928100000000003</v>
      </c>
      <c r="P909">
        <v>0</v>
      </c>
      <c r="Q909" s="57"/>
    </row>
    <row r="910" spans="14:17" x14ac:dyDescent="0.25">
      <c r="N910" s="14">
        <v>292.66699999999997</v>
      </c>
      <c r="O910" s="14">
        <v>0.80506900000000003</v>
      </c>
      <c r="P910">
        <v>0</v>
      </c>
      <c r="Q910" s="57"/>
    </row>
    <row r="911" spans="14:17" x14ac:dyDescent="0.25">
      <c r="N911" s="14">
        <v>293</v>
      </c>
      <c r="O911" s="14">
        <v>0.82366600000000001</v>
      </c>
      <c r="P911" s="14">
        <f>O911+O910+O909</f>
        <v>2.4380160000000002</v>
      </c>
      <c r="Q911" s="57"/>
    </row>
    <row r="912" spans="14:17" x14ac:dyDescent="0.25">
      <c r="N912" s="14">
        <v>293.33300000000003</v>
      </c>
      <c r="O912" s="14">
        <v>0.80007700000000004</v>
      </c>
      <c r="P912">
        <v>0</v>
      </c>
      <c r="Q912" s="57"/>
    </row>
    <row r="913" spans="14:17" x14ac:dyDescent="0.25">
      <c r="N913" s="14">
        <v>293.66699999999997</v>
      </c>
      <c r="O913" s="14">
        <v>0.80126699999999995</v>
      </c>
      <c r="P913">
        <v>0</v>
      </c>
      <c r="Q913" s="57"/>
    </row>
    <row r="914" spans="14:17" x14ac:dyDescent="0.25">
      <c r="N914" s="14">
        <v>294</v>
      </c>
      <c r="O914" s="14">
        <v>0.82116800000000001</v>
      </c>
      <c r="P914" s="14">
        <f>O914+O913+O912</f>
        <v>2.4225119999999998</v>
      </c>
      <c r="Q914" s="57"/>
    </row>
    <row r="915" spans="14:17" x14ac:dyDescent="0.25">
      <c r="N915" s="14">
        <v>294.33300000000003</v>
      </c>
      <c r="O915" s="14">
        <v>0.79910999999999999</v>
      </c>
      <c r="P915">
        <v>0</v>
      </c>
      <c r="Q915" s="57"/>
    </row>
    <row r="916" spans="14:17" x14ac:dyDescent="0.25">
      <c r="N916" s="14">
        <v>294.66699999999997</v>
      </c>
      <c r="O916" s="14">
        <v>0.80142199999999997</v>
      </c>
      <c r="P916">
        <v>0</v>
      </c>
      <c r="Q916" s="57"/>
    </row>
    <row r="917" spans="14:17" x14ac:dyDescent="0.25">
      <c r="N917" s="14">
        <v>295</v>
      </c>
      <c r="O917" s="14">
        <v>0.79400700000000002</v>
      </c>
      <c r="P917" s="14">
        <f>O917+O916+O915</f>
        <v>2.394539</v>
      </c>
      <c r="Q917" s="57"/>
    </row>
    <row r="918" spans="14:17" x14ac:dyDescent="0.25">
      <c r="N918" s="14">
        <v>295.33300000000003</v>
      </c>
      <c r="O918" s="14">
        <v>0.80284199999999994</v>
      </c>
      <c r="P918">
        <v>0</v>
      </c>
      <c r="Q918" s="57"/>
    </row>
    <row r="919" spans="14:17" x14ac:dyDescent="0.25">
      <c r="N919" s="14">
        <v>295.66699999999997</v>
      </c>
      <c r="O919" s="14">
        <v>0.81679900000000005</v>
      </c>
      <c r="P919">
        <v>0</v>
      </c>
      <c r="Q919" s="57"/>
    </row>
    <row r="920" spans="14:17" x14ac:dyDescent="0.25">
      <c r="N920" s="14">
        <v>296</v>
      </c>
      <c r="O920" s="14">
        <v>0.78099499999999999</v>
      </c>
      <c r="P920" s="14">
        <f>O920+O919+O918</f>
        <v>2.400636</v>
      </c>
      <c r="Q920" s="57"/>
    </row>
    <row r="921" spans="14:17" x14ac:dyDescent="0.25">
      <c r="N921" s="14">
        <v>296.33300000000003</v>
      </c>
      <c r="O921" s="14">
        <v>0.80879400000000001</v>
      </c>
      <c r="P921">
        <v>0</v>
      </c>
      <c r="Q921" s="57"/>
    </row>
    <row r="922" spans="14:17" x14ac:dyDescent="0.25">
      <c r="N922" s="14">
        <v>296.66699999999997</v>
      </c>
      <c r="O922" s="14">
        <v>0.80167500000000003</v>
      </c>
      <c r="P922">
        <v>0</v>
      </c>
      <c r="Q922" s="57"/>
    </row>
    <row r="923" spans="14:17" x14ac:dyDescent="0.25">
      <c r="N923" s="14">
        <v>297</v>
      </c>
      <c r="O923" s="14">
        <v>0.78177700000000006</v>
      </c>
      <c r="P923" s="14">
        <f>O923+O922+O921</f>
        <v>2.3922460000000001</v>
      </c>
      <c r="Q923" s="57"/>
    </row>
    <row r="924" spans="14:17" x14ac:dyDescent="0.25">
      <c r="N924" s="14">
        <v>297.33300000000003</v>
      </c>
      <c r="O924" s="14">
        <v>0.80788800000000005</v>
      </c>
      <c r="P924">
        <v>0</v>
      </c>
      <c r="Q924" s="57"/>
    </row>
    <row r="925" spans="14:17" x14ac:dyDescent="0.25">
      <c r="N925" s="14">
        <v>297.66699999999997</v>
      </c>
      <c r="O925" s="14">
        <v>0.78525900000000004</v>
      </c>
      <c r="P925">
        <v>0</v>
      </c>
      <c r="Q925" s="57"/>
    </row>
    <row r="926" spans="14:17" x14ac:dyDescent="0.25">
      <c r="N926" s="14">
        <v>298</v>
      </c>
      <c r="O926" s="14">
        <v>0.79612400000000005</v>
      </c>
      <c r="P926" s="14">
        <f>O926+O925+O924</f>
        <v>2.3892710000000004</v>
      </c>
      <c r="Q926" s="57"/>
    </row>
    <row r="927" spans="14:17" x14ac:dyDescent="0.25">
      <c r="N927" s="14">
        <v>298.33300000000003</v>
      </c>
      <c r="O927" s="14">
        <v>0.78578999999999999</v>
      </c>
      <c r="P927">
        <v>0</v>
      </c>
      <c r="Q927" s="57"/>
    </row>
    <row r="928" spans="14:17" x14ac:dyDescent="0.25">
      <c r="N928" s="14">
        <v>298.66699999999997</v>
      </c>
      <c r="O928" s="14">
        <v>0.79554599999999998</v>
      </c>
      <c r="P928">
        <v>0</v>
      </c>
      <c r="Q928" s="57"/>
    </row>
    <row r="929" spans="14:17" x14ac:dyDescent="0.25">
      <c r="N929" s="14">
        <v>299</v>
      </c>
      <c r="O929" s="14">
        <v>0.796655</v>
      </c>
      <c r="P929" s="14">
        <f>O929+O928+O927</f>
        <v>2.3779909999999997</v>
      </c>
      <c r="Q929" s="57"/>
    </row>
    <row r="930" spans="14:17" x14ac:dyDescent="0.25">
      <c r="N930" s="14">
        <v>299.33300000000003</v>
      </c>
      <c r="O930" s="14">
        <v>0.77397000000000005</v>
      </c>
      <c r="P930">
        <v>0</v>
      </c>
      <c r="Q930" s="57"/>
    </row>
    <row r="931" spans="14:17" x14ac:dyDescent="0.25">
      <c r="N931" s="14">
        <v>299.66699999999997</v>
      </c>
      <c r="O931" s="14">
        <v>0.79136499999999999</v>
      </c>
      <c r="P931">
        <v>0</v>
      </c>
      <c r="Q931" s="57"/>
    </row>
    <row r="932" spans="14:17" x14ac:dyDescent="0.25">
      <c r="N932" s="14">
        <v>300</v>
      </c>
      <c r="O932" s="14">
        <v>0.77731099999999997</v>
      </c>
      <c r="P932" s="14">
        <f>O932+O931+O930</f>
        <v>2.3426460000000002</v>
      </c>
      <c r="Q932" s="57"/>
    </row>
    <row r="933" spans="14:17" x14ac:dyDescent="0.25">
      <c r="N933" s="14">
        <v>300.33300000000003</v>
      </c>
      <c r="O933" s="14">
        <v>0.79497099999999998</v>
      </c>
      <c r="P933">
        <v>0</v>
      </c>
      <c r="Q933" s="57"/>
    </row>
    <row r="934" spans="14:17" x14ac:dyDescent="0.25">
      <c r="N934" s="14">
        <v>300.66699999999997</v>
      </c>
      <c r="O934" s="14">
        <v>0.79409799999999997</v>
      </c>
      <c r="P934">
        <v>0</v>
      </c>
      <c r="Q934" s="57"/>
    </row>
    <row r="935" spans="14:17" x14ac:dyDescent="0.25">
      <c r="N935" s="14">
        <v>301</v>
      </c>
      <c r="O935" s="14">
        <v>0.76937999999999995</v>
      </c>
      <c r="P935" s="14">
        <f>O935+O934+O933</f>
        <v>2.3584489999999998</v>
      </c>
      <c r="Q935" s="57"/>
    </row>
    <row r="936" spans="14:17" x14ac:dyDescent="0.25">
      <c r="N936" s="14">
        <v>301.33300000000003</v>
      </c>
      <c r="O936" s="14">
        <v>0.77766999999999997</v>
      </c>
      <c r="P936">
        <v>0</v>
      </c>
      <c r="Q936" s="57"/>
    </row>
    <row r="937" spans="14:17" x14ac:dyDescent="0.25">
      <c r="N937" s="14">
        <v>301.66699999999997</v>
      </c>
      <c r="O937" s="14">
        <v>0.79196800000000001</v>
      </c>
      <c r="P937">
        <v>0</v>
      </c>
      <c r="Q937" s="57"/>
    </row>
    <row r="938" spans="14:17" x14ac:dyDescent="0.25">
      <c r="N938" s="14">
        <v>302</v>
      </c>
      <c r="O938" s="14">
        <v>0.77914600000000001</v>
      </c>
      <c r="P938" s="14">
        <f>O938+O937+O936</f>
        <v>2.3487840000000002</v>
      </c>
      <c r="Q938" s="57"/>
    </row>
    <row r="939" spans="14:17" x14ac:dyDescent="0.25">
      <c r="N939" s="14">
        <v>302.33300000000003</v>
      </c>
      <c r="O939" s="14">
        <v>0.76406399999999997</v>
      </c>
      <c r="P939">
        <v>0</v>
      </c>
      <c r="Q939" s="57"/>
    </row>
    <row r="940" spans="14:17" x14ac:dyDescent="0.25">
      <c r="N940" s="14">
        <v>302.66699999999997</v>
      </c>
      <c r="O940" s="14">
        <v>0.80647999999999997</v>
      </c>
      <c r="P940">
        <v>0</v>
      </c>
      <c r="Q940" s="57"/>
    </row>
    <row r="941" spans="14:17" x14ac:dyDescent="0.25">
      <c r="N941" s="14">
        <v>303</v>
      </c>
      <c r="O941" s="14">
        <v>0.74735700000000005</v>
      </c>
      <c r="P941" s="14">
        <f>O941+O940+O939</f>
        <v>2.317901</v>
      </c>
      <c r="Q941" s="57"/>
    </row>
    <row r="942" spans="14:17" x14ac:dyDescent="0.25">
      <c r="N942" s="14">
        <v>303.33300000000003</v>
      </c>
      <c r="O942" s="14">
        <v>0.76453199999999999</v>
      </c>
      <c r="P942">
        <v>0</v>
      </c>
      <c r="Q942" s="57"/>
    </row>
    <row r="943" spans="14:17" x14ac:dyDescent="0.25">
      <c r="N943" s="14">
        <v>303.66699999999997</v>
      </c>
      <c r="O943" s="14">
        <v>0.82465699999999997</v>
      </c>
      <c r="P943">
        <v>0</v>
      </c>
      <c r="Q943" s="57"/>
    </row>
    <row r="944" spans="14:17" x14ac:dyDescent="0.25">
      <c r="N944" s="14">
        <v>304</v>
      </c>
      <c r="O944" s="14">
        <v>0.73342499999999999</v>
      </c>
      <c r="P944" s="14">
        <f>O944+O943+O942</f>
        <v>2.3226139999999997</v>
      </c>
      <c r="Q944" s="57"/>
    </row>
    <row r="945" spans="14:17" x14ac:dyDescent="0.25">
      <c r="N945" s="14">
        <v>304.33300000000003</v>
      </c>
      <c r="O945" s="14">
        <v>0</v>
      </c>
      <c r="P945">
        <v>0</v>
      </c>
      <c r="Q945" s="57"/>
    </row>
    <row r="946" spans="14:17" x14ac:dyDescent="0.25">
      <c r="N946" s="14">
        <v>304.66699999999997</v>
      </c>
      <c r="O946" s="14">
        <v>2.4916500000000001E-2</v>
      </c>
      <c r="P946">
        <v>0</v>
      </c>
      <c r="Q946" s="57"/>
    </row>
    <row r="947" spans="14:17" x14ac:dyDescent="0.25">
      <c r="N947" s="14">
        <v>305</v>
      </c>
      <c r="O947" s="14">
        <v>0</v>
      </c>
      <c r="P947" s="14">
        <f>O947+O946+O945</f>
        <v>2.4916500000000001E-2</v>
      </c>
      <c r="Q947" s="57"/>
    </row>
    <row r="948" spans="14:17" x14ac:dyDescent="0.25">
      <c r="N948" s="14">
        <v>305.33300000000003</v>
      </c>
      <c r="O948" s="14">
        <v>1.2017599999999999</v>
      </c>
      <c r="P948">
        <v>0</v>
      </c>
      <c r="Q948" s="57"/>
    </row>
    <row r="949" spans="14:17" x14ac:dyDescent="0.25">
      <c r="N949" s="14">
        <v>305.66699999999997</v>
      </c>
      <c r="O949" s="14">
        <v>0.85655199999999998</v>
      </c>
      <c r="P949">
        <v>0</v>
      </c>
      <c r="Q949" s="57"/>
    </row>
    <row r="950" spans="14:17" x14ac:dyDescent="0.25">
      <c r="N950" s="14">
        <v>306</v>
      </c>
      <c r="O950" s="14">
        <v>0.94566700000000004</v>
      </c>
      <c r="P950" s="14">
        <f>O950+O949+O948</f>
        <v>3.0039790000000002</v>
      </c>
      <c r="Q950" s="57"/>
    </row>
    <row r="951" spans="14:17" x14ac:dyDescent="0.25">
      <c r="N951" s="14">
        <v>306.33300000000003</v>
      </c>
      <c r="O951" s="14">
        <v>0.98219999999999996</v>
      </c>
      <c r="P951">
        <v>0</v>
      </c>
      <c r="Q951" s="57"/>
    </row>
    <row r="952" spans="14:17" x14ac:dyDescent="0.25">
      <c r="N952" s="14">
        <v>306.66699999999997</v>
      </c>
      <c r="O952" s="14">
        <v>0.88809800000000005</v>
      </c>
      <c r="P952">
        <v>0</v>
      </c>
      <c r="Q952" s="57"/>
    </row>
    <row r="953" spans="14:17" x14ac:dyDescent="0.25">
      <c r="N953" s="14">
        <v>307</v>
      </c>
      <c r="O953" s="14">
        <v>1.0031000000000001</v>
      </c>
      <c r="P953" s="14">
        <f>O953+O952+O951</f>
        <v>2.8733979999999999</v>
      </c>
      <c r="Q953" s="57"/>
    </row>
    <row r="954" spans="14:17" x14ac:dyDescent="0.25">
      <c r="N954" s="14">
        <v>307.33300000000003</v>
      </c>
      <c r="O954" s="14">
        <v>0.88301499999999999</v>
      </c>
      <c r="P954">
        <v>0</v>
      </c>
      <c r="Q954" s="57"/>
    </row>
    <row r="955" spans="14:17" x14ac:dyDescent="0.25">
      <c r="N955" s="14">
        <v>307.66699999999997</v>
      </c>
      <c r="O955" s="14">
        <v>0.97950000000000004</v>
      </c>
      <c r="P955">
        <v>0</v>
      </c>
      <c r="Q955" s="57"/>
    </row>
    <row r="956" spans="14:17" x14ac:dyDescent="0.25">
      <c r="N956" s="14">
        <v>308</v>
      </c>
      <c r="O956" s="14">
        <v>0.91049000000000002</v>
      </c>
      <c r="P956" s="14">
        <f>O956+O955+O954</f>
        <v>2.7730049999999999</v>
      </c>
      <c r="Q956" s="57"/>
    </row>
    <row r="957" spans="14:17" x14ac:dyDescent="0.25">
      <c r="N957" s="14">
        <v>308.33300000000003</v>
      </c>
      <c r="O957" s="14">
        <v>0.94361200000000001</v>
      </c>
      <c r="P957">
        <v>0</v>
      </c>
      <c r="Q957" s="57"/>
    </row>
    <row r="958" spans="14:17" x14ac:dyDescent="0.25">
      <c r="N958" s="14">
        <v>308.66699999999997</v>
      </c>
      <c r="O958" s="14">
        <v>0.93265799999999999</v>
      </c>
      <c r="P958">
        <v>0</v>
      </c>
      <c r="Q958" s="57"/>
    </row>
    <row r="959" spans="14:17" x14ac:dyDescent="0.25">
      <c r="N959" s="14">
        <v>309</v>
      </c>
      <c r="O959" s="14">
        <v>0.92137899999999995</v>
      </c>
      <c r="P959" s="14">
        <f>O959+O958+O957</f>
        <v>2.7976489999999998</v>
      </c>
      <c r="Q959" s="57"/>
    </row>
    <row r="960" spans="14:17" x14ac:dyDescent="0.25">
      <c r="N960" s="14">
        <v>309.33300000000003</v>
      </c>
      <c r="O960" s="14">
        <v>0.93214799999999998</v>
      </c>
      <c r="P960">
        <v>0</v>
      </c>
      <c r="Q960" s="57"/>
    </row>
    <row r="961" spans="14:17" x14ac:dyDescent="0.25">
      <c r="N961" s="14">
        <v>309.66699999999997</v>
      </c>
      <c r="O961" s="14">
        <v>0.93348399999999998</v>
      </c>
      <c r="P961">
        <v>0</v>
      </c>
      <c r="Q961" s="57"/>
    </row>
    <row r="962" spans="14:17" x14ac:dyDescent="0.25">
      <c r="N962" s="14">
        <v>310</v>
      </c>
      <c r="O962" s="14">
        <v>0.92748299999999995</v>
      </c>
      <c r="P962" s="14">
        <f>O962+O961+O960</f>
        <v>2.7931150000000002</v>
      </c>
      <c r="Q962" s="57"/>
    </row>
    <row r="963" spans="14:17" x14ac:dyDescent="0.25">
      <c r="N963" s="14">
        <v>310.33300000000003</v>
      </c>
      <c r="O963" s="14">
        <v>0.911825</v>
      </c>
      <c r="P963">
        <v>0</v>
      </c>
      <c r="Q963" s="57"/>
    </row>
    <row r="964" spans="14:17" x14ac:dyDescent="0.25">
      <c r="N964" s="14">
        <v>310.66699999999997</v>
      </c>
      <c r="O964" s="14">
        <v>0.93840800000000002</v>
      </c>
      <c r="P964">
        <v>0</v>
      </c>
      <c r="Q964" s="57"/>
    </row>
    <row r="965" spans="14:17" x14ac:dyDescent="0.25">
      <c r="N965" s="14">
        <v>311</v>
      </c>
      <c r="O965" s="14">
        <v>0.91453499999999999</v>
      </c>
      <c r="P965" s="14">
        <f>O965+O964+O963</f>
        <v>2.7647680000000001</v>
      </c>
      <c r="Q965" s="57"/>
    </row>
    <row r="966" spans="14:17" x14ac:dyDescent="0.25">
      <c r="N966" s="14">
        <v>311.33300000000003</v>
      </c>
      <c r="O966" s="14">
        <v>0.91295300000000001</v>
      </c>
      <c r="P966">
        <v>0</v>
      </c>
      <c r="Q966" s="57"/>
    </row>
    <row r="967" spans="14:17" x14ac:dyDescent="0.25">
      <c r="N967" s="14">
        <v>311.66699999999997</v>
      </c>
      <c r="O967" s="14">
        <v>0.92852900000000005</v>
      </c>
      <c r="P967">
        <v>0</v>
      </c>
      <c r="Q967" s="57"/>
    </row>
    <row r="968" spans="14:17" x14ac:dyDescent="0.25">
      <c r="N968" s="14">
        <v>312</v>
      </c>
      <c r="O968" s="14">
        <v>0.91876199999999997</v>
      </c>
      <c r="P968" s="14">
        <f>O968+O967+O966</f>
        <v>2.7602440000000001</v>
      </c>
      <c r="Q968" s="57"/>
    </row>
    <row r="969" spans="14:17" x14ac:dyDescent="0.25">
      <c r="N969" s="14">
        <v>312.33300000000003</v>
      </c>
      <c r="O969" s="14">
        <v>0.89722599999999997</v>
      </c>
      <c r="P969">
        <v>0</v>
      </c>
      <c r="Q969" s="57"/>
    </row>
    <row r="970" spans="14:17" x14ac:dyDescent="0.25">
      <c r="N970" s="14">
        <v>312.66699999999997</v>
      </c>
      <c r="O970" s="14">
        <v>0.93146399999999996</v>
      </c>
      <c r="P970">
        <v>0</v>
      </c>
      <c r="Q970" s="57"/>
    </row>
    <row r="971" spans="14:17" x14ac:dyDescent="0.25">
      <c r="N971" s="14">
        <v>313</v>
      </c>
      <c r="O971" s="14">
        <v>0.90754500000000005</v>
      </c>
      <c r="P971" s="14">
        <f>O971+O970+O969</f>
        <v>2.7362349999999998</v>
      </c>
      <c r="Q971" s="57"/>
    </row>
    <row r="972" spans="14:17" x14ac:dyDescent="0.25">
      <c r="N972" s="14">
        <v>313.33300000000003</v>
      </c>
      <c r="O972" s="14">
        <v>0.89606399999999997</v>
      </c>
      <c r="P972">
        <v>0</v>
      </c>
      <c r="Q972" s="57"/>
    </row>
    <row r="973" spans="14:17" x14ac:dyDescent="0.25">
      <c r="N973" s="14">
        <v>313.66699999999997</v>
      </c>
      <c r="O973" s="14">
        <v>0.92612700000000003</v>
      </c>
      <c r="P973">
        <v>0</v>
      </c>
      <c r="Q973" s="57"/>
    </row>
    <row r="974" spans="14:17" x14ac:dyDescent="0.25">
      <c r="N974" s="14">
        <v>314</v>
      </c>
      <c r="O974" s="14">
        <v>0.89342100000000002</v>
      </c>
      <c r="P974" s="14">
        <f>O974+O973+O972</f>
        <v>2.7156120000000001</v>
      </c>
      <c r="Q974" s="57"/>
    </row>
    <row r="975" spans="14:17" x14ac:dyDescent="0.25">
      <c r="N975" s="14">
        <v>314.33300000000003</v>
      </c>
      <c r="O975" s="14">
        <v>0.90668800000000005</v>
      </c>
      <c r="P975">
        <v>0</v>
      </c>
      <c r="Q975" s="57"/>
    </row>
    <row r="976" spans="14:17" x14ac:dyDescent="0.25">
      <c r="N976" s="14">
        <v>314.66699999999997</v>
      </c>
      <c r="O976" s="14">
        <v>0.91316799999999998</v>
      </c>
      <c r="P976">
        <v>0</v>
      </c>
      <c r="Q976" s="57"/>
    </row>
    <row r="977" spans="14:17" x14ac:dyDescent="0.25">
      <c r="N977" s="14">
        <v>315</v>
      </c>
      <c r="O977" s="14">
        <v>0.88418799999999997</v>
      </c>
      <c r="P977" s="14">
        <f>O977+O976+O975</f>
        <v>2.7040440000000001</v>
      </c>
      <c r="Q977" s="57"/>
    </row>
    <row r="978" spans="14:17" x14ac:dyDescent="0.25">
      <c r="N978" s="14">
        <v>315.33300000000003</v>
      </c>
      <c r="O978" s="14">
        <v>0.90374200000000005</v>
      </c>
      <c r="P978">
        <v>0</v>
      </c>
      <c r="Q978" s="57"/>
    </row>
    <row r="979" spans="14:17" x14ac:dyDescent="0.25">
      <c r="N979" s="14">
        <v>315.66699999999997</v>
      </c>
      <c r="O979" s="14">
        <v>0.90946300000000002</v>
      </c>
      <c r="P979">
        <v>0</v>
      </c>
      <c r="Q979" s="57"/>
    </row>
    <row r="980" spans="14:17" x14ac:dyDescent="0.25">
      <c r="N980" s="14">
        <v>316</v>
      </c>
      <c r="O980" s="14">
        <v>0.87676200000000004</v>
      </c>
      <c r="P980" s="14">
        <f>O980+O979+O978</f>
        <v>2.6899670000000002</v>
      </c>
      <c r="Q980" s="57"/>
    </row>
    <row r="981" spans="14:17" x14ac:dyDescent="0.25">
      <c r="N981" s="14">
        <v>316.33300000000003</v>
      </c>
      <c r="O981" s="14">
        <v>0.89475300000000002</v>
      </c>
      <c r="P981">
        <v>0</v>
      </c>
      <c r="Q981" s="57"/>
    </row>
    <row r="982" spans="14:17" x14ac:dyDescent="0.25">
      <c r="N982" s="14">
        <v>316.66699999999997</v>
      </c>
      <c r="O982" s="14">
        <v>0.91727899999999996</v>
      </c>
      <c r="P982">
        <v>0</v>
      </c>
      <c r="Q982" s="57"/>
    </row>
    <row r="983" spans="14:17" x14ac:dyDescent="0.25">
      <c r="N983" s="14">
        <v>317</v>
      </c>
      <c r="O983" s="14">
        <v>0.86839100000000002</v>
      </c>
      <c r="P983" s="14">
        <f>O983+O982+O981</f>
        <v>2.6804230000000002</v>
      </c>
      <c r="Q983" s="57"/>
    </row>
    <row r="984" spans="14:17" x14ac:dyDescent="0.25">
      <c r="N984" s="14">
        <v>317.33300000000003</v>
      </c>
      <c r="O984" s="14">
        <v>0.89782200000000001</v>
      </c>
      <c r="P984">
        <v>0</v>
      </c>
      <c r="Q984" s="57"/>
    </row>
    <row r="985" spans="14:17" x14ac:dyDescent="0.25">
      <c r="N985" s="14">
        <v>317.66699999999997</v>
      </c>
      <c r="O985" s="14">
        <v>0.89913200000000004</v>
      </c>
      <c r="P985">
        <v>0</v>
      </c>
      <c r="Q985" s="57"/>
    </row>
    <row r="986" spans="14:17" x14ac:dyDescent="0.25">
      <c r="N986" s="14">
        <v>318</v>
      </c>
      <c r="O986" s="14">
        <v>0.87224000000000002</v>
      </c>
      <c r="P986" s="14">
        <f>O986+O985+O984</f>
        <v>2.6691940000000001</v>
      </c>
      <c r="Q986" s="57"/>
    </row>
    <row r="987" spans="14:17" x14ac:dyDescent="0.25">
      <c r="N987" s="14">
        <v>318.33300000000003</v>
      </c>
      <c r="O987" s="14">
        <v>0.88560000000000005</v>
      </c>
      <c r="P987">
        <v>0</v>
      </c>
      <c r="Q987" s="57"/>
    </row>
    <row r="988" spans="14:17" x14ac:dyDescent="0.25">
      <c r="N988" s="14">
        <v>318.66699999999997</v>
      </c>
      <c r="O988" s="14">
        <v>0.89429000000000003</v>
      </c>
      <c r="P988">
        <v>0</v>
      </c>
      <c r="Q988" s="57"/>
    </row>
    <row r="989" spans="14:17" x14ac:dyDescent="0.25">
      <c r="N989" s="14">
        <v>319</v>
      </c>
      <c r="O989" s="14">
        <v>0.88047900000000001</v>
      </c>
      <c r="P989" s="14">
        <f>O989+O988+O987</f>
        <v>2.6603690000000002</v>
      </c>
      <c r="Q989" s="57"/>
    </row>
    <row r="990" spans="14:17" x14ac:dyDescent="0.25">
      <c r="N990" s="14">
        <v>319.33300000000003</v>
      </c>
      <c r="O990" s="14">
        <v>0.86043400000000003</v>
      </c>
      <c r="P990">
        <v>0</v>
      </c>
      <c r="Q990" s="57"/>
    </row>
    <row r="991" spans="14:17" x14ac:dyDescent="0.25">
      <c r="N991" s="14">
        <v>319.66699999999997</v>
      </c>
      <c r="O991" s="14">
        <v>0.91121399999999997</v>
      </c>
      <c r="P991">
        <v>0</v>
      </c>
      <c r="Q991" s="57"/>
    </row>
    <row r="992" spans="14:17" x14ac:dyDescent="0.25">
      <c r="N992" s="14">
        <v>320</v>
      </c>
      <c r="O992" s="14">
        <v>0.85645800000000005</v>
      </c>
      <c r="P992" s="14">
        <f>O992+O991+O990</f>
        <v>2.6281060000000003</v>
      </c>
      <c r="Q992" s="57"/>
    </row>
    <row r="993" spans="14:17" x14ac:dyDescent="0.25">
      <c r="N993" s="14">
        <v>320.33300000000003</v>
      </c>
      <c r="O993" s="14">
        <v>0.87172099999999997</v>
      </c>
      <c r="P993">
        <v>0</v>
      </c>
      <c r="Q993" s="57"/>
    </row>
    <row r="994" spans="14:17" x14ac:dyDescent="0.25">
      <c r="N994" s="14">
        <v>320.66699999999997</v>
      </c>
      <c r="O994" s="14">
        <v>0.88450799999999996</v>
      </c>
      <c r="P994">
        <v>0</v>
      </c>
      <c r="Q994" s="57"/>
    </row>
    <row r="995" spans="14:17" x14ac:dyDescent="0.25">
      <c r="N995" s="14">
        <v>321</v>
      </c>
      <c r="O995" s="14">
        <v>0.87124000000000001</v>
      </c>
      <c r="P995" s="14">
        <f>O995+O994+O993</f>
        <v>2.6274690000000001</v>
      </c>
      <c r="Q995" s="57"/>
    </row>
    <row r="996" spans="14:17" x14ac:dyDescent="0.25">
      <c r="N996" s="14">
        <v>321.33300000000003</v>
      </c>
      <c r="O996" s="14">
        <v>0.86234999999999995</v>
      </c>
      <c r="P996">
        <v>0</v>
      </c>
      <c r="Q996" s="57"/>
    </row>
    <row r="997" spans="14:17" x14ac:dyDescent="0.25">
      <c r="N997" s="14">
        <v>321.66699999999997</v>
      </c>
      <c r="O997" s="14">
        <v>0.87949299999999997</v>
      </c>
      <c r="P997">
        <v>0</v>
      </c>
      <c r="Q997" s="57"/>
    </row>
    <row r="998" spans="14:17" x14ac:dyDescent="0.25">
      <c r="N998" s="14">
        <v>322</v>
      </c>
      <c r="O998" s="14">
        <v>0.85756399999999999</v>
      </c>
      <c r="P998" s="14">
        <f>O998+O997+O996</f>
        <v>2.5994070000000002</v>
      </c>
      <c r="Q998" s="57"/>
    </row>
    <row r="999" spans="14:17" x14ac:dyDescent="0.25">
      <c r="N999" s="14">
        <v>322.33300000000003</v>
      </c>
      <c r="O999" s="14">
        <v>0.85753400000000002</v>
      </c>
      <c r="P999">
        <v>0</v>
      </c>
      <c r="Q999" s="57"/>
    </row>
    <row r="1000" spans="14:17" x14ac:dyDescent="0.25">
      <c r="N1000" s="14">
        <v>322.66699999999997</v>
      </c>
      <c r="O1000" s="14">
        <v>0.88984700000000005</v>
      </c>
      <c r="P1000">
        <v>0</v>
      </c>
      <c r="Q1000" s="57"/>
    </row>
    <row r="1001" spans="14:17" x14ac:dyDescent="0.25">
      <c r="N1001" s="14">
        <v>323</v>
      </c>
      <c r="O1001" s="14">
        <v>0.84095299999999995</v>
      </c>
      <c r="P1001" s="14">
        <f>O1001+O1000+O999</f>
        <v>2.5883339999999997</v>
      </c>
      <c r="Q1001" s="57"/>
    </row>
    <row r="1002" spans="14:17" x14ac:dyDescent="0.25">
      <c r="N1002" s="14">
        <v>323.33300000000003</v>
      </c>
      <c r="O1002" s="14">
        <v>0.86240000000000006</v>
      </c>
      <c r="P1002">
        <v>0</v>
      </c>
      <c r="Q1002" s="57"/>
    </row>
    <row r="1003" spans="14:17" x14ac:dyDescent="0.25">
      <c r="N1003" s="14">
        <v>323.66699999999997</v>
      </c>
      <c r="O1003" s="14">
        <v>0.85356799999999999</v>
      </c>
      <c r="P1003">
        <v>0</v>
      </c>
      <c r="Q1003" s="57"/>
    </row>
    <row r="1004" spans="14:17" x14ac:dyDescent="0.25">
      <c r="N1004" s="14">
        <v>324</v>
      </c>
      <c r="O1004" s="14">
        <v>0.87052399999999996</v>
      </c>
      <c r="P1004" s="14">
        <f>O1004+O1003+O1002</f>
        <v>2.5864919999999998</v>
      </c>
      <c r="Q1004" s="57"/>
    </row>
    <row r="1005" spans="14:17" x14ac:dyDescent="0.25">
      <c r="N1005" s="14">
        <v>324.33300000000003</v>
      </c>
      <c r="O1005" s="14">
        <v>0.84761699999999995</v>
      </c>
      <c r="P1005">
        <v>0</v>
      </c>
      <c r="Q1005" s="57"/>
    </row>
    <row r="1006" spans="14:17" x14ac:dyDescent="0.25">
      <c r="N1006" s="14">
        <v>324.66699999999997</v>
      </c>
      <c r="O1006" s="14">
        <v>0.85076200000000002</v>
      </c>
      <c r="P1006">
        <v>0</v>
      </c>
      <c r="Q1006" s="57"/>
    </row>
    <row r="1007" spans="14:17" x14ac:dyDescent="0.25">
      <c r="N1007" s="14">
        <v>325</v>
      </c>
      <c r="O1007" s="14">
        <v>0.86030200000000001</v>
      </c>
      <c r="P1007" s="14">
        <f>O1007+O1006+O1005</f>
        <v>2.558681</v>
      </c>
      <c r="Q1007" s="57"/>
    </row>
    <row r="1008" spans="14:17" x14ac:dyDescent="0.25">
      <c r="N1008" s="14">
        <v>325.33300000000003</v>
      </c>
      <c r="O1008" s="14">
        <v>0.84626900000000005</v>
      </c>
      <c r="P1008">
        <v>0</v>
      </c>
      <c r="Q1008" s="57"/>
    </row>
    <row r="1009" spans="14:17" x14ac:dyDescent="0.25">
      <c r="N1009" s="14">
        <v>325.66699999999997</v>
      </c>
      <c r="O1009" s="14">
        <v>0.85117900000000002</v>
      </c>
      <c r="P1009">
        <v>0</v>
      </c>
      <c r="Q1009" s="57"/>
    </row>
    <row r="1010" spans="14:17" x14ac:dyDescent="0.25">
      <c r="N1010" s="14">
        <v>326</v>
      </c>
      <c r="O1010" s="14">
        <v>0.84482100000000004</v>
      </c>
      <c r="P1010" s="14">
        <f>O1010+O1009+O1008</f>
        <v>2.5422690000000001</v>
      </c>
      <c r="Q1010" s="57"/>
    </row>
    <row r="1011" spans="14:17" x14ac:dyDescent="0.25">
      <c r="N1011" s="14">
        <v>326.33300000000003</v>
      </c>
      <c r="O1011" s="14">
        <v>0.84718099999999996</v>
      </c>
      <c r="P1011">
        <v>0</v>
      </c>
      <c r="Q1011" s="57"/>
    </row>
    <row r="1012" spans="14:17" x14ac:dyDescent="0.25">
      <c r="N1012" s="14">
        <v>326.66699999999997</v>
      </c>
      <c r="O1012" s="14">
        <v>0.83655900000000005</v>
      </c>
      <c r="P1012">
        <v>0</v>
      </c>
      <c r="Q1012" s="57"/>
    </row>
    <row r="1013" spans="14:17" x14ac:dyDescent="0.25">
      <c r="N1013" s="14">
        <v>327</v>
      </c>
      <c r="O1013" s="14">
        <v>0.85694700000000001</v>
      </c>
      <c r="P1013" s="14">
        <f>O1013+O1012+O1011</f>
        <v>2.5406870000000001</v>
      </c>
      <c r="Q1013" s="57"/>
    </row>
    <row r="1014" spans="14:17" x14ac:dyDescent="0.25">
      <c r="N1014" s="14">
        <v>327.33300000000003</v>
      </c>
      <c r="O1014" s="14">
        <v>0.84187400000000001</v>
      </c>
      <c r="P1014">
        <v>0</v>
      </c>
      <c r="Q1014" s="57"/>
    </row>
    <row r="1015" spans="14:17" x14ac:dyDescent="0.25">
      <c r="N1015" s="14">
        <v>327.66699999999997</v>
      </c>
      <c r="O1015" s="14">
        <v>0.829287</v>
      </c>
      <c r="P1015">
        <v>0</v>
      </c>
      <c r="Q1015" s="57"/>
    </row>
    <row r="1016" spans="14:17" x14ac:dyDescent="0.25">
      <c r="N1016" s="14">
        <v>328</v>
      </c>
      <c r="O1016" s="14">
        <v>0.84607900000000003</v>
      </c>
      <c r="P1016" s="14">
        <f>O1016+O1015+O1014</f>
        <v>2.5172400000000001</v>
      </c>
      <c r="Q1016" s="57"/>
    </row>
    <row r="1017" spans="14:17" x14ac:dyDescent="0.25">
      <c r="N1017" s="14">
        <v>328.33300000000003</v>
      </c>
      <c r="O1017" s="14">
        <v>0.83967499999999995</v>
      </c>
      <c r="P1017">
        <v>0</v>
      </c>
      <c r="Q1017" s="57"/>
    </row>
    <row r="1018" spans="14:17" x14ac:dyDescent="0.25">
      <c r="N1018" s="14">
        <v>328.66699999999997</v>
      </c>
      <c r="O1018" s="14">
        <v>0.83088700000000004</v>
      </c>
      <c r="P1018">
        <v>0</v>
      </c>
      <c r="Q1018" s="57"/>
    </row>
    <row r="1019" spans="14:17" x14ac:dyDescent="0.25">
      <c r="N1019" s="14">
        <v>329</v>
      </c>
      <c r="O1019" s="14">
        <v>0.83582299999999998</v>
      </c>
      <c r="P1019" s="14">
        <f>O1019+O1018+O1017</f>
        <v>2.5063849999999999</v>
      </c>
      <c r="Q1019" s="57"/>
    </row>
    <row r="1020" spans="14:17" x14ac:dyDescent="0.25">
      <c r="N1020" s="14">
        <v>329.33300000000003</v>
      </c>
      <c r="O1020" s="14">
        <v>0.84391799999999995</v>
      </c>
      <c r="P1020">
        <v>0</v>
      </c>
      <c r="Q1020" s="57"/>
    </row>
    <row r="1021" spans="14:17" x14ac:dyDescent="0.25">
      <c r="N1021" s="14">
        <v>329.66699999999997</v>
      </c>
      <c r="O1021" s="14">
        <v>0.80755900000000003</v>
      </c>
      <c r="P1021">
        <v>0</v>
      </c>
      <c r="Q1021" s="57"/>
    </row>
    <row r="1022" spans="14:17" x14ac:dyDescent="0.25">
      <c r="N1022" s="14">
        <v>330</v>
      </c>
      <c r="O1022" s="14">
        <v>0.83861200000000002</v>
      </c>
      <c r="P1022" s="14">
        <f>O1022+O1021+O1020</f>
        <v>2.4900890000000002</v>
      </c>
      <c r="Q1022" s="57"/>
    </row>
    <row r="1023" spans="14:17" x14ac:dyDescent="0.25">
      <c r="N1023" s="14">
        <v>330.33300000000003</v>
      </c>
      <c r="O1023" s="14">
        <v>0.84072800000000003</v>
      </c>
      <c r="P1023">
        <v>0</v>
      </c>
      <c r="Q1023" s="57"/>
    </row>
    <row r="1024" spans="14:17" x14ac:dyDescent="0.25">
      <c r="N1024" s="14">
        <v>330.66699999999997</v>
      </c>
      <c r="O1024" s="14">
        <v>0.80784100000000003</v>
      </c>
      <c r="P1024">
        <v>0</v>
      </c>
      <c r="Q1024" s="57"/>
    </row>
    <row r="1025" spans="14:17" x14ac:dyDescent="0.25">
      <c r="N1025" s="14">
        <v>331</v>
      </c>
      <c r="O1025" s="14">
        <v>0.83320099999999997</v>
      </c>
      <c r="P1025" s="14">
        <f>O1025+O1024+O1023</f>
        <v>2.48177</v>
      </c>
      <c r="Q1025" s="57"/>
    </row>
    <row r="1026" spans="14:17" x14ac:dyDescent="0.25">
      <c r="N1026" s="14">
        <v>331.33300000000003</v>
      </c>
      <c r="O1026" s="14">
        <v>0.83079499999999995</v>
      </c>
      <c r="P1026">
        <v>0</v>
      </c>
      <c r="Q1026" s="57"/>
    </row>
    <row r="1027" spans="14:17" x14ac:dyDescent="0.25">
      <c r="N1027" s="14">
        <v>331.66699999999997</v>
      </c>
      <c r="O1027" s="14">
        <v>0.79941099999999998</v>
      </c>
      <c r="P1027">
        <v>0</v>
      </c>
      <c r="Q1027" s="57"/>
    </row>
    <row r="1028" spans="14:17" x14ac:dyDescent="0.25">
      <c r="N1028" s="14">
        <v>332</v>
      </c>
      <c r="O1028" s="14">
        <v>0.83848400000000001</v>
      </c>
      <c r="P1028" s="14">
        <f>O1028+O1027+O1026</f>
        <v>2.4686899999999996</v>
      </c>
      <c r="Q1028" s="57"/>
    </row>
    <row r="1029" spans="14:17" x14ac:dyDescent="0.25">
      <c r="N1029" s="14">
        <v>332.33300000000003</v>
      </c>
      <c r="O1029" s="14">
        <v>0.82162199999999996</v>
      </c>
      <c r="P1029">
        <v>0</v>
      </c>
      <c r="Q1029" s="57"/>
    </row>
    <row r="1030" spans="14:17" x14ac:dyDescent="0.25">
      <c r="N1030" s="14">
        <v>332.66699999999997</v>
      </c>
      <c r="O1030" s="14">
        <v>0.79864500000000005</v>
      </c>
      <c r="P1030">
        <v>0</v>
      </c>
      <c r="Q1030" s="57"/>
    </row>
    <row r="1031" spans="14:17" x14ac:dyDescent="0.25">
      <c r="N1031" s="14">
        <v>333</v>
      </c>
      <c r="O1031" s="14">
        <v>0.83317799999999997</v>
      </c>
      <c r="P1031" s="14">
        <f>O1031+O1030+O1029</f>
        <v>2.4534449999999999</v>
      </c>
      <c r="Q1031" s="57"/>
    </row>
    <row r="1032" spans="14:17" x14ac:dyDescent="0.25">
      <c r="N1032" s="14">
        <v>333.33300000000003</v>
      </c>
      <c r="O1032" s="14">
        <v>0.80971300000000002</v>
      </c>
      <c r="P1032">
        <v>0</v>
      </c>
      <c r="Q1032" s="57"/>
    </row>
    <row r="1033" spans="14:17" x14ac:dyDescent="0.25">
      <c r="N1033" s="14">
        <v>333.66699999999997</v>
      </c>
      <c r="O1033" s="14">
        <v>0.80359400000000003</v>
      </c>
      <c r="P1033">
        <v>0</v>
      </c>
      <c r="Q1033" s="57"/>
    </row>
    <row r="1034" spans="14:17" x14ac:dyDescent="0.25">
      <c r="N1034" s="14">
        <v>334</v>
      </c>
      <c r="O1034" s="14">
        <v>0.82578099999999999</v>
      </c>
      <c r="P1034" s="14">
        <f>O1034+O1033+O1032</f>
        <v>2.4390879999999999</v>
      </c>
      <c r="Q1034" s="57"/>
    </row>
    <row r="1035" spans="14:17" x14ac:dyDescent="0.25">
      <c r="N1035" s="14">
        <v>334.33300000000003</v>
      </c>
      <c r="O1035" s="14">
        <v>0.80279900000000004</v>
      </c>
      <c r="P1035">
        <v>0</v>
      </c>
      <c r="Q1035" s="57"/>
    </row>
    <row r="1036" spans="14:17" x14ac:dyDescent="0.25">
      <c r="N1036" s="14">
        <v>334.66699999999997</v>
      </c>
      <c r="O1036" s="14">
        <v>0.80249899999999996</v>
      </c>
      <c r="P1036">
        <v>0</v>
      </c>
      <c r="Q1036" s="57"/>
    </row>
    <row r="1037" spans="14:17" x14ac:dyDescent="0.25">
      <c r="N1037" s="14">
        <v>335</v>
      </c>
      <c r="O1037" s="14">
        <v>0.817218</v>
      </c>
      <c r="P1037" s="14">
        <f>O1037+O1036+O1035</f>
        <v>2.4225159999999999</v>
      </c>
      <c r="Q1037" s="57"/>
    </row>
    <row r="1038" spans="14:17" x14ac:dyDescent="0.25">
      <c r="N1038" s="14">
        <v>335.33300000000003</v>
      </c>
      <c r="O1038" s="14">
        <v>0.80341200000000002</v>
      </c>
      <c r="P1038">
        <v>0</v>
      </c>
      <c r="Q1038" s="57"/>
    </row>
    <row r="1039" spans="14:17" x14ac:dyDescent="0.25">
      <c r="N1039" s="14">
        <v>335.66699999999997</v>
      </c>
      <c r="O1039" s="14">
        <v>0.79396699999999998</v>
      </c>
      <c r="P1039">
        <v>0</v>
      </c>
      <c r="Q1039" s="57"/>
    </row>
    <row r="1040" spans="14:17" x14ac:dyDescent="0.25">
      <c r="N1040" s="14">
        <v>336</v>
      </c>
      <c r="O1040" s="14">
        <v>0.81529099999999999</v>
      </c>
      <c r="P1040" s="14">
        <f>O1040+O1039+O1038</f>
        <v>2.4126700000000003</v>
      </c>
      <c r="Q1040" s="57"/>
    </row>
    <row r="1041" spans="14:17" x14ac:dyDescent="0.25">
      <c r="N1041" s="14">
        <v>336.33300000000003</v>
      </c>
      <c r="O1041" s="14">
        <v>0.79498899999999995</v>
      </c>
      <c r="P1041">
        <v>0</v>
      </c>
      <c r="Q1041" s="57"/>
    </row>
    <row r="1042" spans="14:17" x14ac:dyDescent="0.25">
      <c r="N1042" s="14">
        <v>336.66699999999997</v>
      </c>
      <c r="O1042" s="14">
        <v>0.79197200000000001</v>
      </c>
      <c r="P1042">
        <v>0</v>
      </c>
      <c r="Q1042" s="57"/>
    </row>
    <row r="1043" spans="14:17" x14ac:dyDescent="0.25">
      <c r="N1043" s="14">
        <v>337</v>
      </c>
      <c r="O1043" s="14">
        <v>0.81011500000000003</v>
      </c>
      <c r="P1043" s="14">
        <f>O1043+O1042+O1041</f>
        <v>2.3970760000000002</v>
      </c>
      <c r="Q1043" s="57"/>
    </row>
    <row r="1044" spans="14:17" x14ac:dyDescent="0.25">
      <c r="N1044" s="14">
        <v>337.33300000000003</v>
      </c>
      <c r="O1044" s="14">
        <v>0.79264699999999999</v>
      </c>
      <c r="P1044">
        <v>0</v>
      </c>
      <c r="Q1044" s="57"/>
    </row>
    <row r="1045" spans="14:17" x14ac:dyDescent="0.25">
      <c r="N1045" s="14">
        <v>337.66699999999997</v>
      </c>
      <c r="O1045" s="14">
        <v>0.78650399999999998</v>
      </c>
      <c r="P1045">
        <v>0</v>
      </c>
      <c r="Q1045" s="57"/>
    </row>
    <row r="1046" spans="14:17" x14ac:dyDescent="0.25">
      <c r="N1046" s="14">
        <v>338</v>
      </c>
      <c r="O1046" s="14">
        <v>0.80212399999999995</v>
      </c>
      <c r="P1046" s="14">
        <f>O1046+O1045+O1044</f>
        <v>2.381275</v>
      </c>
      <c r="Q1046" s="57"/>
    </row>
    <row r="1047" spans="14:17" x14ac:dyDescent="0.25">
      <c r="N1047" s="14">
        <v>338.33300000000003</v>
      </c>
      <c r="O1047" s="14">
        <v>0.78801600000000005</v>
      </c>
      <c r="P1047">
        <v>0</v>
      </c>
      <c r="Q1047" s="57"/>
    </row>
    <row r="1048" spans="14:17" x14ac:dyDescent="0.25">
      <c r="N1048" s="14">
        <v>338.66699999999997</v>
      </c>
      <c r="O1048" s="14">
        <v>0.78134099999999995</v>
      </c>
      <c r="P1048">
        <v>0</v>
      </c>
      <c r="Q1048" s="57"/>
    </row>
    <row r="1049" spans="14:17" x14ac:dyDescent="0.25">
      <c r="N1049" s="14">
        <v>339</v>
      </c>
      <c r="O1049" s="14">
        <v>0.80318000000000001</v>
      </c>
      <c r="P1049" s="14">
        <f>O1049+O1048+O1047</f>
        <v>2.3725370000000003</v>
      </c>
      <c r="Q1049" s="57"/>
    </row>
    <row r="1050" spans="14:17" x14ac:dyDescent="0.25">
      <c r="N1050" s="14">
        <v>339.33300000000003</v>
      </c>
      <c r="O1050" s="14">
        <v>0.78189200000000003</v>
      </c>
      <c r="P1050">
        <v>0</v>
      </c>
      <c r="Q1050" s="57"/>
    </row>
    <row r="1051" spans="14:17" x14ac:dyDescent="0.25">
      <c r="N1051" s="14">
        <v>339.66699999999997</v>
      </c>
      <c r="O1051" s="14">
        <v>0.77920999999999996</v>
      </c>
      <c r="P1051">
        <v>0</v>
      </c>
      <c r="Q1051" s="57"/>
    </row>
    <row r="1052" spans="14:17" x14ac:dyDescent="0.25">
      <c r="N1052" s="14">
        <v>340</v>
      </c>
      <c r="O1052" s="14">
        <v>0.78634999999999999</v>
      </c>
      <c r="P1052" s="14">
        <f>O1052+O1051+O1050</f>
        <v>2.3474520000000001</v>
      </c>
      <c r="Q1052" s="57"/>
    </row>
    <row r="1053" spans="14:17" x14ac:dyDescent="0.25">
      <c r="N1053" s="14">
        <v>340.33300000000003</v>
      </c>
      <c r="O1053" s="14">
        <v>0.78967699999999996</v>
      </c>
      <c r="P1053">
        <v>0</v>
      </c>
      <c r="Q1053" s="57"/>
    </row>
    <row r="1054" spans="14:17" x14ac:dyDescent="0.25">
      <c r="N1054" s="14">
        <v>340.66699999999997</v>
      </c>
      <c r="O1054" s="14">
        <v>0.77274600000000004</v>
      </c>
      <c r="P1054">
        <v>0</v>
      </c>
      <c r="Q1054" s="57"/>
    </row>
    <row r="1055" spans="14:17" x14ac:dyDescent="0.25">
      <c r="N1055" s="14">
        <v>341</v>
      </c>
      <c r="O1055" s="14">
        <v>0.78303699999999998</v>
      </c>
      <c r="P1055" s="14">
        <f>O1055+O1054+O1053</f>
        <v>2.3454600000000001</v>
      </c>
      <c r="Q1055" s="57"/>
    </row>
    <row r="1056" spans="14:17" x14ac:dyDescent="0.25">
      <c r="N1056" s="14">
        <v>341.33300000000003</v>
      </c>
      <c r="O1056" s="14">
        <v>0.7863</v>
      </c>
      <c r="P1056">
        <v>0</v>
      </c>
      <c r="Q1056" s="57"/>
    </row>
    <row r="1057" spans="14:17" x14ac:dyDescent="0.25">
      <c r="N1057" s="14">
        <v>341.66699999999997</v>
      </c>
      <c r="O1057" s="14">
        <v>0.76331300000000002</v>
      </c>
      <c r="P1057">
        <v>0</v>
      </c>
      <c r="Q1057" s="57"/>
    </row>
    <row r="1058" spans="14:17" x14ac:dyDescent="0.25">
      <c r="N1058" s="14">
        <v>342</v>
      </c>
      <c r="O1058" s="14">
        <v>0.78098599999999996</v>
      </c>
      <c r="P1058" s="14">
        <f>O1058+O1057+O1056</f>
        <v>2.3305990000000003</v>
      </c>
      <c r="Q1058" s="57"/>
    </row>
    <row r="1059" spans="14:17" x14ac:dyDescent="0.25">
      <c r="N1059" s="14">
        <v>342.33300000000003</v>
      </c>
      <c r="O1059" s="14">
        <v>0.77966199999999997</v>
      </c>
      <c r="P1059">
        <v>0</v>
      </c>
      <c r="Q1059" s="57"/>
    </row>
    <row r="1060" spans="14:17" x14ac:dyDescent="0.25">
      <c r="N1060" s="14">
        <v>342.66699999999997</v>
      </c>
      <c r="O1060" s="14">
        <v>0.76348000000000005</v>
      </c>
      <c r="P1060">
        <v>0</v>
      </c>
      <c r="Q1060" s="57"/>
    </row>
    <row r="1061" spans="14:17" x14ac:dyDescent="0.25">
      <c r="N1061" s="14">
        <v>343</v>
      </c>
      <c r="O1061" s="14">
        <v>0.77573099999999995</v>
      </c>
      <c r="P1061" s="14">
        <f>O1061+O1060+O1059</f>
        <v>2.318873</v>
      </c>
      <c r="Q1061" s="57"/>
    </row>
    <row r="1062" spans="14:17" x14ac:dyDescent="0.25">
      <c r="N1062" s="14">
        <v>343.33300000000003</v>
      </c>
      <c r="O1062" s="14">
        <v>0.77562200000000003</v>
      </c>
      <c r="P1062">
        <v>0</v>
      </c>
      <c r="Q1062" s="57"/>
    </row>
    <row r="1063" spans="14:17" x14ac:dyDescent="0.25">
      <c r="N1063" s="14">
        <v>343.66699999999997</v>
      </c>
      <c r="O1063" s="14">
        <v>0.75663899999999995</v>
      </c>
      <c r="P1063">
        <v>0</v>
      </c>
      <c r="Q1063" s="57"/>
    </row>
    <row r="1064" spans="14:17" x14ac:dyDescent="0.25">
      <c r="N1064" s="14">
        <v>344</v>
      </c>
      <c r="O1064" s="14">
        <v>0.77031899999999998</v>
      </c>
      <c r="P1064" s="14">
        <f>O1064+O1063+O1062</f>
        <v>2.3025799999999998</v>
      </c>
      <c r="Q1064" s="57"/>
    </row>
    <row r="1065" spans="14:17" x14ac:dyDescent="0.25">
      <c r="N1065" s="14">
        <v>344.33300000000003</v>
      </c>
      <c r="O1065" s="14">
        <v>0.77207899999999996</v>
      </c>
      <c r="P1065">
        <v>0</v>
      </c>
      <c r="Q1065" s="57"/>
    </row>
    <row r="1066" spans="14:17" x14ac:dyDescent="0.25">
      <c r="N1066" s="14">
        <v>344.66699999999997</v>
      </c>
      <c r="O1066" s="14">
        <v>0.75377400000000006</v>
      </c>
      <c r="P1066">
        <v>0</v>
      </c>
      <c r="Q1066" s="57"/>
    </row>
    <row r="1067" spans="14:17" x14ac:dyDescent="0.25">
      <c r="N1067" s="14">
        <v>345</v>
      </c>
      <c r="O1067" s="14">
        <v>0.76806099999999999</v>
      </c>
      <c r="P1067" s="14">
        <f>O1067+O1066+O1065</f>
        <v>2.293914</v>
      </c>
      <c r="Q1067" s="57"/>
    </row>
    <row r="1068" spans="14:17" x14ac:dyDescent="0.25">
      <c r="N1068" s="14">
        <v>345.33300000000003</v>
      </c>
      <c r="O1068" s="14">
        <v>0.76417800000000002</v>
      </c>
      <c r="P1068">
        <v>0</v>
      </c>
      <c r="Q1068" s="57"/>
    </row>
    <row r="1069" spans="14:17" x14ac:dyDescent="0.25">
      <c r="N1069" s="14">
        <v>345.66699999999997</v>
      </c>
      <c r="O1069" s="14">
        <v>0.75019899999999995</v>
      </c>
      <c r="P1069">
        <v>0</v>
      </c>
      <c r="Q1069" s="57"/>
    </row>
    <row r="1070" spans="14:17" x14ac:dyDescent="0.25">
      <c r="N1070" s="14">
        <v>346</v>
      </c>
      <c r="O1070" s="14">
        <v>0.75933899999999999</v>
      </c>
      <c r="P1070" s="14">
        <f>O1070+O1069+O1068</f>
        <v>2.2737160000000003</v>
      </c>
      <c r="Q1070" s="57"/>
    </row>
    <row r="1071" spans="14:17" x14ac:dyDescent="0.25">
      <c r="N1071" s="14">
        <v>346.33300000000003</v>
      </c>
      <c r="O1071" s="14">
        <v>0.76362600000000003</v>
      </c>
      <c r="P1071">
        <v>0</v>
      </c>
      <c r="Q1071" s="57"/>
    </row>
    <row r="1072" spans="14:17" x14ac:dyDescent="0.25">
      <c r="N1072" s="14">
        <v>346.66699999999997</v>
      </c>
      <c r="O1072" s="14">
        <v>0.745147</v>
      </c>
      <c r="P1072">
        <v>0</v>
      </c>
      <c r="Q1072" s="57"/>
    </row>
    <row r="1073" spans="14:17" x14ac:dyDescent="0.25">
      <c r="N1073" s="14">
        <v>347</v>
      </c>
      <c r="O1073" s="14">
        <v>0.760046</v>
      </c>
      <c r="P1073" s="14">
        <f>O1073+O1072+O1071</f>
        <v>2.2688190000000001</v>
      </c>
      <c r="Q1073" s="57"/>
    </row>
    <row r="1074" spans="14:17" x14ac:dyDescent="0.25">
      <c r="N1074" s="14">
        <v>347.33300000000003</v>
      </c>
      <c r="O1074" s="14">
        <v>0.75758899999999996</v>
      </c>
      <c r="P1074">
        <v>0</v>
      </c>
      <c r="Q1074" s="57"/>
    </row>
    <row r="1075" spans="14:17" x14ac:dyDescent="0.25">
      <c r="N1075" s="14">
        <v>347.66699999999997</v>
      </c>
      <c r="O1075" s="14">
        <v>0.73679099999999997</v>
      </c>
      <c r="P1075">
        <v>0</v>
      </c>
      <c r="Q1075" s="57"/>
    </row>
    <row r="1076" spans="14:17" x14ac:dyDescent="0.25">
      <c r="N1076" s="14">
        <v>348</v>
      </c>
      <c r="O1076" s="14">
        <v>0.75282099999999996</v>
      </c>
      <c r="P1076" s="14">
        <f>O1076+O1075+O1074</f>
        <v>2.247201</v>
      </c>
      <c r="Q1076" s="57"/>
    </row>
    <row r="1077" spans="14:17" x14ac:dyDescent="0.25">
      <c r="N1077" s="14">
        <v>348.33300000000003</v>
      </c>
      <c r="O1077" s="14">
        <v>0.76209899999999997</v>
      </c>
      <c r="P1077">
        <v>0</v>
      </c>
      <c r="Q1077" s="57"/>
    </row>
    <row r="1078" spans="14:17" x14ac:dyDescent="0.25">
      <c r="N1078" s="14">
        <v>348.66699999999997</v>
      </c>
      <c r="O1078" s="14">
        <v>0.73028800000000005</v>
      </c>
      <c r="P1078">
        <v>0</v>
      </c>
      <c r="Q1078" s="57"/>
    </row>
    <row r="1079" spans="14:17" x14ac:dyDescent="0.25">
      <c r="N1079" s="14">
        <v>349</v>
      </c>
      <c r="O1079" s="14">
        <v>0.74903399999999998</v>
      </c>
      <c r="P1079" s="14">
        <f>O1079+O1078+O1077</f>
        <v>2.2414209999999999</v>
      </c>
      <c r="Q1079" s="57"/>
    </row>
    <row r="1080" spans="14:17" x14ac:dyDescent="0.25">
      <c r="N1080" s="14">
        <v>349.33300000000003</v>
      </c>
      <c r="O1080" s="14">
        <v>0.75683599999999995</v>
      </c>
      <c r="P1080">
        <v>0</v>
      </c>
      <c r="Q1080" s="57"/>
    </row>
    <row r="1081" spans="14:17" x14ac:dyDescent="0.25">
      <c r="N1081" s="14">
        <v>349.66699999999997</v>
      </c>
      <c r="O1081" s="14">
        <v>0.724912</v>
      </c>
      <c r="P1081">
        <v>0</v>
      </c>
      <c r="Q1081" s="57"/>
    </row>
    <row r="1082" spans="14:17" x14ac:dyDescent="0.25">
      <c r="N1082" s="14">
        <v>350</v>
      </c>
      <c r="O1082" s="14">
        <v>0.74639800000000001</v>
      </c>
      <c r="P1082" s="14">
        <f>O1082+O1081+O1080</f>
        <v>2.2281459999999997</v>
      </c>
      <c r="Q1082" s="57"/>
    </row>
    <row r="1083" spans="14:17" x14ac:dyDescent="0.25">
      <c r="N1083" s="14">
        <v>350.33300000000003</v>
      </c>
      <c r="O1083" s="14">
        <v>0.75244</v>
      </c>
      <c r="P1083">
        <v>0</v>
      </c>
      <c r="Q1083" s="57"/>
    </row>
    <row r="1084" spans="14:17" x14ac:dyDescent="0.25">
      <c r="N1084" s="14">
        <v>350.66699999999997</v>
      </c>
      <c r="O1084" s="14">
        <v>0.721943</v>
      </c>
      <c r="P1084">
        <v>0</v>
      </c>
      <c r="Q1084" s="57"/>
    </row>
    <row r="1085" spans="14:17" x14ac:dyDescent="0.25">
      <c r="N1085" s="14">
        <v>351</v>
      </c>
      <c r="O1085" s="14">
        <v>0.74083399999999999</v>
      </c>
      <c r="P1085" s="14">
        <f>O1085+O1084+O1083</f>
        <v>2.215217</v>
      </c>
      <c r="Q1085" s="57"/>
    </row>
    <row r="1086" spans="14:17" x14ac:dyDescent="0.25">
      <c r="N1086" s="14">
        <v>351.33300000000003</v>
      </c>
      <c r="O1086" s="14">
        <v>0.748108</v>
      </c>
      <c r="P1086">
        <v>0</v>
      </c>
      <c r="Q1086" s="57"/>
    </row>
    <row r="1087" spans="14:17" x14ac:dyDescent="0.25">
      <c r="N1087" s="14">
        <v>351.66699999999997</v>
      </c>
      <c r="O1087" s="14">
        <v>0.71737899999999999</v>
      </c>
      <c r="P1087">
        <v>0</v>
      </c>
      <c r="Q1087" s="57"/>
    </row>
    <row r="1088" spans="14:17" x14ac:dyDescent="0.25">
      <c r="N1088" s="14">
        <v>352</v>
      </c>
      <c r="O1088" s="14">
        <v>0.73774200000000001</v>
      </c>
      <c r="P1088" s="14">
        <f>O1088+O1087+O1086</f>
        <v>2.2032290000000003</v>
      </c>
      <c r="Q1088" s="57"/>
    </row>
    <row r="1089" spans="14:17" x14ac:dyDescent="0.25">
      <c r="N1089" s="14">
        <v>352.33300000000003</v>
      </c>
      <c r="O1089" s="14">
        <v>0.74407000000000001</v>
      </c>
      <c r="P1089">
        <v>0</v>
      </c>
      <c r="Q1089" s="57"/>
    </row>
    <row r="1090" spans="14:17" x14ac:dyDescent="0.25">
      <c r="N1090" s="14">
        <v>352.66699999999997</v>
      </c>
      <c r="O1090" s="14">
        <v>0.71337399999999995</v>
      </c>
      <c r="P1090">
        <v>0</v>
      </c>
      <c r="Q1090" s="57"/>
    </row>
    <row r="1091" spans="14:17" x14ac:dyDescent="0.25">
      <c r="N1091" s="14">
        <v>353</v>
      </c>
      <c r="O1091" s="14">
        <v>0.73066399999999998</v>
      </c>
      <c r="P1091" s="14">
        <f>O1091+O1090+O1089</f>
        <v>2.1881079999999997</v>
      </c>
      <c r="Q1091" s="57"/>
    </row>
    <row r="1092" spans="14:17" x14ac:dyDescent="0.25">
      <c r="N1092" s="14">
        <v>353.33300000000003</v>
      </c>
      <c r="O1092" s="14">
        <v>0.74107199999999995</v>
      </c>
      <c r="P1092">
        <v>0</v>
      </c>
      <c r="Q1092" s="57"/>
    </row>
    <row r="1093" spans="14:17" x14ac:dyDescent="0.25">
      <c r="N1093" s="14">
        <v>353.66699999999997</v>
      </c>
      <c r="O1093" s="14">
        <v>0.70854600000000001</v>
      </c>
      <c r="P1093">
        <v>0</v>
      </c>
      <c r="Q1093" s="57"/>
    </row>
    <row r="1094" spans="14:17" x14ac:dyDescent="0.25">
      <c r="N1094" s="14">
        <v>354</v>
      </c>
      <c r="O1094" s="14">
        <v>0.73016300000000001</v>
      </c>
      <c r="P1094" s="14">
        <f>O1094+O1093+O1092</f>
        <v>2.1797810000000002</v>
      </c>
      <c r="Q1094" s="57"/>
    </row>
    <row r="1095" spans="14:17" x14ac:dyDescent="0.25">
      <c r="N1095" s="14">
        <v>354.33300000000003</v>
      </c>
      <c r="O1095" s="14">
        <v>0.73492999999999997</v>
      </c>
      <c r="P1095">
        <v>0</v>
      </c>
      <c r="Q1095" s="57"/>
    </row>
    <row r="1096" spans="14:17" x14ac:dyDescent="0.25">
      <c r="N1096" s="14">
        <v>354.66699999999997</v>
      </c>
      <c r="O1096" s="14">
        <v>0.70563699999999996</v>
      </c>
      <c r="P1096">
        <v>0</v>
      </c>
      <c r="Q1096" s="57"/>
    </row>
    <row r="1097" spans="14:17" x14ac:dyDescent="0.25">
      <c r="N1097" s="14">
        <v>355</v>
      </c>
      <c r="O1097" s="14">
        <v>0.72409800000000002</v>
      </c>
      <c r="P1097" s="14">
        <f>O1097+O1096+O1095</f>
        <v>2.1646649999999998</v>
      </c>
      <c r="Q1097" s="57"/>
    </row>
    <row r="1098" spans="14:17" x14ac:dyDescent="0.25">
      <c r="N1098" s="14">
        <v>355.33300000000003</v>
      </c>
      <c r="O1098" s="14">
        <v>0.73172300000000001</v>
      </c>
      <c r="P1098">
        <v>0</v>
      </c>
      <c r="Q1098" s="57"/>
    </row>
    <row r="1099" spans="14:17" x14ac:dyDescent="0.25">
      <c r="N1099" s="14">
        <v>355.66699999999997</v>
      </c>
      <c r="O1099" s="14">
        <v>0.70150100000000004</v>
      </c>
      <c r="P1099">
        <v>0</v>
      </c>
      <c r="Q1099" s="57"/>
    </row>
    <row r="1100" spans="14:17" x14ac:dyDescent="0.25">
      <c r="N1100" s="14">
        <v>356</v>
      </c>
      <c r="O1100" s="14">
        <v>0.72161399999999998</v>
      </c>
      <c r="P1100" s="14">
        <f>O1100+O1099+O1098</f>
        <v>2.1548380000000003</v>
      </c>
      <c r="Q1100" s="57"/>
    </row>
    <row r="1101" spans="14:17" x14ac:dyDescent="0.25">
      <c r="N1101" s="14">
        <v>356.33300000000003</v>
      </c>
      <c r="O1101" s="14">
        <v>0.72674700000000003</v>
      </c>
      <c r="P1101">
        <v>0</v>
      </c>
      <c r="Q1101" s="57"/>
    </row>
    <row r="1102" spans="14:17" x14ac:dyDescent="0.25">
      <c r="N1102" s="14">
        <v>356.66699999999997</v>
      </c>
      <c r="O1102" s="14">
        <v>0.69751700000000005</v>
      </c>
      <c r="P1102">
        <v>0</v>
      </c>
      <c r="Q1102" s="57"/>
    </row>
    <row r="1103" spans="14:17" x14ac:dyDescent="0.25">
      <c r="N1103" s="14">
        <v>357</v>
      </c>
      <c r="O1103" s="14">
        <v>0.71608000000000005</v>
      </c>
      <c r="P1103" s="14">
        <f>O1103+O1102+O1101</f>
        <v>2.1403440000000002</v>
      </c>
      <c r="Q1103" s="57"/>
    </row>
    <row r="1104" spans="14:17" x14ac:dyDescent="0.25">
      <c r="N1104" s="14">
        <v>357.33300000000003</v>
      </c>
      <c r="O1104" s="14">
        <v>0.72341800000000001</v>
      </c>
      <c r="P1104">
        <v>0</v>
      </c>
      <c r="Q1104" s="57"/>
    </row>
    <row r="1105" spans="14:17" x14ac:dyDescent="0.25">
      <c r="N1105" s="14">
        <v>357.66699999999997</v>
      </c>
      <c r="O1105" s="14">
        <v>0.69384800000000002</v>
      </c>
      <c r="P1105">
        <v>0</v>
      </c>
      <c r="Q1105" s="57"/>
    </row>
    <row r="1106" spans="14:17" x14ac:dyDescent="0.25">
      <c r="N1106" s="14">
        <v>358</v>
      </c>
      <c r="O1106" s="14">
        <v>0.71344399999999997</v>
      </c>
      <c r="P1106" s="14">
        <f>O1106+O1105+O1104</f>
        <v>2.1307100000000001</v>
      </c>
      <c r="Q1106" s="57"/>
    </row>
    <row r="1107" spans="14:17" x14ac:dyDescent="0.25">
      <c r="N1107" s="14">
        <v>358.33300000000003</v>
      </c>
      <c r="O1107" s="14">
        <v>0.71862700000000002</v>
      </c>
      <c r="P1107">
        <v>0</v>
      </c>
      <c r="Q1107" s="57"/>
    </row>
    <row r="1108" spans="14:17" x14ac:dyDescent="0.25">
      <c r="N1108" s="14">
        <v>358.66699999999997</v>
      </c>
      <c r="O1108" s="14">
        <v>0.68926100000000001</v>
      </c>
      <c r="P1108">
        <v>0</v>
      </c>
      <c r="Q1108" s="57"/>
    </row>
    <row r="1109" spans="14:17" x14ac:dyDescent="0.25">
      <c r="N1109" s="14">
        <v>359</v>
      </c>
      <c r="O1109" s="14">
        <v>0.70838900000000005</v>
      </c>
      <c r="P1109" s="14">
        <f>O1109+O1108+O1107</f>
        <v>2.1162770000000002</v>
      </c>
      <c r="Q1109" s="57"/>
    </row>
    <row r="1110" spans="14:17" x14ac:dyDescent="0.25">
      <c r="N1110" s="14">
        <v>359.33300000000003</v>
      </c>
      <c r="O1110" s="14">
        <v>0.71513199999999999</v>
      </c>
      <c r="P1110">
        <v>0</v>
      </c>
      <c r="Q1110" s="57"/>
    </row>
    <row r="1111" spans="14:17" x14ac:dyDescent="0.25">
      <c r="N1111" s="14">
        <v>359.66699999999997</v>
      </c>
      <c r="O1111" s="14">
        <v>0.68632899999999997</v>
      </c>
      <c r="P1111">
        <v>0</v>
      </c>
      <c r="Q1111" s="57"/>
    </row>
    <row r="1112" spans="14:17" x14ac:dyDescent="0.25">
      <c r="N1112" s="14">
        <v>360</v>
      </c>
      <c r="O1112" s="14">
        <v>0.70534600000000003</v>
      </c>
      <c r="P1112" s="14">
        <f>O1112+O1111+O1110</f>
        <v>2.1068069999999999</v>
      </c>
      <c r="Q1112" s="57"/>
    </row>
    <row r="1113" spans="14:17" x14ac:dyDescent="0.25">
      <c r="N1113" s="14">
        <v>360.33300000000003</v>
      </c>
      <c r="O1113" s="14">
        <v>0.70833999999999997</v>
      </c>
      <c r="P1113">
        <v>0</v>
      </c>
      <c r="Q1113" s="57"/>
    </row>
    <row r="1114" spans="14:17" x14ac:dyDescent="0.25">
      <c r="N1114" s="14">
        <v>360.66699999999997</v>
      </c>
      <c r="O1114" s="14">
        <v>0.68300099999999997</v>
      </c>
      <c r="P1114">
        <v>0</v>
      </c>
      <c r="Q1114" s="57"/>
    </row>
    <row r="1115" spans="14:17" x14ac:dyDescent="0.25">
      <c r="N1115" s="14">
        <v>361</v>
      </c>
      <c r="O1115" s="14">
        <v>0.69920000000000004</v>
      </c>
      <c r="P1115" s="14">
        <f>O1115+O1114+O1113</f>
        <v>2.090541</v>
      </c>
      <c r="Q1115" s="57"/>
    </row>
    <row r="1116" spans="14:17" x14ac:dyDescent="0.25">
      <c r="N1116" s="14">
        <v>361.33300000000003</v>
      </c>
      <c r="O1116" s="14">
        <v>0.70810499999999998</v>
      </c>
      <c r="P1116">
        <v>0</v>
      </c>
      <c r="Q1116" s="57"/>
    </row>
    <row r="1117" spans="14:17" x14ac:dyDescent="0.25">
      <c r="N1117" s="14">
        <v>361.66699999999997</v>
      </c>
      <c r="O1117" s="14">
        <v>0.67765699999999995</v>
      </c>
      <c r="P1117">
        <v>0</v>
      </c>
      <c r="Q1117" s="57"/>
    </row>
    <row r="1118" spans="14:17" x14ac:dyDescent="0.25">
      <c r="N1118" s="14">
        <v>362</v>
      </c>
      <c r="O1118" s="14">
        <v>0.69833199999999995</v>
      </c>
      <c r="P1118" s="14">
        <f>O1118+O1117+O1116</f>
        <v>2.0840939999999999</v>
      </c>
      <c r="Q1118" s="57"/>
    </row>
    <row r="1119" spans="14:17" x14ac:dyDescent="0.25">
      <c r="N1119" s="14">
        <v>362.33300000000003</v>
      </c>
      <c r="O1119" s="14">
        <v>0.70165500000000003</v>
      </c>
      <c r="P1119">
        <v>0</v>
      </c>
      <c r="Q1119" s="57"/>
    </row>
    <row r="1120" spans="14:17" x14ac:dyDescent="0.25">
      <c r="N1120" s="14">
        <v>362.66699999999997</v>
      </c>
      <c r="O1120" s="14">
        <v>0.67449099999999995</v>
      </c>
      <c r="P1120">
        <v>0</v>
      </c>
      <c r="Q1120" s="57"/>
    </row>
    <row r="1121" spans="14:17" x14ac:dyDescent="0.25">
      <c r="N1121" s="14">
        <v>363</v>
      </c>
      <c r="O1121" s="14">
        <v>0.69216800000000001</v>
      </c>
      <c r="P1121" s="14">
        <f>O1121+O1120+O1119</f>
        <v>2.068314</v>
      </c>
      <c r="Q1121" s="57"/>
    </row>
    <row r="1122" spans="14:17" x14ac:dyDescent="0.25">
      <c r="N1122" s="14">
        <v>363.33300000000003</v>
      </c>
      <c r="O1122" s="14">
        <v>0.69945999999999997</v>
      </c>
      <c r="P1122">
        <v>0</v>
      </c>
      <c r="Q1122" s="57"/>
    </row>
    <row r="1123" spans="14:17" x14ac:dyDescent="0.25">
      <c r="N1123" s="14">
        <v>363.66699999999997</v>
      </c>
      <c r="O1123" s="14">
        <v>0.670848</v>
      </c>
      <c r="P1123">
        <v>0</v>
      </c>
      <c r="Q1123" s="57"/>
    </row>
    <row r="1124" spans="14:17" x14ac:dyDescent="0.25">
      <c r="N1124" s="14">
        <v>364</v>
      </c>
      <c r="O1124" s="14">
        <v>0.68972999999999995</v>
      </c>
      <c r="P1124" s="14">
        <f>O1124+O1123+O1122</f>
        <v>2.0600379999999996</v>
      </c>
      <c r="Q1124" s="57"/>
    </row>
    <row r="1125" spans="14:17" x14ac:dyDescent="0.25">
      <c r="N1125" s="14">
        <v>364.33300000000003</v>
      </c>
      <c r="O1125" s="14">
        <v>0.694357</v>
      </c>
      <c r="P1125">
        <v>0</v>
      </c>
      <c r="Q1125" s="57"/>
    </row>
    <row r="1126" spans="14:17" x14ac:dyDescent="0.25">
      <c r="N1126" s="14">
        <v>364.66699999999997</v>
      </c>
      <c r="O1126" s="14">
        <v>0.66649400000000003</v>
      </c>
      <c r="P1126">
        <v>0</v>
      </c>
      <c r="Q1126" s="57"/>
    </row>
    <row r="1127" spans="14:17" x14ac:dyDescent="0.25">
      <c r="N1127" s="14">
        <v>365</v>
      </c>
      <c r="O1127" s="14">
        <v>0.68490399999999996</v>
      </c>
      <c r="P1127" s="14">
        <f>O1127+O1126+O1125</f>
        <v>2.0457550000000002</v>
      </c>
      <c r="Q1127" s="57"/>
    </row>
    <row r="1128" spans="14:17" x14ac:dyDescent="0.25">
      <c r="N1128" s="14">
        <v>365.33300000000003</v>
      </c>
      <c r="O1128" s="14">
        <v>0.69127300000000003</v>
      </c>
      <c r="P1128">
        <v>0</v>
      </c>
      <c r="Q1128" s="57"/>
    </row>
    <row r="1129" spans="14:17" x14ac:dyDescent="0.25">
      <c r="N1129" s="14">
        <v>365.66699999999997</v>
      </c>
      <c r="O1129" s="14">
        <v>0.66345399999999999</v>
      </c>
      <c r="P1129">
        <v>0</v>
      </c>
      <c r="Q1129" s="57"/>
    </row>
    <row r="1130" spans="14:17" x14ac:dyDescent="0.25">
      <c r="N1130" s="14">
        <v>366</v>
      </c>
      <c r="O1130" s="14">
        <v>0.68198099999999995</v>
      </c>
      <c r="P1130" s="14">
        <f>O1130+O1129+O1128</f>
        <v>2.036708</v>
      </c>
      <c r="Q1130" s="57"/>
    </row>
    <row r="1131" spans="14:17" x14ac:dyDescent="0.25">
      <c r="N1131" s="14">
        <v>366.33300000000003</v>
      </c>
      <c r="O1131" s="14">
        <v>0.68656799999999996</v>
      </c>
      <c r="P1131">
        <v>0</v>
      </c>
      <c r="Q1131" s="57"/>
    </row>
    <row r="1132" spans="14:17" x14ac:dyDescent="0.25">
      <c r="N1132" s="14">
        <v>366.66699999999997</v>
      </c>
      <c r="O1132" s="14">
        <v>0.65899799999999997</v>
      </c>
      <c r="P1132">
        <v>0</v>
      </c>
      <c r="Q1132" s="57"/>
    </row>
    <row r="1133" spans="14:17" x14ac:dyDescent="0.25">
      <c r="N1133" s="14">
        <v>367</v>
      </c>
      <c r="O1133" s="14">
        <v>0.67732300000000001</v>
      </c>
      <c r="P1133" s="14">
        <f>O1133+O1132+O1131</f>
        <v>2.0228889999999997</v>
      </c>
      <c r="Q1133" s="57"/>
    </row>
    <row r="1134" spans="14:17" x14ac:dyDescent="0.25">
      <c r="N1134" s="14">
        <v>367.33300000000003</v>
      </c>
      <c r="O1134" s="14">
        <v>0.68342400000000003</v>
      </c>
      <c r="P1134">
        <v>0</v>
      </c>
      <c r="Q1134" s="57"/>
    </row>
    <row r="1135" spans="14:17" x14ac:dyDescent="0.25">
      <c r="N1135" s="14">
        <v>367.66699999999997</v>
      </c>
      <c r="O1135" s="14">
        <v>0.65594399999999997</v>
      </c>
      <c r="P1135">
        <v>0</v>
      </c>
      <c r="Q1135" s="57"/>
    </row>
    <row r="1136" spans="14:17" x14ac:dyDescent="0.25">
      <c r="N1136" s="14">
        <v>368</v>
      </c>
      <c r="O1136" s="14">
        <v>0.67231099999999999</v>
      </c>
      <c r="P1136" s="14">
        <f>O1136+O1135+O1134</f>
        <v>2.011679</v>
      </c>
      <c r="Q1136" s="57"/>
    </row>
    <row r="1137" spans="14:17" x14ac:dyDescent="0.25">
      <c r="N1137" s="14">
        <v>368.33300000000003</v>
      </c>
      <c r="O1137" s="14">
        <v>0.68054199999999998</v>
      </c>
      <c r="P1137">
        <v>0</v>
      </c>
      <c r="Q1137" s="57"/>
    </row>
    <row r="1138" spans="14:17" x14ac:dyDescent="0.25">
      <c r="N1138" s="14">
        <v>368.66699999999997</v>
      </c>
      <c r="O1138" s="14">
        <v>0.65030500000000002</v>
      </c>
      <c r="P1138">
        <v>0</v>
      </c>
      <c r="Q1138" s="57"/>
    </row>
    <row r="1139" spans="14:17" x14ac:dyDescent="0.25">
      <c r="N1139" s="14">
        <v>369</v>
      </c>
      <c r="O1139" s="14">
        <v>0.67074900000000004</v>
      </c>
      <c r="P1139" s="14">
        <f>O1139+O1138+O1137</f>
        <v>2.0015960000000002</v>
      </c>
      <c r="Q1139" s="57"/>
    </row>
    <row r="1140" spans="14:17" x14ac:dyDescent="0.25">
      <c r="N1140" s="14">
        <v>369.33300000000003</v>
      </c>
      <c r="O1140" s="14">
        <v>0.67500000000000004</v>
      </c>
      <c r="P1140">
        <v>0</v>
      </c>
      <c r="Q1140" s="57"/>
    </row>
    <row r="1141" spans="14:17" x14ac:dyDescent="0.25">
      <c r="N1141" s="14">
        <v>369.66699999999997</v>
      </c>
      <c r="O1141" s="14">
        <v>0.64914799999999995</v>
      </c>
      <c r="P1141">
        <v>0</v>
      </c>
      <c r="Q1141" s="57"/>
    </row>
    <row r="1142" spans="14:17" x14ac:dyDescent="0.25">
      <c r="N1142" s="14">
        <v>370</v>
      </c>
      <c r="O1142" s="14">
        <v>0.66646899999999998</v>
      </c>
      <c r="P1142" s="14">
        <f>O1142+O1141+O1140</f>
        <v>1.9906170000000001</v>
      </c>
      <c r="Q1142" s="57"/>
    </row>
    <row r="1143" spans="14:17" x14ac:dyDescent="0.25">
      <c r="N1143" s="14">
        <v>370.33300000000003</v>
      </c>
      <c r="O1143" s="14">
        <v>0.671404</v>
      </c>
      <c r="P1143">
        <v>0</v>
      </c>
      <c r="Q1143" s="57"/>
    </row>
    <row r="1144" spans="14:17" x14ac:dyDescent="0.25">
      <c r="N1144" s="14">
        <v>370.66699999999997</v>
      </c>
      <c r="O1144" s="14">
        <v>0.64426799999999995</v>
      </c>
      <c r="P1144">
        <v>0</v>
      </c>
      <c r="Q1144" s="57"/>
    </row>
    <row r="1145" spans="14:17" x14ac:dyDescent="0.25">
      <c r="N1145" s="14">
        <v>371</v>
      </c>
      <c r="O1145" s="14">
        <v>0.66253300000000004</v>
      </c>
      <c r="P1145" s="14">
        <f>O1145+O1144+O1143</f>
        <v>1.978205</v>
      </c>
      <c r="Q1145" s="57"/>
    </row>
    <row r="1146" spans="14:17" x14ac:dyDescent="0.25">
      <c r="N1146" s="14">
        <v>371.33300000000003</v>
      </c>
      <c r="O1146" s="14">
        <v>0.66784600000000005</v>
      </c>
      <c r="P1146">
        <v>0</v>
      </c>
      <c r="Q1146" s="57"/>
    </row>
    <row r="1147" spans="14:17" x14ac:dyDescent="0.25">
      <c r="N1147" s="14">
        <v>371.66699999999997</v>
      </c>
      <c r="O1147" s="14">
        <v>0.641594</v>
      </c>
      <c r="P1147">
        <v>0</v>
      </c>
      <c r="Q1147" s="57"/>
    </row>
    <row r="1148" spans="14:17" x14ac:dyDescent="0.25">
      <c r="N1148" s="14">
        <v>372</v>
      </c>
      <c r="O1148" s="14">
        <v>0.65919499999999998</v>
      </c>
      <c r="P1148" s="14">
        <f>O1148+O1147+O1146</f>
        <v>1.9686349999999999</v>
      </c>
      <c r="Q1148" s="57"/>
    </row>
    <row r="1149" spans="14:17" x14ac:dyDescent="0.25">
      <c r="N1149" s="14">
        <v>372.33300000000003</v>
      </c>
      <c r="O1149" s="14">
        <v>0.66377399999999998</v>
      </c>
      <c r="P1149">
        <v>0</v>
      </c>
      <c r="Q1149" s="57"/>
    </row>
    <row r="1150" spans="14:17" x14ac:dyDescent="0.25">
      <c r="N1150" s="14">
        <v>372.66699999999997</v>
      </c>
      <c r="O1150" s="14">
        <v>0.63713799999999998</v>
      </c>
      <c r="P1150">
        <v>0</v>
      </c>
      <c r="Q1150" s="57"/>
    </row>
    <row r="1151" spans="14:17" x14ac:dyDescent="0.25">
      <c r="N1151" s="14">
        <v>373</v>
      </c>
      <c r="O1151" s="14">
        <v>0.65517300000000001</v>
      </c>
      <c r="P1151" s="14">
        <f>O1151+O1150+O1149</f>
        <v>1.9560849999999999</v>
      </c>
      <c r="Q1151" s="57"/>
    </row>
    <row r="1152" spans="14:17" x14ac:dyDescent="0.25">
      <c r="N1152" s="14">
        <v>373.33300000000003</v>
      </c>
      <c r="O1152" s="14">
        <v>0.66031399999999996</v>
      </c>
      <c r="P1152">
        <v>0</v>
      </c>
      <c r="Q1152" s="57"/>
    </row>
    <row r="1153" spans="14:17" x14ac:dyDescent="0.25">
      <c r="N1153" s="14">
        <v>373.66699999999997</v>
      </c>
      <c r="O1153" s="14">
        <v>0.63437500000000002</v>
      </c>
      <c r="P1153">
        <v>0</v>
      </c>
      <c r="Q1153" s="57"/>
    </row>
    <row r="1154" spans="14:17" x14ac:dyDescent="0.25">
      <c r="N1154" s="14">
        <v>374</v>
      </c>
      <c r="O1154" s="14">
        <v>0.65184699999999995</v>
      </c>
      <c r="P1154" s="14">
        <f>O1154+O1153+O1152</f>
        <v>1.946536</v>
      </c>
      <c r="Q1154" s="57"/>
    </row>
    <row r="1155" spans="14:17" x14ac:dyDescent="0.25">
      <c r="N1155" s="14">
        <v>374.33300000000003</v>
      </c>
      <c r="O1155" s="14">
        <v>0.65631399999999995</v>
      </c>
      <c r="P1155">
        <v>0</v>
      </c>
      <c r="Q1155" s="57"/>
    </row>
    <row r="1156" spans="14:17" x14ac:dyDescent="0.25">
      <c r="N1156" s="14">
        <v>374.66699999999997</v>
      </c>
      <c r="O1156" s="14">
        <v>0.63000199999999995</v>
      </c>
      <c r="P1156">
        <v>0</v>
      </c>
      <c r="Q1156" s="57"/>
    </row>
    <row r="1157" spans="14:17" x14ac:dyDescent="0.25">
      <c r="N1157" s="14">
        <v>375</v>
      </c>
      <c r="O1157" s="14">
        <v>0.64794399999999996</v>
      </c>
      <c r="P1157" s="14">
        <f>O1157+O1156+O1155</f>
        <v>1.9342600000000001</v>
      </c>
      <c r="Q1157" s="57"/>
    </row>
    <row r="1158" spans="14:17" x14ac:dyDescent="0.25">
      <c r="N1158" s="14">
        <v>375.33300000000003</v>
      </c>
      <c r="O1158" s="14">
        <v>0.65259400000000001</v>
      </c>
      <c r="P1158">
        <v>0</v>
      </c>
      <c r="Q1158" s="57"/>
    </row>
    <row r="1159" spans="14:17" x14ac:dyDescent="0.25">
      <c r="N1159" s="14">
        <v>375.66699999999997</v>
      </c>
      <c r="O1159" s="14">
        <v>0.62575099999999995</v>
      </c>
      <c r="P1159">
        <v>0</v>
      </c>
      <c r="Q1159" s="57"/>
    </row>
    <row r="1160" spans="14:17" x14ac:dyDescent="0.25">
      <c r="N1160" s="14">
        <v>376</v>
      </c>
      <c r="O1160" s="14">
        <v>0.64571500000000004</v>
      </c>
      <c r="P1160" s="14">
        <f>O1160+O1159+O1158</f>
        <v>1.9240599999999999</v>
      </c>
      <c r="Q1160" s="57"/>
    </row>
    <row r="1161" spans="14:17" x14ac:dyDescent="0.25">
      <c r="N1161" s="14">
        <v>376.33300000000003</v>
      </c>
      <c r="O1161" s="14">
        <v>0.64805400000000002</v>
      </c>
      <c r="P1161">
        <v>0</v>
      </c>
      <c r="Q1161" s="57"/>
    </row>
    <row r="1162" spans="14:17" x14ac:dyDescent="0.25">
      <c r="N1162" s="14">
        <v>376.66699999999997</v>
      </c>
      <c r="O1162" s="14">
        <v>0.62348800000000004</v>
      </c>
      <c r="P1162">
        <v>0</v>
      </c>
      <c r="Q1162" s="57"/>
    </row>
    <row r="1163" spans="14:17" x14ac:dyDescent="0.25">
      <c r="N1163" s="14">
        <v>377</v>
      </c>
      <c r="O1163" s="14">
        <v>0.64043000000000005</v>
      </c>
      <c r="P1163" s="14">
        <f>O1163+O1162+O1161</f>
        <v>1.911972</v>
      </c>
      <c r="Q1163" s="57"/>
    </row>
    <row r="1164" spans="14:17" x14ac:dyDescent="0.25">
      <c r="N1164" s="14">
        <v>377.33300000000003</v>
      </c>
      <c r="O1164" s="14">
        <v>0.64568000000000003</v>
      </c>
      <c r="P1164">
        <v>0</v>
      </c>
      <c r="Q1164" s="57"/>
    </row>
    <row r="1165" spans="14:17" x14ac:dyDescent="0.25">
      <c r="N1165" s="14">
        <v>377.66699999999997</v>
      </c>
      <c r="O1165" s="14">
        <v>0.62008399999999997</v>
      </c>
      <c r="P1165">
        <v>0</v>
      </c>
      <c r="Q1165" s="57"/>
    </row>
    <row r="1166" spans="14:17" x14ac:dyDescent="0.25">
      <c r="N1166" s="14">
        <v>378</v>
      </c>
      <c r="O1166" s="14">
        <v>0.63758999999999999</v>
      </c>
      <c r="P1166" s="14">
        <f>O1166+O1165+O1164</f>
        <v>1.903354</v>
      </c>
      <c r="Q1166" s="57"/>
    </row>
    <row r="1167" spans="14:17" x14ac:dyDescent="0.25">
      <c r="N1167" s="14">
        <v>378.33300000000003</v>
      </c>
      <c r="O1167" s="14">
        <v>0.64141199999999998</v>
      </c>
      <c r="P1167">
        <v>0</v>
      </c>
      <c r="Q1167" s="57"/>
    </row>
    <row r="1168" spans="14:17" x14ac:dyDescent="0.25">
      <c r="N1168" s="14">
        <v>378.66699999999997</v>
      </c>
      <c r="O1168" s="14">
        <v>0.61632100000000001</v>
      </c>
      <c r="P1168">
        <v>0</v>
      </c>
      <c r="Q1168" s="57"/>
    </row>
    <row r="1169" spans="14:17" x14ac:dyDescent="0.25">
      <c r="N1169" s="14">
        <v>379</v>
      </c>
      <c r="O1169" s="14">
        <v>0.63345399999999996</v>
      </c>
      <c r="P1169" s="14">
        <f>O1169+O1168+O1167</f>
        <v>1.891187</v>
      </c>
      <c r="Q1169" s="57"/>
    </row>
    <row r="1170" spans="14:17" x14ac:dyDescent="0.25">
      <c r="N1170" s="14">
        <v>379.33300000000003</v>
      </c>
      <c r="O1170" s="14">
        <v>0.63829100000000005</v>
      </c>
      <c r="P1170">
        <v>0</v>
      </c>
      <c r="Q1170" s="57"/>
    </row>
    <row r="1171" spans="14:17" x14ac:dyDescent="0.25">
      <c r="N1171" s="14">
        <v>379.66699999999997</v>
      </c>
      <c r="O1171" s="14">
        <v>0.61325700000000005</v>
      </c>
      <c r="P1171">
        <v>0</v>
      </c>
      <c r="Q1171" s="57"/>
    </row>
    <row r="1172" spans="14:17" x14ac:dyDescent="0.25">
      <c r="N1172" s="14">
        <v>380</v>
      </c>
      <c r="O1172" s="14">
        <v>0.63040300000000005</v>
      </c>
      <c r="P1172" s="14">
        <f>O1172+O1171+O1170</f>
        <v>1.8819510000000004</v>
      </c>
      <c r="Q1172" s="57"/>
    </row>
    <row r="1173" spans="14:17" x14ac:dyDescent="0.25">
      <c r="N1173" s="14">
        <v>380.33300000000003</v>
      </c>
      <c r="O1173" s="14">
        <v>0.63434500000000005</v>
      </c>
      <c r="P1173">
        <v>0</v>
      </c>
      <c r="Q1173" s="57"/>
    </row>
    <row r="1174" spans="14:17" x14ac:dyDescent="0.25">
      <c r="N1174" s="14">
        <v>380.66699999999997</v>
      </c>
      <c r="O1174" s="14">
        <v>0.60936999999999997</v>
      </c>
      <c r="P1174">
        <v>0</v>
      </c>
      <c r="Q1174" s="57"/>
    </row>
    <row r="1175" spans="14:17" x14ac:dyDescent="0.25">
      <c r="N1175" s="14">
        <v>381</v>
      </c>
      <c r="O1175" s="14">
        <v>0.626498</v>
      </c>
      <c r="P1175" s="14">
        <f>O1175+O1174+O1173</f>
        <v>1.8702130000000001</v>
      </c>
      <c r="Q1175" s="57"/>
    </row>
    <row r="1176" spans="14:17" x14ac:dyDescent="0.25">
      <c r="N1176" s="14">
        <v>381.33300000000003</v>
      </c>
      <c r="O1176" s="14">
        <v>0.63101399999999996</v>
      </c>
      <c r="P1176">
        <v>0</v>
      </c>
      <c r="Q1176" s="57"/>
    </row>
    <row r="1177" spans="14:17" x14ac:dyDescent="0.25">
      <c r="N1177" s="14">
        <v>381.66699999999997</v>
      </c>
      <c r="O1177" s="14">
        <v>0.60645499999999997</v>
      </c>
      <c r="P1177">
        <v>0</v>
      </c>
      <c r="Q1177" s="57"/>
    </row>
    <row r="1178" spans="14:17" x14ac:dyDescent="0.25">
      <c r="N1178" s="14">
        <v>382</v>
      </c>
      <c r="O1178" s="14">
        <v>0.62317</v>
      </c>
      <c r="P1178" s="14">
        <f>O1178+O1177+O1176</f>
        <v>1.8606389999999999</v>
      </c>
      <c r="Q1178" s="57"/>
    </row>
    <row r="1179" spans="14:17" x14ac:dyDescent="0.25">
      <c r="N1179" s="14">
        <v>382.33300000000003</v>
      </c>
      <c r="O1179" s="14">
        <v>0.627355</v>
      </c>
      <c r="P1179">
        <v>0</v>
      </c>
      <c r="Q1179" s="57"/>
    </row>
    <row r="1180" spans="14:17" x14ac:dyDescent="0.25">
      <c r="N1180" s="14">
        <v>382.66699999999997</v>
      </c>
      <c r="O1180" s="14">
        <v>0.602518</v>
      </c>
      <c r="P1180">
        <v>0</v>
      </c>
      <c r="Q1180" s="57"/>
    </row>
    <row r="1181" spans="14:17" x14ac:dyDescent="0.25">
      <c r="N1181" s="14">
        <v>383</v>
      </c>
      <c r="O1181" s="14">
        <v>0.61776500000000001</v>
      </c>
      <c r="P1181" s="14">
        <f>O1181+O1180+O1179</f>
        <v>1.8476379999999999</v>
      </c>
      <c r="Q1181" s="57"/>
    </row>
    <row r="1182" spans="14:17" x14ac:dyDescent="0.25">
      <c r="N1182" s="14">
        <v>383.33300000000003</v>
      </c>
      <c r="O1182" s="14">
        <v>0.62540099999999998</v>
      </c>
      <c r="P1182">
        <v>0</v>
      </c>
      <c r="Q1182" s="57"/>
    </row>
    <row r="1183" spans="14:17" x14ac:dyDescent="0.25">
      <c r="N1183" s="14">
        <v>383.66699999999997</v>
      </c>
      <c r="O1183" s="14">
        <v>0.59847499999999998</v>
      </c>
      <c r="P1183">
        <v>0</v>
      </c>
      <c r="Q1183" s="57"/>
    </row>
    <row r="1184" spans="14:17" x14ac:dyDescent="0.25">
      <c r="N1184" s="14">
        <v>384</v>
      </c>
      <c r="O1184" s="14">
        <v>0.61728000000000005</v>
      </c>
      <c r="P1184" s="14">
        <f>O1184+O1183+O1182</f>
        <v>1.8411560000000002</v>
      </c>
      <c r="Q1184" s="57"/>
    </row>
    <row r="1185" spans="14:17" x14ac:dyDescent="0.25">
      <c r="N1185" s="14">
        <v>384.33300000000003</v>
      </c>
      <c r="O1185" s="14">
        <v>0.61956699999999998</v>
      </c>
      <c r="P1185">
        <v>0</v>
      </c>
      <c r="Q1185" s="57"/>
    </row>
    <row r="1186" spans="14:17" x14ac:dyDescent="0.25">
      <c r="N1186" s="14">
        <v>384.66699999999997</v>
      </c>
      <c r="O1186" s="14">
        <v>0.59631699999999999</v>
      </c>
      <c r="P1186">
        <v>0</v>
      </c>
      <c r="Q1186" s="57"/>
    </row>
    <row r="1187" spans="14:17" x14ac:dyDescent="0.25">
      <c r="N1187" s="14">
        <v>385</v>
      </c>
      <c r="O1187" s="14">
        <v>0.61246699999999998</v>
      </c>
      <c r="P1187" s="14">
        <f>O1187+O1186+O1185</f>
        <v>1.8283510000000001</v>
      </c>
      <c r="Q1187" s="57"/>
    </row>
    <row r="1188" spans="14:17" x14ac:dyDescent="0.25">
      <c r="N1188" s="14">
        <v>385.33300000000003</v>
      </c>
      <c r="O1188" s="14">
        <v>0.61695900000000004</v>
      </c>
      <c r="P1188">
        <v>0</v>
      </c>
      <c r="Q1188" s="57"/>
    </row>
    <row r="1189" spans="14:17" x14ac:dyDescent="0.25">
      <c r="N1189" s="14">
        <v>385.66699999999997</v>
      </c>
      <c r="O1189" s="14">
        <v>0.59297900000000003</v>
      </c>
      <c r="P1189">
        <v>0</v>
      </c>
      <c r="Q1189" s="57"/>
    </row>
    <row r="1190" spans="14:17" x14ac:dyDescent="0.25">
      <c r="N1190" s="14">
        <v>386</v>
      </c>
      <c r="O1190" s="14">
        <v>0.60954200000000003</v>
      </c>
      <c r="P1190" s="14">
        <f>O1190+O1189+O1188</f>
        <v>1.81948</v>
      </c>
      <c r="Q1190" s="57"/>
    </row>
    <row r="1191" spans="14:17" x14ac:dyDescent="0.25">
      <c r="N1191" s="14">
        <v>386.33300000000003</v>
      </c>
      <c r="O1191" s="14">
        <v>0.61329800000000001</v>
      </c>
      <c r="P1191">
        <v>0</v>
      </c>
      <c r="Q1191" s="57"/>
    </row>
    <row r="1192" spans="14:17" x14ac:dyDescent="0.25">
      <c r="N1192" s="14">
        <v>386.66699999999997</v>
      </c>
      <c r="O1192" s="14">
        <v>0.58926900000000004</v>
      </c>
      <c r="P1192">
        <v>0</v>
      </c>
      <c r="Q1192" s="57"/>
    </row>
    <row r="1193" spans="14:17" x14ac:dyDescent="0.25">
      <c r="N1193" s="14">
        <v>387</v>
      </c>
      <c r="O1193" s="14">
        <v>0.60599199999999998</v>
      </c>
      <c r="P1193" s="14">
        <f>O1193+O1192+O1191</f>
        <v>1.8085589999999998</v>
      </c>
      <c r="Q1193" s="57"/>
    </row>
    <row r="1194" spans="14:17" x14ac:dyDescent="0.25">
      <c r="N1194" s="14">
        <v>387.33300000000003</v>
      </c>
      <c r="O1194" s="14">
        <v>0.60983500000000002</v>
      </c>
      <c r="P1194">
        <v>0</v>
      </c>
      <c r="Q1194" s="57"/>
    </row>
    <row r="1195" spans="14:17" x14ac:dyDescent="0.25">
      <c r="N1195" s="14">
        <v>387.66699999999997</v>
      </c>
      <c r="O1195" s="14">
        <v>0.58648199999999995</v>
      </c>
      <c r="P1195">
        <v>0</v>
      </c>
      <c r="Q1195" s="57"/>
    </row>
    <row r="1196" spans="14:17" x14ac:dyDescent="0.25">
      <c r="N1196" s="14">
        <v>388</v>
      </c>
      <c r="O1196" s="14">
        <v>0.60269200000000001</v>
      </c>
      <c r="P1196" s="14">
        <f>O1196+O1195+O1194</f>
        <v>1.7990089999999999</v>
      </c>
      <c r="Q1196" s="57"/>
    </row>
    <row r="1197" spans="14:17" x14ac:dyDescent="0.25">
      <c r="N1197" s="14">
        <v>388.33300000000003</v>
      </c>
      <c r="O1197" s="14">
        <v>0.60647200000000001</v>
      </c>
      <c r="P1197">
        <v>0</v>
      </c>
      <c r="Q1197" s="57"/>
    </row>
    <row r="1198" spans="14:17" x14ac:dyDescent="0.25">
      <c r="N1198" s="14">
        <v>388.66699999999997</v>
      </c>
      <c r="O1198" s="14">
        <v>0.58269099999999996</v>
      </c>
      <c r="P1198">
        <v>0</v>
      </c>
      <c r="Q1198" s="57"/>
    </row>
    <row r="1199" spans="14:17" x14ac:dyDescent="0.25">
      <c r="N1199" s="14">
        <v>389</v>
      </c>
      <c r="O1199" s="14">
        <v>0.59929100000000002</v>
      </c>
      <c r="P1199" s="14">
        <f>O1199+O1198+O1197</f>
        <v>1.7884540000000002</v>
      </c>
      <c r="Q1199" s="57"/>
    </row>
    <row r="1200" spans="14:17" x14ac:dyDescent="0.25">
      <c r="N1200" s="14">
        <v>389.33300000000003</v>
      </c>
      <c r="O1200" s="14">
        <v>0.60287800000000002</v>
      </c>
      <c r="P1200">
        <v>0</v>
      </c>
      <c r="Q1200" s="57"/>
    </row>
    <row r="1201" spans="14:17" x14ac:dyDescent="0.25">
      <c r="N1201" s="14">
        <v>389.66699999999997</v>
      </c>
      <c r="O1201" s="14">
        <v>0.58000200000000002</v>
      </c>
      <c r="P1201">
        <v>0</v>
      </c>
      <c r="Q1201" s="57"/>
    </row>
    <row r="1202" spans="14:17" x14ac:dyDescent="0.25">
      <c r="N1202" s="14">
        <v>390</v>
      </c>
      <c r="O1202" s="14">
        <v>0.59594400000000003</v>
      </c>
      <c r="P1202" s="14">
        <f>O1202+O1201+O1200</f>
        <v>1.7788240000000002</v>
      </c>
      <c r="Q1202" s="57"/>
    </row>
    <row r="1203" spans="14:17" x14ac:dyDescent="0.25">
      <c r="N1203" s="14">
        <v>390.33300000000003</v>
      </c>
      <c r="O1203" s="14">
        <v>0.59960100000000005</v>
      </c>
      <c r="P1203">
        <v>0</v>
      </c>
      <c r="Q1203" s="57"/>
    </row>
    <row r="1204" spans="14:17" x14ac:dyDescent="0.25">
      <c r="N1204" s="14">
        <v>390.66699999999997</v>
      </c>
      <c r="O1204" s="14">
        <v>0.57468699999999995</v>
      </c>
      <c r="P1204">
        <v>0</v>
      </c>
      <c r="Q1204" s="57"/>
    </row>
    <row r="1205" spans="14:17" x14ac:dyDescent="0.25">
      <c r="N1205" s="14">
        <v>391</v>
      </c>
      <c r="O1205" s="14">
        <v>0.59388200000000002</v>
      </c>
      <c r="P1205" s="14">
        <f>O1205+O1204+O1203</f>
        <v>1.76817</v>
      </c>
      <c r="Q1205" s="57"/>
    </row>
    <row r="1206" spans="14:17" x14ac:dyDescent="0.25">
      <c r="N1206" s="14">
        <v>391.33300000000003</v>
      </c>
      <c r="O1206" s="14">
        <v>0.59510099999999999</v>
      </c>
      <c r="P1206">
        <v>0</v>
      </c>
      <c r="Q1206" s="57"/>
    </row>
    <row r="1207" spans="14:17" x14ac:dyDescent="0.25">
      <c r="N1207" s="14">
        <v>391.66699999999997</v>
      </c>
      <c r="O1207" s="14">
        <v>0.574322</v>
      </c>
      <c r="P1207">
        <v>0</v>
      </c>
      <c r="Q1207" s="57"/>
    </row>
    <row r="1208" spans="14:17" x14ac:dyDescent="0.25">
      <c r="N1208" s="14">
        <v>392</v>
      </c>
      <c r="O1208" s="14">
        <v>0.58867100000000006</v>
      </c>
      <c r="P1208" s="14">
        <f>O1208+O1207+O1206</f>
        <v>1.7580940000000003</v>
      </c>
      <c r="Q1208" s="57"/>
    </row>
    <row r="1209" spans="14:17" x14ac:dyDescent="0.25">
      <c r="N1209" s="14">
        <v>392.33300000000003</v>
      </c>
      <c r="O1209" s="14">
        <v>0.59360299999999999</v>
      </c>
      <c r="P1209">
        <v>0</v>
      </c>
      <c r="Q1209" s="57"/>
    </row>
    <row r="1210" spans="14:17" x14ac:dyDescent="0.25">
      <c r="N1210" s="14">
        <v>392.66699999999997</v>
      </c>
      <c r="O1210" s="14">
        <v>0.56935100000000005</v>
      </c>
      <c r="P1210">
        <v>0</v>
      </c>
      <c r="Q1210" s="57"/>
    </row>
    <row r="1211" spans="14:17" x14ac:dyDescent="0.25">
      <c r="N1211" s="14">
        <v>393</v>
      </c>
      <c r="O1211" s="14">
        <v>0.58658600000000005</v>
      </c>
      <c r="P1211" s="14">
        <f>O1211+O1210+O1209</f>
        <v>1.7495400000000001</v>
      </c>
      <c r="Q1211" s="57"/>
    </row>
    <row r="1212" spans="14:17" x14ac:dyDescent="0.25">
      <c r="N1212" s="14">
        <v>393.33300000000003</v>
      </c>
      <c r="O1212" s="14">
        <v>0.58903000000000005</v>
      </c>
      <c r="P1212">
        <v>0</v>
      </c>
      <c r="Q1212" s="57"/>
    </row>
    <row r="1213" spans="14:17" x14ac:dyDescent="0.25">
      <c r="N1213" s="14">
        <v>393.66699999999997</v>
      </c>
      <c r="O1213" s="14">
        <v>0.56756300000000004</v>
      </c>
      <c r="P1213">
        <v>0</v>
      </c>
      <c r="Q1213" s="57"/>
    </row>
    <row r="1214" spans="14:17" x14ac:dyDescent="0.25">
      <c r="N1214" s="14">
        <v>394</v>
      </c>
      <c r="O1214" s="14">
        <v>0.58248100000000003</v>
      </c>
      <c r="P1214" s="14">
        <f>O1214+O1213+O1212</f>
        <v>1.739074</v>
      </c>
      <c r="Q1214" s="57"/>
    </row>
    <row r="1215" spans="14:17" x14ac:dyDescent="0.25">
      <c r="N1215" s="14">
        <v>394.33300000000003</v>
      </c>
      <c r="O1215" s="14">
        <v>0.58667499999999995</v>
      </c>
      <c r="P1215">
        <v>0</v>
      </c>
      <c r="Q1215" s="57"/>
    </row>
    <row r="1216" spans="14:17" x14ac:dyDescent="0.25">
      <c r="N1216" s="14">
        <v>394.66699999999997</v>
      </c>
      <c r="O1216" s="14">
        <v>0.56325099999999995</v>
      </c>
      <c r="P1216">
        <v>0</v>
      </c>
      <c r="Q1216" s="57"/>
    </row>
    <row r="1217" spans="14:17" x14ac:dyDescent="0.25">
      <c r="N1217" s="14">
        <v>395</v>
      </c>
      <c r="O1217" s="14">
        <v>0.57991999999999999</v>
      </c>
      <c r="P1217" s="14">
        <f>O1217+O1216+O1215</f>
        <v>1.7298459999999998</v>
      </c>
      <c r="Q1217" s="57"/>
    </row>
    <row r="1218" spans="14:17" x14ac:dyDescent="0.25">
      <c r="N1218" s="14">
        <v>395.33300000000003</v>
      </c>
      <c r="O1218" s="14">
        <v>0.582592</v>
      </c>
      <c r="P1218">
        <v>0</v>
      </c>
      <c r="Q1218" s="57"/>
    </row>
    <row r="1219" spans="14:17" x14ac:dyDescent="0.25">
      <c r="N1219" s="14">
        <v>395.66699999999997</v>
      </c>
      <c r="O1219" s="14">
        <v>0.56112399999999996</v>
      </c>
      <c r="P1219">
        <v>0</v>
      </c>
      <c r="Q1219" s="57"/>
    </row>
    <row r="1220" spans="14:17" x14ac:dyDescent="0.25">
      <c r="N1220" s="14">
        <v>396</v>
      </c>
      <c r="O1220" s="14">
        <v>0.57617399999999996</v>
      </c>
      <c r="P1220" s="14">
        <f>O1220+O1219+O1218</f>
        <v>1.7198899999999999</v>
      </c>
      <c r="Q1220" s="57"/>
    </row>
    <row r="1221" spans="14:17" x14ac:dyDescent="0.25">
      <c r="N1221" s="14">
        <v>396.33300000000003</v>
      </c>
      <c r="O1221" s="14">
        <v>0.57987</v>
      </c>
      <c r="P1221">
        <v>0</v>
      </c>
      <c r="Q1221" s="57"/>
    </row>
    <row r="1222" spans="14:17" x14ac:dyDescent="0.25">
      <c r="N1222" s="14">
        <v>396.66699999999997</v>
      </c>
      <c r="O1222" s="14">
        <v>0.55717300000000003</v>
      </c>
      <c r="P1222">
        <v>0</v>
      </c>
      <c r="Q1222" s="57"/>
    </row>
    <row r="1223" spans="14:17" x14ac:dyDescent="0.25">
      <c r="N1223" s="14">
        <v>397</v>
      </c>
      <c r="O1223" s="14">
        <v>0.57327700000000004</v>
      </c>
      <c r="P1223" s="14">
        <f>O1223+O1222+O1221</f>
        <v>1.7103200000000003</v>
      </c>
      <c r="Q1223" s="57"/>
    </row>
    <row r="1224" spans="14:17" x14ac:dyDescent="0.25">
      <c r="N1224" s="14">
        <v>397.33300000000003</v>
      </c>
      <c r="O1224" s="14">
        <v>0.57620700000000002</v>
      </c>
      <c r="P1224">
        <v>0</v>
      </c>
      <c r="Q1224" s="57"/>
    </row>
    <row r="1225" spans="14:17" x14ac:dyDescent="0.25">
      <c r="N1225" s="14">
        <v>397.66699999999997</v>
      </c>
      <c r="O1225" s="14">
        <v>0.554786</v>
      </c>
      <c r="P1225">
        <v>0</v>
      </c>
      <c r="Q1225" s="57"/>
    </row>
    <row r="1226" spans="14:17" x14ac:dyDescent="0.25">
      <c r="N1226" s="14">
        <v>398</v>
      </c>
      <c r="O1226" s="14">
        <v>0.56995099999999999</v>
      </c>
      <c r="P1226" s="14">
        <f>O1226+O1225+O1224</f>
        <v>1.7009440000000002</v>
      </c>
      <c r="Q1226" s="57"/>
    </row>
    <row r="1227" spans="14:17" x14ac:dyDescent="0.25">
      <c r="N1227" s="14">
        <v>398.33300000000003</v>
      </c>
      <c r="O1227" s="14">
        <v>0.57152400000000003</v>
      </c>
      <c r="P1227">
        <v>0</v>
      </c>
      <c r="Q1227" s="57"/>
    </row>
    <row r="1228" spans="14:17" x14ac:dyDescent="0.25">
      <c r="N1228" s="14">
        <v>398.66699999999997</v>
      </c>
      <c r="O1228" s="14">
        <v>0.55241300000000004</v>
      </c>
      <c r="P1228">
        <v>0</v>
      </c>
      <c r="Q1228" s="57"/>
    </row>
    <row r="1229" spans="14:17" x14ac:dyDescent="0.25">
      <c r="N1229" s="14">
        <v>399</v>
      </c>
      <c r="O1229" s="14">
        <v>0.56585099999999999</v>
      </c>
      <c r="P1229" s="14">
        <f>O1229+O1228+O1227</f>
        <v>1.6897880000000001</v>
      </c>
      <c r="Q1229" s="57"/>
    </row>
    <row r="1230" spans="14:17" x14ac:dyDescent="0.25">
      <c r="N1230" s="14">
        <v>399.33300000000003</v>
      </c>
      <c r="O1230" s="14">
        <v>0.57069899999999996</v>
      </c>
      <c r="P1230">
        <v>0</v>
      </c>
      <c r="Q1230" s="57"/>
    </row>
    <row r="1231" spans="14:17" x14ac:dyDescent="0.25">
      <c r="N1231" s="14">
        <v>399.66699999999997</v>
      </c>
      <c r="O1231" s="14">
        <v>0.54788999999999999</v>
      </c>
      <c r="P1231">
        <v>0</v>
      </c>
      <c r="Q1231" s="57"/>
    </row>
    <row r="1232" spans="14:17" x14ac:dyDescent="0.25">
      <c r="N1232" s="14">
        <v>400</v>
      </c>
      <c r="O1232" s="14">
        <v>0.56423400000000001</v>
      </c>
      <c r="P1232" s="14">
        <f>O1232+O1231+O1230</f>
        <v>1.682823</v>
      </c>
      <c r="Q1232" s="57"/>
    </row>
    <row r="1233" spans="14:17" x14ac:dyDescent="0.25">
      <c r="N1233" s="14">
        <v>400.33300000000003</v>
      </c>
      <c r="O1233" s="14">
        <v>0.56644499999999998</v>
      </c>
      <c r="P1233">
        <v>0</v>
      </c>
      <c r="Q1233" s="57"/>
    </row>
    <row r="1234" spans="14:17" x14ac:dyDescent="0.25">
      <c r="N1234" s="14">
        <v>400.66699999999997</v>
      </c>
      <c r="O1234" s="14">
        <v>0.54537199999999997</v>
      </c>
      <c r="P1234">
        <v>0</v>
      </c>
      <c r="Q1234" s="57"/>
    </row>
    <row r="1235" spans="14:17" x14ac:dyDescent="0.25">
      <c r="N1235" s="14">
        <v>401</v>
      </c>
      <c r="O1235" s="14">
        <v>0.56034799999999996</v>
      </c>
      <c r="P1235" s="14">
        <f>O1235+O1234+O1233</f>
        <v>1.6721649999999997</v>
      </c>
      <c r="Q1235" s="57"/>
    </row>
    <row r="1236" spans="14:17" x14ac:dyDescent="0.25">
      <c r="N1236" s="14">
        <v>401.33300000000003</v>
      </c>
      <c r="O1236" s="14">
        <v>0.56372199999999995</v>
      </c>
      <c r="P1236">
        <v>0</v>
      </c>
      <c r="Q1236" s="57"/>
    </row>
    <row r="1237" spans="14:17" x14ac:dyDescent="0.25">
      <c r="N1237" s="14">
        <v>401.66699999999997</v>
      </c>
      <c r="O1237" s="14">
        <v>0.54231200000000002</v>
      </c>
      <c r="P1237">
        <v>0</v>
      </c>
      <c r="Q1237" s="57"/>
    </row>
    <row r="1238" spans="14:17" x14ac:dyDescent="0.25">
      <c r="N1238" s="14">
        <v>402</v>
      </c>
      <c r="O1238" s="14">
        <v>0.55762699999999998</v>
      </c>
      <c r="P1238" s="14">
        <f>O1238+O1237+O1236</f>
        <v>1.6636609999999998</v>
      </c>
      <c r="Q1238" s="57"/>
    </row>
    <row r="1239" spans="14:17" x14ac:dyDescent="0.25">
      <c r="N1239" s="14">
        <v>402.33300000000003</v>
      </c>
      <c r="O1239" s="14">
        <v>0.56036399999999997</v>
      </c>
      <c r="P1239">
        <v>0</v>
      </c>
      <c r="Q1239" s="57"/>
    </row>
    <row r="1240" spans="14:17" x14ac:dyDescent="0.25">
      <c r="N1240" s="14">
        <v>402.66699999999997</v>
      </c>
      <c r="O1240" s="14">
        <v>0.53916500000000001</v>
      </c>
      <c r="P1240">
        <v>0</v>
      </c>
      <c r="Q1240" s="57"/>
    </row>
    <row r="1241" spans="14:17" x14ac:dyDescent="0.25">
      <c r="N1241" s="14">
        <v>403</v>
      </c>
      <c r="O1241" s="14">
        <v>0.55428599999999995</v>
      </c>
      <c r="P1241" s="14">
        <f>O1241+O1240+O1239</f>
        <v>1.6538149999999998</v>
      </c>
      <c r="Q1241" s="57"/>
    </row>
    <row r="1242" spans="14:17" x14ac:dyDescent="0.25">
      <c r="N1242" s="14">
        <v>403.33300000000003</v>
      </c>
      <c r="O1242" s="14">
        <v>0.55730900000000005</v>
      </c>
      <c r="P1242">
        <v>0</v>
      </c>
      <c r="Q1242" s="57"/>
    </row>
    <row r="1243" spans="14:17" x14ac:dyDescent="0.25">
      <c r="N1243" s="14">
        <v>403.66699999999997</v>
      </c>
      <c r="O1243" s="14">
        <v>0.53628699999999996</v>
      </c>
      <c r="P1243">
        <v>0</v>
      </c>
      <c r="Q1243" s="57"/>
    </row>
    <row r="1244" spans="14:17" x14ac:dyDescent="0.25">
      <c r="N1244" s="14">
        <v>404</v>
      </c>
      <c r="O1244" s="14">
        <v>0.55144400000000005</v>
      </c>
      <c r="P1244" s="14">
        <f>O1244+O1243+O1242</f>
        <v>1.6450400000000001</v>
      </c>
      <c r="Q1244" s="57"/>
    </row>
    <row r="1245" spans="14:17" x14ac:dyDescent="0.25">
      <c r="N1245" s="14">
        <v>404.33300000000003</v>
      </c>
      <c r="O1245" s="14">
        <v>0.55405300000000002</v>
      </c>
      <c r="P1245">
        <v>0</v>
      </c>
      <c r="Q1245" s="57"/>
    </row>
    <row r="1246" spans="14:17" x14ac:dyDescent="0.25">
      <c r="N1246" s="14">
        <v>404.66699999999997</v>
      </c>
      <c r="O1246" s="14">
        <v>0.53322400000000003</v>
      </c>
      <c r="P1246">
        <v>0</v>
      </c>
      <c r="Q1246" s="57"/>
    </row>
    <row r="1247" spans="14:17" x14ac:dyDescent="0.25">
      <c r="N1247" s="14">
        <v>405</v>
      </c>
      <c r="O1247" s="14">
        <v>0.54819899999999999</v>
      </c>
      <c r="P1247" s="14">
        <f>O1247+O1246+O1245</f>
        <v>1.6354760000000002</v>
      </c>
      <c r="Q1247" s="57"/>
    </row>
    <row r="1248" spans="14:17" x14ac:dyDescent="0.25">
      <c r="N1248" s="14">
        <v>405.33300000000003</v>
      </c>
      <c r="O1248" s="14">
        <v>0.55107499999999998</v>
      </c>
      <c r="P1248">
        <v>0</v>
      </c>
      <c r="Q1248" s="57"/>
    </row>
    <row r="1249" spans="14:17" x14ac:dyDescent="0.25">
      <c r="N1249" s="14">
        <v>405.66699999999997</v>
      </c>
      <c r="O1249" s="14">
        <v>0.52881299999999998</v>
      </c>
      <c r="P1249">
        <v>0</v>
      </c>
      <c r="Q1249" s="57"/>
    </row>
    <row r="1250" spans="14:17" x14ac:dyDescent="0.25">
      <c r="N1250" s="14">
        <v>406</v>
      </c>
      <c r="O1250" s="14">
        <v>0.54661199999999999</v>
      </c>
      <c r="P1250" s="14">
        <f>O1250+O1249+O1248</f>
        <v>1.6265000000000001</v>
      </c>
      <c r="Q1250" s="57"/>
    </row>
    <row r="1251" spans="14:17" x14ac:dyDescent="0.25">
      <c r="N1251" s="14">
        <v>406.33300000000003</v>
      </c>
      <c r="O1251" s="14">
        <v>0.54680600000000001</v>
      </c>
      <c r="P1251">
        <v>0</v>
      </c>
      <c r="Q1251" s="57"/>
    </row>
    <row r="1252" spans="14:17" x14ac:dyDescent="0.25">
      <c r="N1252" s="14">
        <v>406.66699999999997</v>
      </c>
      <c r="O1252" s="14">
        <v>0.52814099999999997</v>
      </c>
      <c r="P1252">
        <v>0</v>
      </c>
      <c r="Q1252" s="57"/>
    </row>
    <row r="1253" spans="14:17" x14ac:dyDescent="0.25">
      <c r="N1253" s="14">
        <v>407</v>
      </c>
      <c r="O1253" s="14">
        <v>0.54137500000000005</v>
      </c>
      <c r="P1253" s="14">
        <f>O1253+O1252+O1251</f>
        <v>1.6163220000000003</v>
      </c>
      <c r="Q1253" s="57"/>
    </row>
    <row r="1254" spans="14:17" x14ac:dyDescent="0.25">
      <c r="N1254" s="14">
        <v>407.33300000000003</v>
      </c>
      <c r="O1254" s="14">
        <v>0.54573000000000005</v>
      </c>
      <c r="P1254">
        <v>0</v>
      </c>
      <c r="Q1254" s="57"/>
    </row>
    <row r="1255" spans="14:17" x14ac:dyDescent="0.25">
      <c r="N1255" s="14">
        <v>407.66699999999997</v>
      </c>
      <c r="O1255" s="14">
        <v>0.52391399999999999</v>
      </c>
      <c r="P1255">
        <v>0</v>
      </c>
      <c r="Q1255" s="57"/>
    </row>
    <row r="1256" spans="14:17" x14ac:dyDescent="0.25">
      <c r="N1256" s="14">
        <v>408</v>
      </c>
      <c r="O1256" s="14">
        <v>0.53993400000000003</v>
      </c>
      <c r="P1256" s="14">
        <f>O1256+O1255+O1254</f>
        <v>1.6095780000000002</v>
      </c>
      <c r="Q1256" s="57"/>
    </row>
    <row r="1257" spans="14:17" x14ac:dyDescent="0.25">
      <c r="N1257" s="14">
        <v>408.33300000000003</v>
      </c>
      <c r="O1257" s="14">
        <v>0.54120400000000002</v>
      </c>
      <c r="P1257">
        <v>0</v>
      </c>
      <c r="Q1257" s="57"/>
    </row>
    <row r="1258" spans="14:17" x14ac:dyDescent="0.25">
      <c r="N1258" s="14">
        <v>408.66699999999997</v>
      </c>
      <c r="O1258" s="14">
        <v>0.52206399999999997</v>
      </c>
      <c r="P1258">
        <v>0</v>
      </c>
      <c r="Q1258" s="57"/>
    </row>
    <row r="1259" spans="14:17" x14ac:dyDescent="0.25">
      <c r="N1259" s="14">
        <v>409</v>
      </c>
      <c r="O1259" s="14">
        <v>0.53566100000000005</v>
      </c>
      <c r="P1259" s="14">
        <f>O1259+O1258+O1257</f>
        <v>1.598929</v>
      </c>
      <c r="Q1259" s="57"/>
    </row>
    <row r="1260" spans="14:17" x14ac:dyDescent="0.25">
      <c r="N1260" s="14">
        <v>409.33300000000003</v>
      </c>
      <c r="O1260" s="14">
        <v>0.53933299999999995</v>
      </c>
      <c r="P1260">
        <v>0</v>
      </c>
      <c r="Q1260" s="57"/>
    </row>
    <row r="1261" spans="14:17" x14ac:dyDescent="0.25">
      <c r="N1261" s="14">
        <v>409.66699999999997</v>
      </c>
      <c r="O1261" s="14">
        <v>0.51840200000000003</v>
      </c>
      <c r="P1261">
        <v>0</v>
      </c>
      <c r="Q1261" s="57"/>
    </row>
    <row r="1262" spans="14:17" x14ac:dyDescent="0.25">
      <c r="N1262" s="14">
        <v>410</v>
      </c>
      <c r="O1262" s="14">
        <v>0.53368300000000002</v>
      </c>
      <c r="P1262" s="14">
        <f>O1262+O1261+O1260</f>
        <v>1.591418</v>
      </c>
      <c r="Q1262" s="57"/>
    </row>
    <row r="1263" spans="14:17" x14ac:dyDescent="0.25">
      <c r="N1263" s="14">
        <v>410.33300000000003</v>
      </c>
      <c r="O1263" s="14">
        <v>0.53551499999999996</v>
      </c>
      <c r="P1263">
        <v>0</v>
      </c>
      <c r="Q1263" s="57"/>
    </row>
    <row r="1264" spans="14:17" x14ac:dyDescent="0.25">
      <c r="N1264" s="14">
        <v>410.66699999999997</v>
      </c>
      <c r="O1264" s="14">
        <v>0.51601399999999997</v>
      </c>
      <c r="P1264">
        <v>0</v>
      </c>
      <c r="Q1264" s="57"/>
    </row>
    <row r="1265" spans="14:17" x14ac:dyDescent="0.25">
      <c r="N1265" s="14">
        <v>411</v>
      </c>
      <c r="O1265" s="14">
        <v>0.529922</v>
      </c>
      <c r="P1265" s="14">
        <f>O1265+O1264+O1263</f>
        <v>1.5814509999999999</v>
      </c>
      <c r="Q1265" s="57"/>
    </row>
    <row r="1266" spans="14:17" x14ac:dyDescent="0.25">
      <c r="N1266" s="14">
        <v>411.33300000000003</v>
      </c>
      <c r="O1266" s="14">
        <v>0.53320599999999996</v>
      </c>
      <c r="P1266">
        <v>0</v>
      </c>
      <c r="Q1266" s="57"/>
    </row>
    <row r="1267" spans="14:17" x14ac:dyDescent="0.25">
      <c r="N1267" s="14">
        <v>411.66699999999997</v>
      </c>
      <c r="O1267" s="14">
        <v>0.51261999999999996</v>
      </c>
      <c r="P1267">
        <v>0</v>
      </c>
      <c r="Q1267" s="57"/>
    </row>
    <row r="1268" spans="14:17" x14ac:dyDescent="0.25">
      <c r="N1268" s="14">
        <v>412</v>
      </c>
      <c r="O1268" s="14">
        <v>0.52793199999999996</v>
      </c>
      <c r="P1268" s="14">
        <f>O1268+O1267+O1266</f>
        <v>1.5737579999999998</v>
      </c>
      <c r="Q1268" s="57"/>
    </row>
    <row r="1269" spans="14:17" x14ac:dyDescent="0.25">
      <c r="N1269" s="14">
        <v>412.33300000000003</v>
      </c>
      <c r="O1269" s="14">
        <v>0.52926700000000004</v>
      </c>
      <c r="P1269">
        <v>0</v>
      </c>
      <c r="Q1269" s="57"/>
    </row>
    <row r="1270" spans="14:17" x14ac:dyDescent="0.25">
      <c r="N1270" s="14">
        <v>412.66699999999997</v>
      </c>
      <c r="O1270" s="14">
        <v>0.51069900000000001</v>
      </c>
      <c r="P1270">
        <v>0</v>
      </c>
      <c r="Q1270" s="57"/>
    </row>
    <row r="1271" spans="14:17" x14ac:dyDescent="0.25">
      <c r="N1271" s="14">
        <v>413</v>
      </c>
      <c r="O1271" s="14">
        <v>0.52382799999999996</v>
      </c>
      <c r="P1271" s="14">
        <f>O1271+O1270+O1269</f>
        <v>1.5637940000000001</v>
      </c>
      <c r="Q1271" s="57"/>
    </row>
    <row r="1272" spans="14:17" x14ac:dyDescent="0.25">
      <c r="N1272" s="14">
        <v>413.33300000000003</v>
      </c>
      <c r="O1272" s="14">
        <v>0.52573300000000001</v>
      </c>
      <c r="P1272">
        <v>0</v>
      </c>
      <c r="Q1272" s="57"/>
    </row>
    <row r="1273" spans="14:17" x14ac:dyDescent="0.25">
      <c r="N1273" s="14">
        <v>413.66699999999997</v>
      </c>
      <c r="O1273" s="14">
        <v>0.50823099999999999</v>
      </c>
      <c r="P1273">
        <v>0</v>
      </c>
      <c r="Q1273" s="57"/>
    </row>
    <row r="1274" spans="14:17" x14ac:dyDescent="0.25">
      <c r="N1274" s="14">
        <v>414</v>
      </c>
      <c r="O1274" s="14">
        <v>0.52105900000000005</v>
      </c>
      <c r="P1274" s="14">
        <f>O1274+O1273+O1272</f>
        <v>1.555023</v>
      </c>
      <c r="Q1274" s="57"/>
    </row>
    <row r="1275" spans="14:17" x14ac:dyDescent="0.25">
      <c r="N1275" s="14">
        <v>414.33300000000003</v>
      </c>
      <c r="O1275" s="14">
        <v>0.52443399999999996</v>
      </c>
      <c r="P1275">
        <v>0</v>
      </c>
      <c r="Q1275" s="57"/>
    </row>
    <row r="1276" spans="14:17" x14ac:dyDescent="0.25">
      <c r="N1276" s="14">
        <v>414.66699999999997</v>
      </c>
      <c r="O1276" s="14">
        <v>0.50414700000000001</v>
      </c>
      <c r="P1276">
        <v>0</v>
      </c>
      <c r="Q1276" s="57"/>
    </row>
    <row r="1277" spans="14:17" x14ac:dyDescent="0.25">
      <c r="N1277" s="14">
        <v>415</v>
      </c>
      <c r="O1277" s="14">
        <v>0.51882799999999996</v>
      </c>
      <c r="P1277" s="14">
        <f>O1277+O1276+O1275</f>
        <v>1.547409</v>
      </c>
      <c r="Q1277" s="57"/>
    </row>
    <row r="1278" spans="14:17" x14ac:dyDescent="0.25">
      <c r="N1278" s="14">
        <v>415.33300000000003</v>
      </c>
      <c r="O1278" s="14">
        <v>0.520895</v>
      </c>
      <c r="P1278">
        <v>0</v>
      </c>
      <c r="Q1278" s="57"/>
    </row>
    <row r="1279" spans="14:17" x14ac:dyDescent="0.25">
      <c r="N1279" s="14">
        <v>415.66699999999997</v>
      </c>
      <c r="O1279" s="14">
        <v>0.50195599999999996</v>
      </c>
      <c r="P1279">
        <v>0</v>
      </c>
      <c r="Q1279" s="57"/>
    </row>
    <row r="1280" spans="14:17" x14ac:dyDescent="0.25">
      <c r="N1280" s="14">
        <v>416</v>
      </c>
      <c r="O1280" s="14">
        <v>0.51590199999999997</v>
      </c>
      <c r="P1280" s="14">
        <f>O1280+O1279+O1278</f>
        <v>1.5387529999999998</v>
      </c>
      <c r="Q1280" s="57"/>
    </row>
    <row r="1281" spans="14:17" x14ac:dyDescent="0.25">
      <c r="N1281" s="14">
        <v>416.33300000000003</v>
      </c>
      <c r="O1281" s="14">
        <v>0.51817199999999997</v>
      </c>
      <c r="P1281">
        <v>0</v>
      </c>
      <c r="Q1281" s="57"/>
    </row>
    <row r="1282" spans="14:17" x14ac:dyDescent="0.25">
      <c r="N1282" s="14">
        <v>416.66699999999997</v>
      </c>
      <c r="O1282" s="14">
        <v>0.49886399999999997</v>
      </c>
      <c r="P1282">
        <v>0</v>
      </c>
      <c r="Q1282" s="57"/>
    </row>
    <row r="1283" spans="14:17" x14ac:dyDescent="0.25">
      <c r="N1283" s="14">
        <v>417</v>
      </c>
      <c r="O1283" s="14">
        <v>0.51294700000000004</v>
      </c>
      <c r="P1283" s="14">
        <f>O1283+O1282+O1281</f>
        <v>1.5299830000000001</v>
      </c>
      <c r="Q1283" s="57"/>
    </row>
    <row r="1284" spans="14:17" x14ac:dyDescent="0.25">
      <c r="N1284" s="14">
        <v>417.33300000000003</v>
      </c>
      <c r="O1284" s="14">
        <v>0.51522900000000005</v>
      </c>
      <c r="P1284">
        <v>0</v>
      </c>
      <c r="Q1284" s="57"/>
    </row>
    <row r="1285" spans="14:17" x14ac:dyDescent="0.25">
      <c r="N1285" s="14">
        <v>417.66699999999997</v>
      </c>
      <c r="O1285" s="14">
        <v>0.49637700000000001</v>
      </c>
      <c r="P1285">
        <v>0</v>
      </c>
      <c r="Q1285" s="57"/>
    </row>
    <row r="1286" spans="14:17" x14ac:dyDescent="0.25">
      <c r="N1286" s="14">
        <v>418</v>
      </c>
      <c r="O1286" s="14">
        <v>0.51026300000000002</v>
      </c>
      <c r="P1286" s="14">
        <f>O1286+O1285+O1284</f>
        <v>1.5218690000000001</v>
      </c>
      <c r="Q1286" s="57"/>
    </row>
    <row r="1287" spans="14:17" x14ac:dyDescent="0.25">
      <c r="N1287" s="14">
        <v>418.33300000000003</v>
      </c>
      <c r="O1287" s="14">
        <v>0.51224099999999995</v>
      </c>
      <c r="P1287">
        <v>0</v>
      </c>
      <c r="Q1287" s="57"/>
    </row>
    <row r="1288" spans="14:17" x14ac:dyDescent="0.25">
      <c r="N1288" s="14">
        <v>418.66699999999997</v>
      </c>
      <c r="O1288" s="14">
        <v>0.49360599999999999</v>
      </c>
      <c r="P1288">
        <v>0</v>
      </c>
      <c r="Q1288" s="57"/>
    </row>
    <row r="1289" spans="14:17" x14ac:dyDescent="0.25">
      <c r="N1289" s="14">
        <v>419</v>
      </c>
      <c r="O1289" s="14">
        <v>0.50692800000000005</v>
      </c>
      <c r="P1289" s="14">
        <f>O1289+O1288+O1287</f>
        <v>1.512775</v>
      </c>
      <c r="Q1289" s="57"/>
    </row>
    <row r="1290" spans="14:17" x14ac:dyDescent="0.25">
      <c r="N1290" s="14">
        <v>419.33300000000003</v>
      </c>
      <c r="O1290" s="14">
        <v>0.50994099999999998</v>
      </c>
      <c r="P1290">
        <v>0</v>
      </c>
      <c r="Q1290" s="57"/>
    </row>
    <row r="1291" spans="14:17" x14ac:dyDescent="0.25">
      <c r="N1291" s="14">
        <v>419.66699999999997</v>
      </c>
      <c r="O1291" s="14">
        <v>0.490398</v>
      </c>
      <c r="P1291">
        <v>0</v>
      </c>
      <c r="Q1291" s="57"/>
    </row>
    <row r="1292" spans="14:17" x14ac:dyDescent="0.25">
      <c r="N1292" s="14">
        <v>420</v>
      </c>
      <c r="O1292" s="14">
        <v>0.50523300000000004</v>
      </c>
      <c r="P1292" s="14">
        <f>O1292+O1291+O1290</f>
        <v>1.5055719999999999</v>
      </c>
      <c r="Q1292" s="57"/>
    </row>
    <row r="1293" spans="14:17" x14ac:dyDescent="0.25">
      <c r="N1293" s="14">
        <v>420.33300000000003</v>
      </c>
      <c r="O1293" s="14">
        <v>0.50609899999999997</v>
      </c>
      <c r="P1293">
        <v>0</v>
      </c>
      <c r="Q1293" s="57"/>
    </row>
    <row r="1294" spans="14:17" x14ac:dyDescent="0.25">
      <c r="N1294" s="14">
        <v>420.66699999999997</v>
      </c>
      <c r="O1294" s="14">
        <v>0.48851</v>
      </c>
      <c r="P1294">
        <v>0</v>
      </c>
      <c r="Q1294" s="57"/>
    </row>
    <row r="1295" spans="14:17" x14ac:dyDescent="0.25">
      <c r="N1295" s="14">
        <v>421</v>
      </c>
      <c r="O1295" s="14">
        <v>0.499554</v>
      </c>
      <c r="P1295" s="14">
        <f>O1295+O1294+O1293</f>
        <v>1.4941629999999999</v>
      </c>
      <c r="Q1295" s="57"/>
    </row>
    <row r="1296" spans="14:17" x14ac:dyDescent="0.25">
      <c r="N1296" s="14">
        <v>421.33300000000003</v>
      </c>
      <c r="O1296" s="14">
        <v>0.50578999999999996</v>
      </c>
      <c r="P1296">
        <v>0</v>
      </c>
      <c r="Q1296" s="57"/>
    </row>
    <row r="1297" spans="14:17" x14ac:dyDescent="0.25">
      <c r="N1297" s="14">
        <v>421.66699999999997</v>
      </c>
      <c r="O1297" s="14">
        <v>0.48388399999999998</v>
      </c>
      <c r="P1297">
        <v>0</v>
      </c>
      <c r="Q1297" s="57"/>
    </row>
    <row r="1298" spans="14:17" x14ac:dyDescent="0.25">
      <c r="N1298" s="14">
        <v>422</v>
      </c>
      <c r="O1298" s="14">
        <v>0.50052399999999997</v>
      </c>
      <c r="P1298" s="14">
        <f>O1298+O1297+O1296</f>
        <v>1.4901979999999999</v>
      </c>
      <c r="Q1298" s="57"/>
    </row>
    <row r="1299" spans="14:17" x14ac:dyDescent="0.25">
      <c r="N1299" s="14">
        <v>422.33300000000003</v>
      </c>
      <c r="O1299" s="14">
        <v>0.499892</v>
      </c>
      <c r="P1299">
        <v>0</v>
      </c>
      <c r="Q1299" s="57"/>
    </row>
    <row r="1300" spans="14:17" x14ac:dyDescent="0.25">
      <c r="N1300" s="14">
        <v>422.66699999999997</v>
      </c>
      <c r="O1300" s="14">
        <v>0.48355300000000001</v>
      </c>
      <c r="P1300">
        <v>0</v>
      </c>
      <c r="Q1300" s="57"/>
    </row>
    <row r="1301" spans="14:17" x14ac:dyDescent="0.25">
      <c r="N1301" s="14">
        <v>423</v>
      </c>
      <c r="O1301" s="14">
        <v>0.49545299999999998</v>
      </c>
      <c r="P1301" s="14">
        <f>O1301+O1300+O1299</f>
        <v>1.478898</v>
      </c>
      <c r="Q1301" s="57"/>
    </row>
    <row r="1302" spans="14:17" x14ac:dyDescent="0.25">
      <c r="N1302" s="14">
        <v>423.33300000000003</v>
      </c>
      <c r="O1302" s="14">
        <v>0.49892300000000001</v>
      </c>
      <c r="P1302">
        <v>0</v>
      </c>
      <c r="Q1302" s="57"/>
    </row>
    <row r="1303" spans="14:17" x14ac:dyDescent="0.25">
      <c r="N1303" s="14">
        <v>423.66699999999997</v>
      </c>
      <c r="O1303" s="14">
        <v>0.479659</v>
      </c>
      <c r="P1303">
        <v>0</v>
      </c>
      <c r="Q1303" s="57"/>
    </row>
    <row r="1304" spans="14:17" x14ac:dyDescent="0.25">
      <c r="N1304" s="14">
        <v>424</v>
      </c>
      <c r="O1304" s="14">
        <v>0.49407699999999999</v>
      </c>
      <c r="P1304" s="14">
        <f>O1304+O1303+O1302</f>
        <v>1.4726589999999999</v>
      </c>
      <c r="Q1304" s="57"/>
    </row>
    <row r="1305" spans="14:17" x14ac:dyDescent="0.25">
      <c r="N1305" s="14">
        <v>424.33300000000003</v>
      </c>
      <c r="O1305" s="14">
        <v>0.495147</v>
      </c>
      <c r="P1305">
        <v>0</v>
      </c>
      <c r="Q1305" s="57"/>
    </row>
    <row r="1306" spans="14:17" x14ac:dyDescent="0.25">
      <c r="N1306" s="14">
        <v>424.66699999999997</v>
      </c>
      <c r="O1306" s="14">
        <v>0.47761399999999998</v>
      </c>
      <c r="P1306">
        <v>0</v>
      </c>
      <c r="Q1306" s="57"/>
    </row>
    <row r="1307" spans="14:17" x14ac:dyDescent="0.25">
      <c r="N1307" s="14">
        <v>425</v>
      </c>
      <c r="O1307" s="14">
        <v>0.490566</v>
      </c>
      <c r="P1307" s="14">
        <f>O1307+O1306+O1305</f>
        <v>1.463327</v>
      </c>
      <c r="Q1307" s="57"/>
    </row>
    <row r="1308" spans="14:17" x14ac:dyDescent="0.25">
      <c r="N1308" s="14">
        <v>425.33300000000003</v>
      </c>
      <c r="O1308" s="14">
        <v>0.49294399999999999</v>
      </c>
      <c r="P1308">
        <v>0</v>
      </c>
      <c r="Q1308" s="57"/>
    </row>
    <row r="1309" spans="14:17" x14ac:dyDescent="0.25">
      <c r="N1309" s="14">
        <v>425.66699999999997</v>
      </c>
      <c r="O1309" s="14">
        <v>0.47464499999999998</v>
      </c>
      <c r="P1309">
        <v>0</v>
      </c>
      <c r="Q1309" s="57"/>
    </row>
    <row r="1310" spans="14:17" x14ac:dyDescent="0.25">
      <c r="N1310" s="14">
        <v>426</v>
      </c>
      <c r="O1310" s="14">
        <v>0.48846400000000001</v>
      </c>
      <c r="P1310" s="14">
        <f>O1310+O1309+O1308</f>
        <v>1.456053</v>
      </c>
      <c r="Q1310" s="57"/>
    </row>
    <row r="1311" spans="14:17" x14ac:dyDescent="0.25">
      <c r="N1311" s="14">
        <v>426.33300000000003</v>
      </c>
      <c r="O1311" s="14">
        <v>0</v>
      </c>
      <c r="P1311">
        <v>0</v>
      </c>
      <c r="Q1311" s="57"/>
    </row>
    <row r="1312" spans="14:17" x14ac:dyDescent="0.25">
      <c r="N1312" s="14">
        <v>426.66699999999997</v>
      </c>
      <c r="O1312" s="14">
        <v>0</v>
      </c>
      <c r="P1312">
        <v>0</v>
      </c>
      <c r="Q1312" s="57"/>
    </row>
    <row r="1313" spans="14:17" x14ac:dyDescent="0.25">
      <c r="N1313" s="14">
        <v>427</v>
      </c>
      <c r="O1313" s="14">
        <v>0.47627799999999998</v>
      </c>
      <c r="P1313" s="14">
        <f>O1313+O1312+O1311</f>
        <v>0.47627799999999998</v>
      </c>
      <c r="Q1313" s="57"/>
    </row>
    <row r="1314" spans="14:17" x14ac:dyDescent="0.25">
      <c r="N1314" s="14">
        <v>427.33300000000003</v>
      </c>
      <c r="O1314" s="14">
        <v>0.58080799999999999</v>
      </c>
      <c r="P1314">
        <v>0</v>
      </c>
      <c r="Q1314" s="57"/>
    </row>
    <row r="1315" spans="14:17" x14ac:dyDescent="0.25">
      <c r="N1315" s="14">
        <v>427.66699999999997</v>
      </c>
      <c r="O1315" s="14">
        <v>0.54149899999999995</v>
      </c>
      <c r="P1315">
        <v>0</v>
      </c>
      <c r="Q1315" s="57"/>
    </row>
    <row r="1316" spans="14:17" x14ac:dyDescent="0.25">
      <c r="N1316" s="14">
        <v>428</v>
      </c>
      <c r="O1316" s="14">
        <v>0.51939999999999997</v>
      </c>
      <c r="P1316" s="14">
        <f>O1316+O1315+O1314</f>
        <v>1.641707</v>
      </c>
      <c r="Q1316" s="57"/>
    </row>
    <row r="1317" spans="14:17" x14ac:dyDescent="0.25">
      <c r="N1317" s="14">
        <v>428.33300000000003</v>
      </c>
      <c r="O1317" s="14">
        <v>0.59333899999999995</v>
      </c>
      <c r="P1317">
        <v>0</v>
      </c>
      <c r="Q1317" s="57"/>
    </row>
    <row r="1318" spans="14:17" x14ac:dyDescent="0.25">
      <c r="N1318" s="14">
        <v>428.66699999999997</v>
      </c>
      <c r="O1318" s="14">
        <v>0.47964800000000002</v>
      </c>
      <c r="P1318">
        <v>0</v>
      </c>
      <c r="Q1318" s="57"/>
    </row>
    <row r="1319" spans="14:17" x14ac:dyDescent="0.25">
      <c r="N1319" s="14">
        <v>429</v>
      </c>
      <c r="O1319" s="14">
        <v>0.63099899999999998</v>
      </c>
      <c r="P1319" s="14">
        <f>O1319+O1318+O1317</f>
        <v>1.703986</v>
      </c>
      <c r="Q1319" s="57"/>
    </row>
    <row r="1320" spans="14:17" x14ac:dyDescent="0.25">
      <c r="N1320" s="14">
        <v>429.33300000000003</v>
      </c>
      <c r="O1320" s="14">
        <v>0.453988</v>
      </c>
      <c r="P1320">
        <v>0</v>
      </c>
      <c r="Q1320" s="57"/>
    </row>
    <row r="1321" spans="14:17" x14ac:dyDescent="0.25">
      <c r="N1321" s="14">
        <v>429.66699999999997</v>
      </c>
      <c r="O1321" s="14">
        <v>0.65562600000000004</v>
      </c>
      <c r="P1321">
        <v>0</v>
      </c>
      <c r="Q1321" s="57"/>
    </row>
    <row r="1322" spans="14:17" x14ac:dyDescent="0.25">
      <c r="N1322" s="14">
        <v>430</v>
      </c>
      <c r="O1322" s="14">
        <v>0.43790499999999999</v>
      </c>
      <c r="P1322" s="14">
        <f>O1322+O1321+O1320</f>
        <v>1.5475190000000001</v>
      </c>
      <c r="Q1322" s="57"/>
    </row>
    <row r="1323" spans="14:17" x14ac:dyDescent="0.25">
      <c r="N1323" s="14">
        <v>430.33300000000003</v>
      </c>
      <c r="O1323" s="14">
        <v>0.66616500000000001</v>
      </c>
      <c r="P1323">
        <v>0</v>
      </c>
      <c r="Q1323" s="57"/>
    </row>
    <row r="1324" spans="14:17" x14ac:dyDescent="0.25">
      <c r="N1324" s="14">
        <v>430.66699999999997</v>
      </c>
      <c r="O1324" s="14">
        <v>0.43044199999999999</v>
      </c>
      <c r="P1324">
        <v>0</v>
      </c>
      <c r="Q1324" s="57"/>
    </row>
    <row r="1325" spans="14:17" x14ac:dyDescent="0.25">
      <c r="N1325" s="14">
        <v>431</v>
      </c>
      <c r="O1325" s="14">
        <v>0.66969400000000001</v>
      </c>
      <c r="P1325" s="14">
        <f>O1325+O1324+O1323</f>
        <v>1.7663009999999999</v>
      </c>
      <c r="Q1325" s="57"/>
    </row>
    <row r="1326" spans="14:17" x14ac:dyDescent="0.25">
      <c r="N1326" s="14">
        <v>431.33300000000003</v>
      </c>
      <c r="O1326" s="14">
        <v>0.42674200000000001</v>
      </c>
      <c r="P1326">
        <v>0</v>
      </c>
      <c r="Q1326" s="57"/>
    </row>
    <row r="1327" spans="14:17" x14ac:dyDescent="0.25">
      <c r="N1327" s="14">
        <v>431.66699999999997</v>
      </c>
      <c r="O1327" s="14">
        <v>0.670763</v>
      </c>
      <c r="P1327">
        <v>0</v>
      </c>
      <c r="Q1327" s="57"/>
    </row>
    <row r="1328" spans="14:17" x14ac:dyDescent="0.25">
      <c r="N1328" s="14">
        <v>432</v>
      </c>
      <c r="O1328" s="14">
        <v>0.42011199999999999</v>
      </c>
      <c r="P1328" s="14">
        <f>O1328+O1327+O1326</f>
        <v>1.517617</v>
      </c>
      <c r="Q1328" s="57"/>
    </row>
    <row r="1329" spans="14:17" x14ac:dyDescent="0.25">
      <c r="N1329" s="14">
        <v>432.33300000000003</v>
      </c>
      <c r="O1329" s="14">
        <v>0.67096199999999995</v>
      </c>
      <c r="P1329">
        <v>0</v>
      </c>
      <c r="Q1329" s="57"/>
    </row>
    <row r="1330" spans="14:17" x14ac:dyDescent="0.25">
      <c r="N1330" s="14">
        <v>432.66699999999997</v>
      </c>
      <c r="O1330" s="14">
        <v>0.42344300000000001</v>
      </c>
      <c r="P1330">
        <v>0</v>
      </c>
      <c r="Q1330" s="57"/>
    </row>
    <row r="1331" spans="14:17" x14ac:dyDescent="0.25">
      <c r="N1331" s="14">
        <v>433</v>
      </c>
      <c r="O1331" s="14">
        <v>0.65014899999999998</v>
      </c>
      <c r="P1331" s="14">
        <f>O1331+O1330+O1329</f>
        <v>1.7445539999999999</v>
      </c>
      <c r="Q1331" s="57"/>
    </row>
    <row r="1332" spans="14:17" x14ac:dyDescent="0.25">
      <c r="N1332" s="14">
        <v>433.33300000000003</v>
      </c>
      <c r="O1332" s="14">
        <v>0.43291200000000002</v>
      </c>
      <c r="P1332">
        <v>0</v>
      </c>
      <c r="Q1332" s="57"/>
    </row>
    <row r="1333" spans="14:17" x14ac:dyDescent="0.25">
      <c r="N1333" s="14">
        <v>433.66699999999997</v>
      </c>
      <c r="O1333" s="14">
        <v>0.63113200000000003</v>
      </c>
      <c r="P1333">
        <v>0</v>
      </c>
      <c r="Q1333" s="57"/>
    </row>
    <row r="1334" spans="14:17" x14ac:dyDescent="0.25">
      <c r="N1334" s="14">
        <v>434</v>
      </c>
      <c r="O1334" s="14">
        <v>0.43989699999999998</v>
      </c>
      <c r="P1334" s="14">
        <f>O1334+O1333+O1332</f>
        <v>1.503941</v>
      </c>
      <c r="Q1334" s="57"/>
    </row>
    <row r="1335" spans="14:17" x14ac:dyDescent="0.25">
      <c r="N1335" s="14">
        <v>434.33300000000003</v>
      </c>
      <c r="O1335" s="14">
        <v>0.61978200000000006</v>
      </c>
      <c r="P1335">
        <v>0</v>
      </c>
      <c r="Q1335" s="57"/>
    </row>
    <row r="1336" spans="14:17" x14ac:dyDescent="0.25">
      <c r="N1336" s="14">
        <v>434.66699999999997</v>
      </c>
      <c r="O1336" s="14">
        <v>0.44347300000000001</v>
      </c>
      <c r="P1336">
        <v>0</v>
      </c>
      <c r="Q1336" s="57"/>
    </row>
    <row r="1337" spans="14:17" x14ac:dyDescent="0.25">
      <c r="N1337" s="14">
        <v>435</v>
      </c>
      <c r="O1337" s="14">
        <v>0.60418099999999997</v>
      </c>
      <c r="P1337" s="14">
        <f>O1337+O1336+O1335</f>
        <v>1.6674360000000001</v>
      </c>
      <c r="Q1337" s="57"/>
    </row>
    <row r="1338" spans="14:17" x14ac:dyDescent="0.25">
      <c r="N1338" s="14">
        <v>435.33300000000003</v>
      </c>
      <c r="O1338" s="14">
        <v>0.45470899999999997</v>
      </c>
      <c r="P1338">
        <v>0</v>
      </c>
      <c r="Q1338" s="57"/>
    </row>
    <row r="1339" spans="14:17" x14ac:dyDescent="0.25">
      <c r="N1339" s="14">
        <v>435.66699999999997</v>
      </c>
      <c r="O1339" s="14">
        <v>0.58177100000000004</v>
      </c>
      <c r="P1339">
        <v>0</v>
      </c>
      <c r="Q1339" s="57"/>
    </row>
    <row r="1340" spans="14:17" x14ac:dyDescent="0.25">
      <c r="N1340" s="14">
        <v>436</v>
      </c>
      <c r="O1340" s="14">
        <v>0.46460699999999999</v>
      </c>
      <c r="P1340" s="14">
        <f>O1340+O1339+O1338</f>
        <v>1.5010870000000001</v>
      </c>
      <c r="Q1340" s="57"/>
    </row>
    <row r="1341" spans="14:17" x14ac:dyDescent="0.25">
      <c r="N1341" s="14">
        <v>436.33300000000003</v>
      </c>
      <c r="O1341" s="14">
        <v>0.569523</v>
      </c>
      <c r="P1341">
        <v>0</v>
      </c>
      <c r="Q1341" s="57"/>
    </row>
    <row r="1342" spans="14:17" x14ac:dyDescent="0.25">
      <c r="N1342" s="14">
        <v>436.66699999999997</v>
      </c>
      <c r="O1342" s="14">
        <v>0.46862399999999999</v>
      </c>
      <c r="P1342">
        <v>0</v>
      </c>
      <c r="Q1342" s="57"/>
    </row>
    <row r="1343" spans="14:17" x14ac:dyDescent="0.25">
      <c r="N1343" s="14">
        <v>437</v>
      </c>
      <c r="O1343" s="14">
        <v>0.55638699999999996</v>
      </c>
      <c r="P1343" s="14">
        <f>O1343+O1342+O1341</f>
        <v>1.5945339999999999</v>
      </c>
      <c r="Q1343" s="57"/>
    </row>
    <row r="1344" spans="14:17" x14ac:dyDescent="0.25">
      <c r="N1344" s="14">
        <v>437.33300000000003</v>
      </c>
      <c r="O1344" s="14">
        <v>0.476877</v>
      </c>
      <c r="P1344">
        <v>0</v>
      </c>
      <c r="Q1344" s="57"/>
    </row>
    <row r="1345" spans="14:17" x14ac:dyDescent="0.25">
      <c r="N1345" s="14">
        <v>437.66699999999997</v>
      </c>
      <c r="O1345" s="14">
        <v>0.54122700000000001</v>
      </c>
      <c r="P1345">
        <v>0</v>
      </c>
      <c r="Q1345" s="57"/>
    </row>
    <row r="1346" spans="14:17" x14ac:dyDescent="0.25">
      <c r="N1346" s="14">
        <v>438</v>
      </c>
      <c r="O1346" s="14">
        <v>0.48895899999999998</v>
      </c>
      <c r="P1346" s="14">
        <f>O1346+O1345+O1344</f>
        <v>1.507063</v>
      </c>
      <c r="Q1346" s="57"/>
    </row>
    <row r="1347" spans="14:17" x14ac:dyDescent="0.25">
      <c r="N1347" s="14">
        <v>438.33300000000003</v>
      </c>
      <c r="O1347" s="14">
        <v>0.52035699999999996</v>
      </c>
      <c r="P1347">
        <v>0</v>
      </c>
      <c r="Q1347" s="57"/>
    </row>
    <row r="1348" spans="14:17" x14ac:dyDescent="0.25">
      <c r="N1348" s="14">
        <v>438.66699999999997</v>
      </c>
      <c r="O1348" s="14">
        <v>0.50816799999999995</v>
      </c>
      <c r="P1348">
        <v>0</v>
      </c>
      <c r="Q1348" s="57"/>
    </row>
    <row r="1349" spans="14:17" x14ac:dyDescent="0.25">
      <c r="N1349" s="14">
        <v>439</v>
      </c>
      <c r="O1349" s="14">
        <v>0.49903700000000001</v>
      </c>
      <c r="P1349" s="14">
        <f>O1349+O1348+O1347</f>
        <v>1.5275619999999999</v>
      </c>
      <c r="Q1349" s="57"/>
    </row>
    <row r="1350" spans="14:17" x14ac:dyDescent="0.25">
      <c r="N1350" s="14">
        <v>439.33300000000003</v>
      </c>
      <c r="O1350" s="14">
        <v>0.52054599999999995</v>
      </c>
      <c r="P1350">
        <v>0</v>
      </c>
      <c r="Q1350" s="57"/>
    </row>
    <row r="1351" spans="14:17" x14ac:dyDescent="0.25">
      <c r="N1351" s="14">
        <v>439.66699999999997</v>
      </c>
      <c r="O1351" s="14">
        <v>0.49028100000000002</v>
      </c>
      <c r="P1351">
        <v>0</v>
      </c>
      <c r="Q1351" s="57"/>
    </row>
    <row r="1352" spans="14:17" x14ac:dyDescent="0.25">
      <c r="N1352" s="14">
        <v>440</v>
      </c>
      <c r="O1352" s="14">
        <v>0.52118399999999998</v>
      </c>
      <c r="P1352" s="14">
        <f>O1352+O1351+O1350</f>
        <v>1.532011</v>
      </c>
      <c r="Q1352" s="57"/>
    </row>
    <row r="1353" spans="14:17" x14ac:dyDescent="0.25">
      <c r="N1353" s="14">
        <v>440.33300000000003</v>
      </c>
      <c r="O1353" s="14">
        <v>0.47954200000000002</v>
      </c>
      <c r="P1353">
        <v>0</v>
      </c>
      <c r="Q1353" s="57"/>
    </row>
    <row r="1354" spans="14:17" x14ac:dyDescent="0.25">
      <c r="N1354" s="14">
        <v>440.66699999999997</v>
      </c>
      <c r="O1354" s="14">
        <v>0.53590300000000002</v>
      </c>
      <c r="P1354">
        <v>0</v>
      </c>
      <c r="Q1354" s="57"/>
    </row>
    <row r="1355" spans="14:17" x14ac:dyDescent="0.25">
      <c r="N1355" s="14">
        <v>441</v>
      </c>
      <c r="O1355" s="14">
        <v>0.46658100000000002</v>
      </c>
      <c r="P1355" s="14">
        <f>O1355+O1354+O1353</f>
        <v>1.4820259999999998</v>
      </c>
      <c r="Q1355" s="57"/>
    </row>
    <row r="1356" spans="14:17" x14ac:dyDescent="0.25">
      <c r="N1356" s="14">
        <v>441.33300000000003</v>
      </c>
      <c r="O1356" s="14">
        <v>0.53526700000000005</v>
      </c>
      <c r="P1356">
        <v>0</v>
      </c>
      <c r="Q1356" s="57"/>
    </row>
    <row r="1357" spans="14:17" x14ac:dyDescent="0.25">
      <c r="N1357" s="14">
        <v>441.66699999999997</v>
      </c>
      <c r="O1357" s="14">
        <v>0.47047699999999998</v>
      </c>
      <c r="P1357">
        <v>0</v>
      </c>
      <c r="Q1357" s="57"/>
    </row>
    <row r="1358" spans="14:17" x14ac:dyDescent="0.25">
      <c r="N1358" s="14">
        <v>442</v>
      </c>
      <c r="O1358" s="14">
        <v>0.52653499999999998</v>
      </c>
      <c r="P1358" s="14">
        <f>O1358+O1357+O1356</f>
        <v>1.5322789999999999</v>
      </c>
      <c r="Q1358" s="57"/>
    </row>
    <row r="1359" spans="14:17" x14ac:dyDescent="0.25">
      <c r="N1359" s="14">
        <v>442.33300000000003</v>
      </c>
      <c r="O1359" s="14">
        <v>0.46554699999999999</v>
      </c>
      <c r="P1359">
        <v>0</v>
      </c>
      <c r="Q1359" s="57"/>
    </row>
    <row r="1360" spans="14:17" x14ac:dyDescent="0.25">
      <c r="N1360" s="14">
        <v>442.66699999999997</v>
      </c>
      <c r="O1360" s="14">
        <v>0.53541700000000003</v>
      </c>
      <c r="P1360">
        <v>0</v>
      </c>
      <c r="Q1360" s="57"/>
    </row>
    <row r="1361" spans="14:17" x14ac:dyDescent="0.25">
      <c r="N1361" s="14">
        <v>443</v>
      </c>
      <c r="O1361" s="14">
        <v>0.45708500000000002</v>
      </c>
      <c r="P1361" s="14">
        <f>O1361+O1360+O1359</f>
        <v>1.4580489999999999</v>
      </c>
      <c r="Q1361" s="57"/>
    </row>
    <row r="1362" spans="14:17" x14ac:dyDescent="0.25">
      <c r="N1362" s="14">
        <v>443.33300000000003</v>
      </c>
      <c r="O1362" s="14">
        <v>0.53052699999999997</v>
      </c>
      <c r="P1362">
        <v>0</v>
      </c>
      <c r="Q1362" s="57"/>
    </row>
    <row r="1363" spans="14:17" x14ac:dyDescent="0.25">
      <c r="N1363" s="14">
        <v>443.66699999999997</v>
      </c>
      <c r="O1363" s="14">
        <v>0.46443800000000002</v>
      </c>
      <c r="P1363">
        <v>0</v>
      </c>
      <c r="Q1363" s="57"/>
    </row>
    <row r="1364" spans="14:17" x14ac:dyDescent="0.25">
      <c r="N1364" s="14">
        <v>444</v>
      </c>
      <c r="O1364" s="14">
        <v>0.518401</v>
      </c>
      <c r="P1364" s="14">
        <f>O1364+O1363+O1362</f>
        <v>1.513366</v>
      </c>
      <c r="Q1364" s="57"/>
    </row>
    <row r="1365" spans="14:17" x14ac:dyDescent="0.25">
      <c r="N1365" s="14">
        <v>444.33300000000003</v>
      </c>
      <c r="O1365" s="14">
        <v>0.46217999999999998</v>
      </c>
      <c r="P1365">
        <v>0</v>
      </c>
      <c r="Q1365" s="57"/>
    </row>
    <row r="1366" spans="14:17" x14ac:dyDescent="0.25">
      <c r="N1366" s="14">
        <v>444.66699999999997</v>
      </c>
      <c r="O1366" s="14">
        <v>0.522366</v>
      </c>
      <c r="P1366">
        <v>0</v>
      </c>
      <c r="Q1366" s="57"/>
    </row>
    <row r="1367" spans="14:17" x14ac:dyDescent="0.25">
      <c r="N1367" s="14">
        <v>445</v>
      </c>
      <c r="O1367" s="14">
        <v>0.45717200000000002</v>
      </c>
      <c r="P1367" s="14">
        <f>O1367+O1366+O1365</f>
        <v>1.4417180000000001</v>
      </c>
      <c r="Q1367" s="57"/>
    </row>
    <row r="1368" spans="14:17" x14ac:dyDescent="0.25">
      <c r="N1368" s="14">
        <v>445.33300000000003</v>
      </c>
      <c r="O1368" s="14">
        <v>0.516231</v>
      </c>
      <c r="P1368">
        <v>0</v>
      </c>
      <c r="Q1368" s="57"/>
    </row>
    <row r="1369" spans="14:17" x14ac:dyDescent="0.25">
      <c r="N1369" s="14">
        <v>445.66699999999997</v>
      </c>
      <c r="O1369" s="14">
        <v>0.46578799999999998</v>
      </c>
      <c r="P1369">
        <v>0</v>
      </c>
      <c r="Q1369" s="57"/>
    </row>
    <row r="1370" spans="14:17" x14ac:dyDescent="0.25">
      <c r="N1370" s="14">
        <v>446</v>
      </c>
      <c r="O1370" s="14">
        <v>0.50358199999999997</v>
      </c>
      <c r="P1370" s="14">
        <f>O1370+O1369+O1368</f>
        <v>1.4856009999999999</v>
      </c>
      <c r="Q1370" s="57"/>
    </row>
    <row r="1371" spans="14:17" x14ac:dyDescent="0.25">
      <c r="N1371" s="14">
        <v>446.33300000000003</v>
      </c>
      <c r="O1371" s="14">
        <v>0.463978</v>
      </c>
      <c r="P1371">
        <v>0</v>
      </c>
      <c r="Q1371" s="57"/>
    </row>
    <row r="1372" spans="14:17" x14ac:dyDescent="0.25">
      <c r="N1372" s="14">
        <v>446.66699999999997</v>
      </c>
      <c r="O1372" s="14">
        <v>0.50871</v>
      </c>
      <c r="P1372">
        <v>0</v>
      </c>
      <c r="Q1372" s="57"/>
    </row>
    <row r="1373" spans="14:17" x14ac:dyDescent="0.25">
      <c r="N1373" s="14">
        <v>447</v>
      </c>
      <c r="O1373" s="14">
        <v>0.45766299999999999</v>
      </c>
      <c r="P1373" s="14">
        <f>O1373+O1372+O1371</f>
        <v>1.4303509999999999</v>
      </c>
      <c r="Q1373" s="57"/>
    </row>
    <row r="1374" spans="14:17" x14ac:dyDescent="0.25">
      <c r="N1374" s="14">
        <v>447.33300000000003</v>
      </c>
      <c r="O1374" s="14">
        <v>0.50246599999999997</v>
      </c>
      <c r="P1374">
        <v>0</v>
      </c>
      <c r="Q1374" s="57"/>
    </row>
    <row r="1375" spans="14:17" x14ac:dyDescent="0.25">
      <c r="N1375" s="14">
        <v>447.66699999999997</v>
      </c>
      <c r="O1375" s="14">
        <v>0.46670800000000001</v>
      </c>
      <c r="P1375">
        <v>0</v>
      </c>
      <c r="Q1375" s="57"/>
    </row>
    <row r="1376" spans="14:17" x14ac:dyDescent="0.25">
      <c r="N1376" s="14">
        <v>448</v>
      </c>
      <c r="O1376" s="14">
        <v>0.48992000000000002</v>
      </c>
      <c r="P1376" s="14">
        <f>O1376+O1375+O1374</f>
        <v>1.4590939999999999</v>
      </c>
      <c r="Q1376" s="57"/>
    </row>
    <row r="1377" spans="14:17" x14ac:dyDescent="0.25">
      <c r="N1377" s="14">
        <v>448.33300000000003</v>
      </c>
      <c r="O1377" s="14">
        <v>0.464972</v>
      </c>
      <c r="P1377">
        <v>0</v>
      </c>
      <c r="Q1377" s="57"/>
    </row>
    <row r="1378" spans="14:17" x14ac:dyDescent="0.25">
      <c r="N1378" s="14">
        <v>448.66699999999997</v>
      </c>
      <c r="O1378" s="14">
        <v>0.48317599999999999</v>
      </c>
      <c r="P1378">
        <v>0</v>
      </c>
      <c r="Q1378" s="57"/>
    </row>
    <row r="1379" spans="14:17" x14ac:dyDescent="0.25">
      <c r="N1379" s="14">
        <v>449</v>
      </c>
      <c r="O1379" s="14">
        <v>0.47637699999999999</v>
      </c>
      <c r="P1379" s="14">
        <f>O1379+O1378+O1377</f>
        <v>1.424525</v>
      </c>
      <c r="Q1379" s="57"/>
    </row>
    <row r="1380" spans="14:17" x14ac:dyDescent="0.25">
      <c r="N1380" s="14">
        <v>449.33300000000003</v>
      </c>
      <c r="O1380" s="14">
        <v>0.47403899999999999</v>
      </c>
      <c r="P1380">
        <v>0</v>
      </c>
      <c r="Q1380" s="57"/>
    </row>
    <row r="1381" spans="14:17" x14ac:dyDescent="0.25">
      <c r="N1381" s="14">
        <v>449.66699999999997</v>
      </c>
      <c r="O1381" s="14">
        <v>0.47391800000000001</v>
      </c>
      <c r="P1381">
        <v>0</v>
      </c>
      <c r="Q1381" s="57"/>
    </row>
    <row r="1382" spans="14:17" x14ac:dyDescent="0.25">
      <c r="N1382" s="14">
        <v>450</v>
      </c>
      <c r="O1382" s="14">
        <v>0.47101300000000001</v>
      </c>
      <c r="P1382" s="14">
        <f>O1382+O1381+O1380</f>
        <v>1.4189699999999998</v>
      </c>
      <c r="Q1382" s="57"/>
    </row>
    <row r="1383" spans="14:17" x14ac:dyDescent="0.25">
      <c r="N1383" s="14">
        <v>450.33300000000003</v>
      </c>
      <c r="O1383" s="14">
        <v>0.47244599999999998</v>
      </c>
      <c r="P1383">
        <v>0</v>
      </c>
      <c r="Q1383" s="57"/>
    </row>
    <row r="1384" spans="14:17" x14ac:dyDescent="0.25">
      <c r="N1384" s="14">
        <v>450.66699999999997</v>
      </c>
      <c r="O1384" s="14">
        <v>0.476275</v>
      </c>
      <c r="P1384">
        <v>0</v>
      </c>
      <c r="Q1384" s="57"/>
    </row>
    <row r="1385" spans="14:17" x14ac:dyDescent="0.25">
      <c r="N1385" s="14">
        <v>451</v>
      </c>
      <c r="O1385" s="14">
        <v>0.45458999999999999</v>
      </c>
      <c r="P1385" s="14">
        <f>O1385+O1384+O1383</f>
        <v>1.403311</v>
      </c>
      <c r="Q1385" s="57"/>
    </row>
    <row r="1386" spans="14:17" x14ac:dyDescent="0.25">
      <c r="N1386" s="14">
        <v>451.33300000000003</v>
      </c>
      <c r="O1386" s="14">
        <v>0.48883100000000002</v>
      </c>
      <c r="P1386">
        <v>0</v>
      </c>
      <c r="Q1386" s="57"/>
    </row>
    <row r="1387" spans="14:17" x14ac:dyDescent="0.25">
      <c r="N1387" s="14">
        <v>451.66699999999997</v>
      </c>
      <c r="O1387" s="14">
        <v>0.45483099999999999</v>
      </c>
      <c r="P1387">
        <v>0</v>
      </c>
      <c r="Q1387" s="57"/>
    </row>
    <row r="1388" spans="14:17" x14ac:dyDescent="0.25">
      <c r="N1388" s="14">
        <v>452</v>
      </c>
      <c r="O1388" s="14">
        <v>0.470277</v>
      </c>
      <c r="P1388" s="14">
        <f>O1388+O1387+O1386</f>
        <v>1.4139390000000001</v>
      </c>
      <c r="Q1388" s="57"/>
    </row>
    <row r="1389" spans="14:17" x14ac:dyDescent="0.25">
      <c r="N1389" s="14">
        <v>452.33300000000003</v>
      </c>
      <c r="O1389" s="14">
        <v>0.46808499999999997</v>
      </c>
      <c r="P1389">
        <v>0</v>
      </c>
      <c r="Q1389" s="57"/>
    </row>
    <row r="1390" spans="14:17" x14ac:dyDescent="0.25">
      <c r="N1390" s="14">
        <v>452.66699999999997</v>
      </c>
      <c r="O1390" s="14">
        <v>0.46206199999999997</v>
      </c>
      <c r="P1390">
        <v>0</v>
      </c>
      <c r="Q1390" s="57"/>
    </row>
    <row r="1391" spans="14:17" x14ac:dyDescent="0.25">
      <c r="N1391" s="14">
        <v>453</v>
      </c>
      <c r="O1391" s="14">
        <v>0.46383400000000002</v>
      </c>
      <c r="P1391" s="14">
        <f>O1391+O1390+O1389</f>
        <v>1.3939810000000001</v>
      </c>
      <c r="Q1391" s="57"/>
    </row>
    <row r="1392" spans="14:17" x14ac:dyDescent="0.25">
      <c r="N1392" s="14">
        <v>453.33300000000003</v>
      </c>
      <c r="O1392" s="14">
        <v>0.46854400000000002</v>
      </c>
      <c r="P1392">
        <v>0</v>
      </c>
      <c r="Q1392" s="57"/>
    </row>
    <row r="1393" spans="14:17" x14ac:dyDescent="0.25">
      <c r="N1393" s="14">
        <v>453.66699999999997</v>
      </c>
      <c r="O1393" s="14">
        <v>0.45611299999999999</v>
      </c>
      <c r="P1393">
        <v>0</v>
      </c>
      <c r="Q1393" s="57"/>
    </row>
    <row r="1394" spans="14:17" x14ac:dyDescent="0.25">
      <c r="N1394" s="14">
        <v>454</v>
      </c>
      <c r="O1394" s="14">
        <v>0.46422200000000002</v>
      </c>
      <c r="P1394" s="14">
        <f>O1394+O1393+O1392</f>
        <v>1.388879</v>
      </c>
      <c r="Q1394" s="57"/>
    </row>
    <row r="1395" spans="14:17" x14ac:dyDescent="0.25">
      <c r="N1395" s="14">
        <v>454.33300000000003</v>
      </c>
      <c r="O1395" s="14">
        <v>0</v>
      </c>
      <c r="P1395">
        <v>0</v>
      </c>
      <c r="Q1395" s="57"/>
    </row>
    <row r="1396" spans="14:17" x14ac:dyDescent="0.25">
      <c r="N1396" s="14">
        <v>454.66699999999997</v>
      </c>
      <c r="O1396" s="14">
        <v>0</v>
      </c>
      <c r="P1396">
        <v>0</v>
      </c>
      <c r="Q1396" s="57"/>
    </row>
    <row r="1397" spans="14:17" x14ac:dyDescent="0.25">
      <c r="N1397" s="14">
        <v>455</v>
      </c>
      <c r="O1397" s="14">
        <v>0.108877</v>
      </c>
      <c r="P1397" s="14">
        <f>O1397+O1396+O1395</f>
        <v>0.108877</v>
      </c>
      <c r="Q1397" s="57"/>
    </row>
    <row r="1398" spans="14:17" x14ac:dyDescent="0.25">
      <c r="N1398" s="14">
        <v>455.33300000000003</v>
      </c>
      <c r="O1398" s="14">
        <v>0</v>
      </c>
      <c r="P1398">
        <v>0</v>
      </c>
      <c r="Q1398" s="57"/>
    </row>
    <row r="1399" spans="14:17" x14ac:dyDescent="0.25">
      <c r="N1399" s="14">
        <v>455.66699999999997</v>
      </c>
      <c r="O1399" s="14">
        <v>1.27433</v>
      </c>
      <c r="P1399">
        <v>0</v>
      </c>
      <c r="Q1399" s="57"/>
    </row>
    <row r="1400" spans="14:17" x14ac:dyDescent="0.25">
      <c r="N1400" s="14">
        <v>456</v>
      </c>
      <c r="O1400" s="14">
        <v>0.20431099999999999</v>
      </c>
      <c r="P1400" s="14">
        <f>O1400+O1399+O1398</f>
        <v>1.4786409999999999</v>
      </c>
      <c r="Q1400" s="57"/>
    </row>
    <row r="1401" spans="14:17" x14ac:dyDescent="0.25">
      <c r="N1401" s="14">
        <v>456.33300000000003</v>
      </c>
      <c r="O1401" s="14">
        <v>0</v>
      </c>
      <c r="P1401">
        <v>0</v>
      </c>
      <c r="Q1401" s="57"/>
    </row>
    <row r="1402" spans="14:17" x14ac:dyDescent="0.25">
      <c r="N1402" s="14">
        <v>456.66699999999997</v>
      </c>
      <c r="O1402" s="14">
        <v>1.59805</v>
      </c>
      <c r="P1402">
        <v>0</v>
      </c>
      <c r="Q1402" s="57"/>
    </row>
    <row r="1403" spans="14:17" x14ac:dyDescent="0.25">
      <c r="N1403" s="14">
        <v>457</v>
      </c>
      <c r="O1403" s="14">
        <v>0.139707</v>
      </c>
      <c r="P1403" s="14">
        <f>O1403+O1402+O1401</f>
        <v>1.737757</v>
      </c>
      <c r="Q1403" s="57"/>
    </row>
    <row r="1404" spans="14:17" x14ac:dyDescent="0.25">
      <c r="N1404" s="14">
        <v>457.33300000000003</v>
      </c>
      <c r="O1404" s="14">
        <v>0</v>
      </c>
      <c r="P1404">
        <v>0</v>
      </c>
      <c r="Q1404" s="57"/>
    </row>
    <row r="1405" spans="14:17" x14ac:dyDescent="0.25">
      <c r="N1405" s="14">
        <v>457.66699999999997</v>
      </c>
      <c r="O1405" s="14">
        <v>1.1254200000000001</v>
      </c>
      <c r="P1405">
        <v>0</v>
      </c>
      <c r="Q1405" s="57"/>
    </row>
    <row r="1406" spans="14:17" x14ac:dyDescent="0.25">
      <c r="N1406" s="14">
        <v>458</v>
      </c>
      <c r="O1406" s="14">
        <v>0.217223</v>
      </c>
      <c r="P1406" s="14">
        <f>O1406+O1405+O1404</f>
        <v>1.342643</v>
      </c>
      <c r="Q1406" s="57"/>
    </row>
    <row r="1407" spans="14:17" x14ac:dyDescent="0.25">
      <c r="N1407" s="14">
        <v>458.33300000000003</v>
      </c>
      <c r="O1407" s="14">
        <v>0</v>
      </c>
      <c r="P1407">
        <v>0</v>
      </c>
      <c r="Q1407" s="57"/>
    </row>
    <row r="1408" spans="14:17" x14ac:dyDescent="0.25">
      <c r="N1408" s="14">
        <v>458.66699999999997</v>
      </c>
      <c r="O1408" s="14">
        <v>1.3956599999999999</v>
      </c>
      <c r="P1408">
        <v>0</v>
      </c>
      <c r="Q1408" s="57"/>
    </row>
    <row r="1409" spans="14:17" x14ac:dyDescent="0.25">
      <c r="N1409" s="14">
        <v>459</v>
      </c>
      <c r="O1409" s="14">
        <v>0.162767</v>
      </c>
      <c r="P1409" s="14">
        <f>O1409+O1408+O1407</f>
        <v>1.558427</v>
      </c>
      <c r="Q1409" s="57"/>
    </row>
    <row r="1410" spans="14:17" x14ac:dyDescent="0.25">
      <c r="N1410" s="14">
        <v>459.33300000000003</v>
      </c>
      <c r="O1410" s="14">
        <v>0</v>
      </c>
      <c r="P1410">
        <v>0</v>
      </c>
      <c r="Q1410" s="57"/>
    </row>
    <row r="1411" spans="14:17" x14ac:dyDescent="0.25">
      <c r="N1411" s="14">
        <v>459.66699999999997</v>
      </c>
      <c r="O1411" s="14">
        <v>1.1863900000000001</v>
      </c>
      <c r="P1411">
        <v>0</v>
      </c>
      <c r="Q1411" s="57"/>
    </row>
    <row r="1412" spans="14:17" x14ac:dyDescent="0.25">
      <c r="N1412" s="14">
        <v>460</v>
      </c>
      <c r="O1412" s="14">
        <v>0.19898099999999999</v>
      </c>
      <c r="P1412" s="14">
        <f>O1412+O1411+O1410</f>
        <v>1.3853710000000001</v>
      </c>
      <c r="Q1412" s="57"/>
    </row>
    <row r="1413" spans="14:17" x14ac:dyDescent="0.25">
      <c r="N1413" s="14">
        <v>460.33300000000003</v>
      </c>
      <c r="O1413" s="14">
        <v>0</v>
      </c>
      <c r="P1413">
        <v>0</v>
      </c>
      <c r="Q1413" s="57"/>
    </row>
    <row r="1414" spans="14:17" x14ac:dyDescent="0.25">
      <c r="N1414" s="14">
        <v>460.66699999999997</v>
      </c>
      <c r="O1414" s="14">
        <v>1.2178500000000001</v>
      </c>
      <c r="P1414">
        <v>0</v>
      </c>
      <c r="Q1414" s="57"/>
    </row>
    <row r="1415" spans="14:17" x14ac:dyDescent="0.25">
      <c r="N1415" s="14">
        <v>461</v>
      </c>
      <c r="O1415" s="14">
        <v>0.19153899999999999</v>
      </c>
      <c r="P1415" s="14">
        <f>O1415+O1414+O1413</f>
        <v>1.409389</v>
      </c>
      <c r="Q1415" s="57"/>
    </row>
    <row r="1416" spans="14:17" x14ac:dyDescent="0.25">
      <c r="N1416" s="14">
        <v>461.33300000000003</v>
      </c>
      <c r="O1416" s="14">
        <v>0</v>
      </c>
      <c r="P1416">
        <v>0</v>
      </c>
      <c r="Q1416" s="57"/>
    </row>
    <row r="1417" spans="14:17" x14ac:dyDescent="0.25">
      <c r="N1417" s="14">
        <v>461.66699999999997</v>
      </c>
      <c r="O1417" s="14">
        <v>1.2952900000000001</v>
      </c>
      <c r="P1417">
        <v>0</v>
      </c>
      <c r="Q1417" s="57"/>
    </row>
    <row r="1418" spans="14:17" x14ac:dyDescent="0.25">
      <c r="N1418" s="14">
        <v>462</v>
      </c>
      <c r="O1418" s="14">
        <v>0.17522499999999999</v>
      </c>
      <c r="P1418" s="14">
        <f>O1418+O1417+O1416</f>
        <v>1.470515</v>
      </c>
      <c r="Q1418" s="57"/>
    </row>
    <row r="1419" spans="14:17" x14ac:dyDescent="0.25">
      <c r="N1419" s="14">
        <v>462.33300000000003</v>
      </c>
      <c r="O1419" s="14">
        <v>0</v>
      </c>
      <c r="P1419">
        <v>0</v>
      </c>
      <c r="Q1419" s="57"/>
    </row>
    <row r="1420" spans="14:17" x14ac:dyDescent="0.25">
      <c r="N1420" s="14">
        <v>462.66699999999997</v>
      </c>
      <c r="O1420" s="14">
        <v>1.21349</v>
      </c>
      <c r="P1420">
        <v>0</v>
      </c>
      <c r="Q1420" s="57"/>
    </row>
    <row r="1421" spans="14:17" x14ac:dyDescent="0.25">
      <c r="N1421" s="14">
        <v>463</v>
      </c>
      <c r="O1421" s="14">
        <v>0.18834100000000001</v>
      </c>
      <c r="P1421" s="14">
        <f>O1421+O1420+O1419</f>
        <v>1.401831</v>
      </c>
      <c r="Q1421" s="57"/>
    </row>
    <row r="1422" spans="14:17" x14ac:dyDescent="0.25">
      <c r="N1422" s="14">
        <v>463.33300000000003</v>
      </c>
      <c r="O1422" s="14">
        <v>0</v>
      </c>
      <c r="P1422">
        <v>0</v>
      </c>
      <c r="Q1422" s="57"/>
    </row>
    <row r="1423" spans="14:17" x14ac:dyDescent="0.25">
      <c r="N1423" s="14">
        <v>463.66699999999997</v>
      </c>
      <c r="O1423" s="14">
        <v>1.31349</v>
      </c>
      <c r="P1423">
        <v>0</v>
      </c>
      <c r="Q1423" s="57"/>
    </row>
    <row r="1424" spans="14:17" x14ac:dyDescent="0.25">
      <c r="N1424" s="14">
        <v>464</v>
      </c>
      <c r="O1424" s="14">
        <v>0.168017</v>
      </c>
      <c r="P1424" s="14">
        <f>O1424+O1423+O1422</f>
        <v>1.4815070000000001</v>
      </c>
      <c r="Q1424" s="57"/>
    </row>
    <row r="1425" spans="14:17" x14ac:dyDescent="0.25">
      <c r="N1425" s="14">
        <v>464.33300000000003</v>
      </c>
      <c r="O1425" s="14">
        <v>0</v>
      </c>
      <c r="P1425">
        <v>0</v>
      </c>
      <c r="Q1425" s="57"/>
    </row>
    <row r="1426" spans="14:17" x14ac:dyDescent="0.25">
      <c r="N1426" s="14">
        <v>464.66699999999997</v>
      </c>
      <c r="O1426" s="14">
        <v>1.16266</v>
      </c>
      <c r="P1426">
        <v>0</v>
      </c>
      <c r="Q1426" s="57"/>
    </row>
    <row r="1427" spans="14:17" x14ac:dyDescent="0.25">
      <c r="N1427" s="14">
        <v>465</v>
      </c>
      <c r="O1427" s="14">
        <v>0.19425500000000001</v>
      </c>
      <c r="P1427" s="14">
        <f>O1427+O1426+O1425</f>
        <v>1.3569150000000001</v>
      </c>
      <c r="Q1427" s="57"/>
    </row>
    <row r="1428" spans="14:17" x14ac:dyDescent="0.25">
      <c r="N1428" s="14">
        <v>465.33300000000003</v>
      </c>
      <c r="O1428" s="14">
        <v>0</v>
      </c>
      <c r="P1428">
        <v>0</v>
      </c>
      <c r="Q1428" s="57"/>
    </row>
    <row r="1429" spans="14:17" x14ac:dyDescent="0.25">
      <c r="N1429" s="14">
        <v>465.66699999999997</v>
      </c>
      <c r="O1429" s="14">
        <v>1.31881</v>
      </c>
      <c r="P1429">
        <v>0</v>
      </c>
      <c r="Q1429" s="57"/>
    </row>
    <row r="1430" spans="14:17" x14ac:dyDescent="0.25">
      <c r="N1430" s="14">
        <v>466</v>
      </c>
      <c r="O1430" s="14">
        <v>0.162826</v>
      </c>
      <c r="P1430" s="14">
        <f>O1430+O1429+O1428</f>
        <v>1.481636</v>
      </c>
      <c r="Q1430" s="57"/>
    </row>
    <row r="1431" spans="14:17" x14ac:dyDescent="0.25">
      <c r="N1431" s="14">
        <v>466.33300000000003</v>
      </c>
      <c r="O1431" s="14">
        <v>0</v>
      </c>
      <c r="P1431">
        <v>0</v>
      </c>
      <c r="Q1431" s="57"/>
    </row>
    <row r="1432" spans="14:17" x14ac:dyDescent="0.25">
      <c r="N1432" s="14">
        <v>466.66699999999997</v>
      </c>
      <c r="O1432" s="14">
        <v>1.1438299999999999</v>
      </c>
      <c r="P1432">
        <v>0</v>
      </c>
      <c r="Q1432" s="57"/>
    </row>
    <row r="1433" spans="14:17" x14ac:dyDescent="0.25">
      <c r="N1433" s="14">
        <v>467</v>
      </c>
      <c r="O1433" s="14">
        <v>0.19212799999999999</v>
      </c>
      <c r="P1433" s="14">
        <f>O1433+O1432+O1431</f>
        <v>1.335958</v>
      </c>
      <c r="Q1433" s="57"/>
    </row>
    <row r="1434" spans="14:17" x14ac:dyDescent="0.25">
      <c r="N1434" s="14">
        <v>467.33300000000003</v>
      </c>
      <c r="O1434" s="14">
        <v>0</v>
      </c>
      <c r="P1434">
        <v>0</v>
      </c>
      <c r="Q1434" s="57"/>
    </row>
    <row r="1435" spans="14:17" x14ac:dyDescent="0.25">
      <c r="N1435" s="14">
        <v>467.66699999999997</v>
      </c>
      <c r="O1435" s="14">
        <v>1.3073600000000001</v>
      </c>
      <c r="P1435">
        <v>0</v>
      </c>
      <c r="Q1435" s="57"/>
    </row>
    <row r="1436" spans="14:17" x14ac:dyDescent="0.25">
      <c r="N1436" s="14">
        <v>468</v>
      </c>
      <c r="O1436" s="14">
        <v>0.15970799999999999</v>
      </c>
      <c r="P1436" s="14">
        <f>O1436+O1435+O1434</f>
        <v>1.467068</v>
      </c>
      <c r="Q1436" s="57"/>
    </row>
    <row r="1437" spans="14:17" x14ac:dyDescent="0.25">
      <c r="N1437" s="14">
        <v>468.33300000000003</v>
      </c>
      <c r="O1437" s="14">
        <v>0</v>
      </c>
      <c r="P1437">
        <v>0</v>
      </c>
      <c r="Q1437" s="57"/>
    </row>
    <row r="1438" spans="14:17" x14ac:dyDescent="0.25">
      <c r="N1438" s="14">
        <v>468.66699999999997</v>
      </c>
      <c r="O1438" s="14">
        <v>1.12466</v>
      </c>
      <c r="P1438">
        <v>0</v>
      </c>
      <c r="Q1438" s="57"/>
    </row>
    <row r="1439" spans="14:17" x14ac:dyDescent="0.25">
      <c r="N1439" s="14">
        <v>469</v>
      </c>
      <c r="O1439" s="14">
        <v>0.18992400000000001</v>
      </c>
      <c r="P1439" s="14">
        <f>O1439+O1438+O1437</f>
        <v>1.314584</v>
      </c>
      <c r="Q1439" s="57"/>
    </row>
    <row r="1440" spans="14:17" x14ac:dyDescent="0.25">
      <c r="N1440" s="14">
        <v>469.33300000000003</v>
      </c>
      <c r="O1440" s="14">
        <v>0</v>
      </c>
      <c r="P1440">
        <v>0</v>
      </c>
      <c r="Q1440" s="57"/>
    </row>
    <row r="1441" spans="14:17" x14ac:dyDescent="0.25">
      <c r="N1441" s="14">
        <v>469.66699999999997</v>
      </c>
      <c r="O1441" s="14">
        <v>1.28745</v>
      </c>
      <c r="P1441">
        <v>0</v>
      </c>
      <c r="Q1441" s="57"/>
    </row>
    <row r="1442" spans="14:17" x14ac:dyDescent="0.25">
      <c r="N1442" s="14">
        <v>470</v>
      </c>
      <c r="O1442" s="14">
        <v>0.157638</v>
      </c>
      <c r="P1442" s="14">
        <f>O1442+O1441+O1440</f>
        <v>1.4450879999999999</v>
      </c>
      <c r="Q1442" s="57"/>
    </row>
    <row r="1443" spans="14:17" x14ac:dyDescent="0.25">
      <c r="N1443" s="14">
        <v>470.33300000000003</v>
      </c>
      <c r="O1443" s="14">
        <v>0</v>
      </c>
      <c r="P1443">
        <v>0</v>
      </c>
      <c r="Q1443" s="57"/>
    </row>
    <row r="1444" spans="14:17" x14ac:dyDescent="0.25">
      <c r="N1444" s="14">
        <v>470.66699999999997</v>
      </c>
      <c r="O1444" s="14">
        <v>1.1114999999999999</v>
      </c>
      <c r="P1444">
        <v>0</v>
      </c>
      <c r="Q1444" s="57"/>
    </row>
    <row r="1445" spans="14:17" x14ac:dyDescent="0.25">
      <c r="N1445" s="14">
        <v>471</v>
      </c>
      <c r="O1445" s="14">
        <v>0.186861</v>
      </c>
      <c r="P1445" s="14">
        <f>O1445+O1444+O1443</f>
        <v>1.2983609999999999</v>
      </c>
      <c r="Q1445" s="57"/>
    </row>
    <row r="1446" spans="14:17" x14ac:dyDescent="0.25">
      <c r="N1446" s="14">
        <v>471.33300000000003</v>
      </c>
      <c r="O1446" s="14">
        <v>0</v>
      </c>
      <c r="P1446">
        <v>0</v>
      </c>
      <c r="Q1446" s="57"/>
    </row>
    <row r="1447" spans="14:17" x14ac:dyDescent="0.25">
      <c r="N1447" s="14">
        <v>471.66699999999997</v>
      </c>
      <c r="O1447" s="14">
        <v>1.2701499999999999</v>
      </c>
      <c r="P1447">
        <v>0</v>
      </c>
      <c r="Q1447" s="57"/>
    </row>
    <row r="1448" spans="14:17" x14ac:dyDescent="0.25">
      <c r="N1448" s="14">
        <v>472</v>
      </c>
      <c r="O1448" s="14">
        <v>0.155582</v>
      </c>
      <c r="P1448" s="14">
        <f>O1448+O1447+O1446</f>
        <v>1.425732</v>
      </c>
      <c r="Q1448" s="57"/>
    </row>
    <row r="1449" spans="14:17" x14ac:dyDescent="0.25">
      <c r="N1449" s="14">
        <v>472.33300000000003</v>
      </c>
      <c r="O1449" s="14">
        <v>0</v>
      </c>
      <c r="P1449">
        <v>0</v>
      </c>
      <c r="Q1449" s="57"/>
    </row>
    <row r="1450" spans="14:17" x14ac:dyDescent="0.25">
      <c r="N1450" s="14">
        <v>472.66699999999997</v>
      </c>
      <c r="O1450" s="14">
        <v>1.10015</v>
      </c>
      <c r="P1450">
        <v>0</v>
      </c>
      <c r="Q1450" s="57"/>
    </row>
    <row r="1451" spans="14:17" x14ac:dyDescent="0.25">
      <c r="N1451" s="14">
        <v>473</v>
      </c>
      <c r="O1451" s="14">
        <v>0.183336</v>
      </c>
      <c r="P1451" s="14">
        <f>O1451+O1450+O1449</f>
        <v>1.2834859999999999</v>
      </c>
      <c r="Q1451" s="57"/>
    </row>
    <row r="1452" spans="14:17" x14ac:dyDescent="0.25">
      <c r="N1452" s="14">
        <v>473.33300000000003</v>
      </c>
      <c r="O1452" s="14">
        <v>0</v>
      </c>
      <c r="P1452">
        <v>0</v>
      </c>
      <c r="Q1452" s="57"/>
    </row>
    <row r="1453" spans="14:17" x14ac:dyDescent="0.25">
      <c r="N1453" s="14">
        <v>473.66699999999997</v>
      </c>
      <c r="O1453" s="14">
        <v>1.2554099999999999</v>
      </c>
      <c r="P1453">
        <v>0</v>
      </c>
      <c r="Q1453" s="57"/>
    </row>
    <row r="1454" spans="14:17" x14ac:dyDescent="0.25">
      <c r="N1454" s="14">
        <v>474</v>
      </c>
      <c r="O1454" s="14">
        <v>0.15320600000000001</v>
      </c>
      <c r="P1454" s="14">
        <f>O1454+O1453+O1452</f>
        <v>1.4086159999999999</v>
      </c>
      <c r="Q1454" s="57"/>
    </row>
    <row r="1455" spans="14:17" x14ac:dyDescent="0.25">
      <c r="N1455" s="14">
        <v>474.33300000000003</v>
      </c>
      <c r="O1455" s="14">
        <v>0</v>
      </c>
      <c r="P1455">
        <v>0</v>
      </c>
      <c r="Q1455" s="57"/>
    </row>
    <row r="1456" spans="14:17" x14ac:dyDescent="0.25">
      <c r="N1456" s="14">
        <v>474.66699999999997</v>
      </c>
      <c r="O1456" s="14">
        <v>1.06219</v>
      </c>
      <c r="P1456">
        <v>0</v>
      </c>
      <c r="Q1456" s="57"/>
    </row>
    <row r="1457" spans="14:17" x14ac:dyDescent="0.25">
      <c r="N1457" s="14">
        <v>475</v>
      </c>
      <c r="O1457" s="14">
        <v>0.18724499999999999</v>
      </c>
      <c r="P1457" s="14">
        <f>O1457+O1456+O1455</f>
        <v>1.2494350000000001</v>
      </c>
      <c r="Q1457" s="57"/>
    </row>
    <row r="1458" spans="14:17" x14ac:dyDescent="0.25">
      <c r="N1458" s="14">
        <v>475.33300000000003</v>
      </c>
      <c r="O1458" s="14">
        <v>0</v>
      </c>
      <c r="P1458">
        <v>0</v>
      </c>
      <c r="Q1458" s="57"/>
    </row>
    <row r="1459" spans="14:17" x14ac:dyDescent="0.25">
      <c r="N1459" s="14">
        <v>475.66699999999997</v>
      </c>
      <c r="O1459" s="14">
        <v>1.2257</v>
      </c>
      <c r="P1459">
        <v>0</v>
      </c>
      <c r="Q1459" s="57"/>
    </row>
    <row r="1460" spans="14:17" x14ac:dyDescent="0.25">
      <c r="N1460" s="14">
        <v>476</v>
      </c>
      <c r="O1460" s="14">
        <v>0.15393200000000001</v>
      </c>
      <c r="P1460" s="14">
        <f>O1460+O1459+O1458</f>
        <v>1.379632</v>
      </c>
      <c r="Q1460" s="57"/>
    </row>
    <row r="1461" spans="14:17" x14ac:dyDescent="0.25">
      <c r="N1461" s="14">
        <v>476.33300000000003</v>
      </c>
      <c r="O1461" s="14">
        <v>0</v>
      </c>
      <c r="P1461">
        <v>0</v>
      </c>
      <c r="Q1461" s="57"/>
    </row>
    <row r="1462" spans="14:17" x14ac:dyDescent="0.25">
      <c r="N1462" s="14">
        <v>476.66699999999997</v>
      </c>
      <c r="O1462" s="14">
        <v>1.0616300000000001</v>
      </c>
      <c r="P1462">
        <v>0</v>
      </c>
      <c r="Q1462" s="57"/>
    </row>
    <row r="1463" spans="14:17" x14ac:dyDescent="0.25">
      <c r="N1463" s="14">
        <v>477</v>
      </c>
      <c r="O1463" s="14">
        <v>0.18189900000000001</v>
      </c>
      <c r="P1463" s="14">
        <f>O1463+O1462+O1461</f>
        <v>1.2435290000000001</v>
      </c>
      <c r="Q1463" s="57"/>
    </row>
    <row r="1464" spans="14:17" x14ac:dyDescent="0.25">
      <c r="N1464" s="14">
        <v>477.33300000000003</v>
      </c>
      <c r="O1464" s="14">
        <v>0</v>
      </c>
      <c r="P1464">
        <v>0</v>
      </c>
      <c r="Q1464" s="57"/>
    </row>
    <row r="1465" spans="14:17" x14ac:dyDescent="0.25">
      <c r="N1465" s="14">
        <v>477.66699999999997</v>
      </c>
      <c r="O1465" s="14">
        <v>1.1966699999999999</v>
      </c>
      <c r="P1465">
        <v>0</v>
      </c>
      <c r="Q1465" s="57"/>
    </row>
    <row r="1466" spans="14:17" x14ac:dyDescent="0.25">
      <c r="N1466" s="14">
        <v>478</v>
      </c>
      <c r="O1466" s="14">
        <v>0.154027</v>
      </c>
      <c r="P1466" s="14">
        <f>O1466+O1465+O1464</f>
        <v>1.3506969999999998</v>
      </c>
      <c r="Q1466" s="57"/>
    </row>
    <row r="1467" spans="14:17" x14ac:dyDescent="0.25">
      <c r="N1467" s="14">
        <v>478.33300000000003</v>
      </c>
      <c r="O1467" s="14">
        <v>0</v>
      </c>
      <c r="P1467">
        <v>0</v>
      </c>
      <c r="Q1467" s="57"/>
    </row>
    <row r="1468" spans="14:17" x14ac:dyDescent="0.25">
      <c r="N1468" s="14">
        <v>478.66699999999997</v>
      </c>
      <c r="O1468" s="14">
        <v>1.0590999999999999</v>
      </c>
      <c r="P1468">
        <v>0</v>
      </c>
      <c r="Q1468" s="57"/>
    </row>
    <row r="1469" spans="14:17" x14ac:dyDescent="0.25">
      <c r="N1469" s="14">
        <v>479</v>
      </c>
      <c r="O1469" s="14">
        <v>0.17710799999999999</v>
      </c>
      <c r="P1469" s="14">
        <f>O1469+O1468+O1467</f>
        <v>1.236208</v>
      </c>
      <c r="Q1469" s="57"/>
    </row>
    <row r="1470" spans="14:17" x14ac:dyDescent="0.25">
      <c r="N1470" s="14">
        <v>479.33300000000003</v>
      </c>
      <c r="O1470" s="14">
        <v>0</v>
      </c>
      <c r="P1470">
        <v>0</v>
      </c>
      <c r="Q1470" s="57"/>
    </row>
    <row r="1471" spans="14:17" x14ac:dyDescent="0.25">
      <c r="N1471" s="14">
        <v>479.66699999999997</v>
      </c>
      <c r="O1471" s="14">
        <v>1.17066</v>
      </c>
      <c r="P1471">
        <v>0</v>
      </c>
      <c r="Q1471" s="57"/>
    </row>
    <row r="1472" spans="14:17" x14ac:dyDescent="0.25">
      <c r="N1472" s="14">
        <v>480</v>
      </c>
      <c r="O1472" s="14">
        <v>0.15373600000000001</v>
      </c>
      <c r="P1472" s="14">
        <f>O1472+O1471+O1470</f>
        <v>1.3243960000000001</v>
      </c>
      <c r="Q1472" s="57"/>
    </row>
    <row r="1473" spans="14:17" x14ac:dyDescent="0.25">
      <c r="N1473" s="14">
        <v>480.33300000000003</v>
      </c>
      <c r="O1473" s="14">
        <v>0</v>
      </c>
      <c r="P1473">
        <v>0</v>
      </c>
      <c r="Q1473" s="57"/>
    </row>
    <row r="1474" spans="14:17" x14ac:dyDescent="0.25">
      <c r="N1474" s="14">
        <v>480.66699999999997</v>
      </c>
      <c r="O1474" s="14">
        <v>1.05935</v>
      </c>
      <c r="P1474">
        <v>0</v>
      </c>
      <c r="Q1474" s="57"/>
    </row>
    <row r="1475" spans="14:17" x14ac:dyDescent="0.25">
      <c r="N1475" s="14">
        <v>481</v>
      </c>
      <c r="O1475" s="14">
        <v>0.17182600000000001</v>
      </c>
      <c r="P1475" s="14">
        <f>O1475+O1474+O1473</f>
        <v>1.231176</v>
      </c>
      <c r="Q1475" s="57"/>
    </row>
    <row r="1476" spans="14:17" x14ac:dyDescent="0.25">
      <c r="N1476" s="14">
        <v>481.33300000000003</v>
      </c>
      <c r="O1476" s="14">
        <v>0</v>
      </c>
      <c r="P1476">
        <v>0</v>
      </c>
      <c r="Q1476" s="57"/>
    </row>
    <row r="1477" spans="14:17" x14ac:dyDescent="0.25">
      <c r="N1477" s="14">
        <v>481.66699999999997</v>
      </c>
      <c r="O1477" s="14">
        <v>1.1429400000000001</v>
      </c>
      <c r="P1477">
        <v>0</v>
      </c>
      <c r="Q1477" s="57"/>
    </row>
    <row r="1478" spans="14:17" x14ac:dyDescent="0.25">
      <c r="N1478" s="14">
        <v>482</v>
      </c>
      <c r="O1478" s="14">
        <v>0.153861</v>
      </c>
      <c r="P1478" s="14">
        <f>O1478+O1477+O1476</f>
        <v>1.2968010000000001</v>
      </c>
      <c r="Q1478" s="57"/>
    </row>
    <row r="1479" spans="14:17" x14ac:dyDescent="0.25">
      <c r="N1479" s="14">
        <v>482.33300000000003</v>
      </c>
      <c r="O1479" s="14">
        <v>0</v>
      </c>
      <c r="P1479">
        <v>0</v>
      </c>
      <c r="Q1479" s="57"/>
    </row>
    <row r="1480" spans="14:17" x14ac:dyDescent="0.25">
      <c r="N1480" s="14">
        <v>482.66699999999997</v>
      </c>
      <c r="O1480" s="14">
        <v>1.05338</v>
      </c>
      <c r="P1480">
        <v>0</v>
      </c>
      <c r="Q1480" s="57"/>
    </row>
    <row r="1481" spans="14:17" x14ac:dyDescent="0.25">
      <c r="N1481" s="14">
        <v>483</v>
      </c>
      <c r="O1481" s="14">
        <v>0.16792599999999999</v>
      </c>
      <c r="P1481" s="14">
        <f>O1481+O1480+O1479</f>
        <v>1.221306</v>
      </c>
      <c r="Q1481" s="57"/>
    </row>
    <row r="1482" spans="14:17" x14ac:dyDescent="0.25">
      <c r="N1482" s="14">
        <v>483.33300000000003</v>
      </c>
      <c r="O1482" s="14">
        <v>0</v>
      </c>
      <c r="P1482">
        <v>0</v>
      </c>
      <c r="Q1482" s="57"/>
    </row>
    <row r="1483" spans="14:17" x14ac:dyDescent="0.25">
      <c r="N1483" s="14">
        <v>483.66699999999997</v>
      </c>
      <c r="O1483" s="14">
        <v>1.12256</v>
      </c>
      <c r="P1483">
        <v>0</v>
      </c>
      <c r="Q1483" s="57"/>
    </row>
    <row r="1484" spans="14:17" x14ac:dyDescent="0.25">
      <c r="N1484" s="14">
        <v>484</v>
      </c>
      <c r="O1484" s="14">
        <v>0.152777</v>
      </c>
      <c r="P1484" s="14">
        <f>O1484+O1483+O1482</f>
        <v>1.2753369999999999</v>
      </c>
      <c r="Q1484" s="57"/>
    </row>
    <row r="1485" spans="14:17" x14ac:dyDescent="0.25">
      <c r="N1485" s="14">
        <v>484.33300000000003</v>
      </c>
      <c r="O1485" s="14">
        <v>0</v>
      </c>
      <c r="P1485">
        <v>0</v>
      </c>
      <c r="Q1485" s="57"/>
    </row>
    <row r="1486" spans="14:17" x14ac:dyDescent="0.25">
      <c r="N1486" s="14">
        <v>484.66699999999997</v>
      </c>
      <c r="O1486" s="14">
        <v>1.04636</v>
      </c>
      <c r="P1486">
        <v>0</v>
      </c>
      <c r="Q1486" s="57"/>
    </row>
    <row r="1487" spans="14:17" x14ac:dyDescent="0.25">
      <c r="N1487" s="14">
        <v>485</v>
      </c>
      <c r="O1487" s="14">
        <v>0.1643</v>
      </c>
      <c r="P1487" s="14">
        <f>O1487+O1486+O1485</f>
        <v>1.2106599999999998</v>
      </c>
      <c r="Q1487" s="57"/>
    </row>
    <row r="1488" spans="14:17" x14ac:dyDescent="0.25">
      <c r="N1488" s="14">
        <v>485.33300000000003</v>
      </c>
      <c r="O1488" s="14">
        <v>0</v>
      </c>
      <c r="P1488">
        <v>0</v>
      </c>
      <c r="Q1488" s="57"/>
    </row>
    <row r="1489" spans="14:17" x14ac:dyDescent="0.25">
      <c r="N1489" s="14">
        <v>485.66699999999997</v>
      </c>
      <c r="O1489" s="14">
        <v>1.10345</v>
      </c>
      <c r="P1489">
        <v>0</v>
      </c>
      <c r="Q1489" s="57"/>
    </row>
    <row r="1490" spans="14:17" x14ac:dyDescent="0.25">
      <c r="N1490" s="14">
        <v>486</v>
      </c>
      <c r="O1490" s="14">
        <v>0.15156600000000001</v>
      </c>
      <c r="P1490" s="14">
        <f>O1490+O1489+O1488</f>
        <v>1.2550160000000001</v>
      </c>
      <c r="Q1490" s="57"/>
    </row>
    <row r="1491" spans="14:17" x14ac:dyDescent="0.25">
      <c r="N1491" s="14">
        <v>486.33300000000003</v>
      </c>
      <c r="O1491" s="14">
        <v>0</v>
      </c>
      <c r="P1491">
        <v>0</v>
      </c>
      <c r="Q1491" s="57"/>
    </row>
    <row r="1492" spans="14:17" x14ac:dyDescent="0.25">
      <c r="N1492" s="14">
        <v>486.66699999999997</v>
      </c>
      <c r="O1492" s="14">
        <v>1.0389699999999999</v>
      </c>
      <c r="P1492">
        <v>0</v>
      </c>
      <c r="Q1492" s="57"/>
    </row>
    <row r="1493" spans="14:17" x14ac:dyDescent="0.25">
      <c r="N1493" s="14">
        <v>487</v>
      </c>
      <c r="O1493" s="14">
        <v>0.16056000000000001</v>
      </c>
      <c r="P1493" s="14">
        <f>O1493+O1492+O1491</f>
        <v>1.19953</v>
      </c>
      <c r="Q1493" s="57"/>
    </row>
    <row r="1494" spans="14:17" x14ac:dyDescent="0.25">
      <c r="N1494" s="14">
        <v>487.33300000000003</v>
      </c>
      <c r="O1494" s="14">
        <v>0</v>
      </c>
      <c r="P1494">
        <v>0</v>
      </c>
      <c r="Q1494" s="57"/>
    </row>
    <row r="1495" spans="14:17" x14ac:dyDescent="0.25">
      <c r="N1495" s="14">
        <v>487.66699999999997</v>
      </c>
      <c r="O1495" s="14">
        <v>1.0884499999999999</v>
      </c>
      <c r="P1495">
        <v>0</v>
      </c>
      <c r="Q1495" s="57"/>
    </row>
    <row r="1496" spans="14:17" x14ac:dyDescent="0.25">
      <c r="N1496" s="14">
        <v>488</v>
      </c>
      <c r="O1496" s="14">
        <v>0.14973400000000001</v>
      </c>
      <c r="P1496" s="14">
        <f>O1496+O1495+O1494</f>
        <v>1.238184</v>
      </c>
      <c r="Q1496" s="57"/>
    </row>
    <row r="1497" spans="14:17" x14ac:dyDescent="0.25">
      <c r="N1497" s="14">
        <v>488.33300000000003</v>
      </c>
      <c r="O1497" s="14">
        <v>0</v>
      </c>
      <c r="P1497">
        <v>0</v>
      </c>
      <c r="Q1497" s="57"/>
    </row>
    <row r="1498" spans="14:17" x14ac:dyDescent="0.25">
      <c r="N1498" s="14">
        <v>488.66699999999997</v>
      </c>
      <c r="O1498" s="14">
        <v>1.00814</v>
      </c>
      <c r="P1498">
        <v>0</v>
      </c>
      <c r="Q1498" s="57"/>
    </row>
    <row r="1499" spans="14:17" x14ac:dyDescent="0.25">
      <c r="N1499" s="14">
        <v>489</v>
      </c>
      <c r="O1499" s="14">
        <v>0.163161</v>
      </c>
      <c r="P1499" s="14">
        <f>O1499+O1498+O1497</f>
        <v>1.1713010000000001</v>
      </c>
      <c r="Q1499" s="57"/>
    </row>
    <row r="1500" spans="14:17" x14ac:dyDescent="0.25">
      <c r="N1500" s="14">
        <v>489.33300000000003</v>
      </c>
      <c r="O1500" s="14">
        <v>0</v>
      </c>
      <c r="P1500">
        <v>0</v>
      </c>
      <c r="Q1500" s="57"/>
    </row>
    <row r="1501" spans="14:17" x14ac:dyDescent="0.25">
      <c r="N1501" s="14">
        <v>489.66699999999997</v>
      </c>
      <c r="O1501" s="14">
        <v>1.10832</v>
      </c>
      <c r="P1501">
        <v>0</v>
      </c>
      <c r="Q1501" s="57"/>
    </row>
    <row r="1502" spans="14:17" x14ac:dyDescent="0.25">
      <c r="N1502" s="14">
        <v>490</v>
      </c>
      <c r="O1502" s="14">
        <v>0.142263</v>
      </c>
      <c r="P1502" s="14">
        <f>O1502+O1501+O1500</f>
        <v>1.250583</v>
      </c>
      <c r="Q1502" s="57"/>
    </row>
    <row r="1503" spans="14:17" x14ac:dyDescent="0.25">
      <c r="N1503" s="14">
        <v>490.33300000000003</v>
      </c>
      <c r="O1503" s="14">
        <v>0</v>
      </c>
      <c r="P1503">
        <v>0</v>
      </c>
      <c r="Q1503" s="57"/>
    </row>
    <row r="1504" spans="14:17" x14ac:dyDescent="0.25">
      <c r="N1504" s="14">
        <v>490.66699999999997</v>
      </c>
      <c r="O1504" s="14">
        <v>1.00423</v>
      </c>
      <c r="P1504">
        <v>0</v>
      </c>
      <c r="Q1504" s="57"/>
    </row>
    <row r="1505" spans="14:17" x14ac:dyDescent="0.25">
      <c r="N1505" s="14">
        <v>491</v>
      </c>
      <c r="O1505" s="14">
        <v>0.15910099999999999</v>
      </c>
      <c r="P1505" s="14">
        <f>O1505+O1504+O1503</f>
        <v>1.1633309999999999</v>
      </c>
      <c r="Q1505" s="57"/>
    </row>
    <row r="1506" spans="14:17" x14ac:dyDescent="0.25">
      <c r="N1506" s="14">
        <v>491.33300000000003</v>
      </c>
      <c r="O1506" s="14">
        <v>0</v>
      </c>
      <c r="P1506">
        <v>0</v>
      </c>
      <c r="Q1506" s="57"/>
    </row>
    <row r="1507" spans="14:17" x14ac:dyDescent="0.25">
      <c r="N1507" s="14">
        <v>491.66699999999997</v>
      </c>
      <c r="O1507" s="14">
        <v>1.08528</v>
      </c>
      <c r="P1507">
        <v>0</v>
      </c>
      <c r="Q1507" s="57"/>
    </row>
    <row r="1508" spans="14:17" x14ac:dyDescent="0.25">
      <c r="N1508" s="14">
        <v>492</v>
      </c>
      <c r="O1508" s="14">
        <v>0.14182600000000001</v>
      </c>
      <c r="P1508" s="14">
        <f>O1508+O1507+O1506</f>
        <v>1.227106</v>
      </c>
      <c r="Q1508" s="57"/>
    </row>
    <row r="1509" spans="14:17" x14ac:dyDescent="0.25">
      <c r="N1509" s="14">
        <v>492.33300000000003</v>
      </c>
      <c r="O1509" s="14">
        <v>0</v>
      </c>
      <c r="P1509">
        <v>0</v>
      </c>
      <c r="Q1509" s="57"/>
    </row>
    <row r="1510" spans="14:17" x14ac:dyDescent="0.25">
      <c r="N1510" s="14">
        <v>492.66699999999997</v>
      </c>
      <c r="O1510" s="14">
        <v>1.0001100000000001</v>
      </c>
      <c r="P1510">
        <v>0</v>
      </c>
      <c r="Q1510" s="57"/>
    </row>
    <row r="1511" spans="14:17" x14ac:dyDescent="0.25">
      <c r="N1511" s="14">
        <v>493</v>
      </c>
      <c r="O1511" s="14">
        <v>0.155195</v>
      </c>
      <c r="P1511" s="14">
        <f>O1511+O1510+O1509</f>
        <v>1.155305</v>
      </c>
      <c r="Q1511" s="57"/>
    </row>
    <row r="1512" spans="14:17" x14ac:dyDescent="0.25">
      <c r="N1512" s="14">
        <v>493.33300000000003</v>
      </c>
      <c r="O1512" s="14">
        <v>0</v>
      </c>
      <c r="P1512">
        <v>0</v>
      </c>
      <c r="Q1512" s="57"/>
    </row>
    <row r="1513" spans="14:17" x14ac:dyDescent="0.25">
      <c r="N1513" s="14">
        <v>493.66699999999997</v>
      </c>
      <c r="O1513" s="14">
        <v>1.0639099999999999</v>
      </c>
      <c r="P1513">
        <v>0</v>
      </c>
      <c r="Q1513" s="57"/>
    </row>
    <row r="1514" spans="14:17" x14ac:dyDescent="0.25">
      <c r="N1514" s="14">
        <v>494</v>
      </c>
      <c r="O1514" s="14">
        <v>0.141183</v>
      </c>
      <c r="P1514" s="14">
        <f>O1514+O1513+O1512</f>
        <v>1.205093</v>
      </c>
      <c r="Q1514" s="57"/>
    </row>
    <row r="1515" spans="14:17" x14ac:dyDescent="0.25">
      <c r="N1515" s="14">
        <v>494.33300000000003</v>
      </c>
      <c r="O1515" s="14">
        <v>0</v>
      </c>
      <c r="P1515">
        <v>0</v>
      </c>
      <c r="Q1515" s="57"/>
    </row>
    <row r="1516" spans="14:17" x14ac:dyDescent="0.25">
      <c r="N1516" s="14">
        <v>494.66699999999997</v>
      </c>
      <c r="O1516" s="14">
        <v>0.99884200000000001</v>
      </c>
      <c r="P1516">
        <v>0</v>
      </c>
      <c r="Q1516" s="57"/>
    </row>
    <row r="1517" spans="14:17" x14ac:dyDescent="0.25">
      <c r="N1517" s="14">
        <v>495</v>
      </c>
      <c r="O1517" s="14">
        <v>0.15082699999999999</v>
      </c>
      <c r="P1517" s="14">
        <f>O1517+O1516+O1515</f>
        <v>1.1496690000000001</v>
      </c>
      <c r="Q1517" s="57"/>
    </row>
    <row r="1518" spans="14:17" x14ac:dyDescent="0.25">
      <c r="N1518" s="14">
        <v>495.33300000000003</v>
      </c>
      <c r="O1518" s="14">
        <v>0</v>
      </c>
      <c r="P1518">
        <v>0</v>
      </c>
      <c r="Q1518" s="57"/>
    </row>
    <row r="1519" spans="14:17" x14ac:dyDescent="0.25">
      <c r="N1519" s="14">
        <v>495.66699999999997</v>
      </c>
      <c r="O1519" s="14">
        <v>0</v>
      </c>
      <c r="P1519">
        <v>0</v>
      </c>
      <c r="Q1519" s="57"/>
    </row>
    <row r="1520" spans="14:17" x14ac:dyDescent="0.25">
      <c r="N1520" s="14">
        <v>496</v>
      </c>
      <c r="O1520" s="14">
        <v>0</v>
      </c>
      <c r="P1520" s="14">
        <f>O1520+O1519+O1518</f>
        <v>0</v>
      </c>
      <c r="Q1520" s="57"/>
    </row>
    <row r="1521" spans="14:17" x14ac:dyDescent="0.25">
      <c r="N1521" s="14">
        <v>496.33300000000003</v>
      </c>
      <c r="O1521" s="14">
        <v>0</v>
      </c>
      <c r="P1521">
        <v>0</v>
      </c>
      <c r="Q1521" s="57"/>
    </row>
    <row r="1522" spans="14:17" x14ac:dyDescent="0.25">
      <c r="N1522" s="14">
        <v>496.66699999999997</v>
      </c>
      <c r="O1522" s="14">
        <v>0</v>
      </c>
      <c r="P1522">
        <v>0</v>
      </c>
      <c r="Q1522" s="57"/>
    </row>
    <row r="1523" spans="14:17" x14ac:dyDescent="0.25">
      <c r="N1523" s="14">
        <v>497</v>
      </c>
      <c r="O1523" s="14">
        <v>0</v>
      </c>
      <c r="P1523" s="14">
        <f>O1523+O1522+O1521</f>
        <v>0</v>
      </c>
      <c r="Q1523" s="57"/>
    </row>
    <row r="1524" spans="14:17" x14ac:dyDescent="0.25">
      <c r="N1524" s="14">
        <v>497.33300000000003</v>
      </c>
      <c r="O1524" s="14">
        <v>0</v>
      </c>
      <c r="P1524">
        <v>0</v>
      </c>
      <c r="Q1524" s="57"/>
    </row>
    <row r="1525" spans="14:17" x14ac:dyDescent="0.25">
      <c r="N1525" s="14">
        <v>497.66699999999997</v>
      </c>
      <c r="O1525" s="14">
        <v>0</v>
      </c>
      <c r="P1525">
        <v>0</v>
      </c>
      <c r="Q1525" s="57"/>
    </row>
    <row r="1526" spans="14:17" x14ac:dyDescent="0.25">
      <c r="N1526" s="14">
        <v>498</v>
      </c>
      <c r="O1526" s="14">
        <v>0</v>
      </c>
      <c r="P1526" s="14">
        <f>O1526+O1525+O1524</f>
        <v>0</v>
      </c>
      <c r="Q1526" s="57"/>
    </row>
    <row r="1527" spans="14:17" x14ac:dyDescent="0.25">
      <c r="N1527" s="14">
        <v>498.33300000000003</v>
      </c>
      <c r="O1527" s="14">
        <v>0</v>
      </c>
      <c r="P1527">
        <v>0</v>
      </c>
      <c r="Q1527" s="57"/>
    </row>
    <row r="1528" spans="14:17" x14ac:dyDescent="0.25">
      <c r="N1528" s="14">
        <v>498.66699999999997</v>
      </c>
      <c r="O1528" s="14">
        <v>0</v>
      </c>
      <c r="P1528">
        <v>0</v>
      </c>
      <c r="Q1528" s="57"/>
    </row>
    <row r="1529" spans="14:17" x14ac:dyDescent="0.25">
      <c r="N1529" s="14">
        <v>499</v>
      </c>
      <c r="O1529" s="14">
        <v>0</v>
      </c>
      <c r="P1529" s="14">
        <f>O1529+O1528+O1527</f>
        <v>0</v>
      </c>
      <c r="Q1529" s="57"/>
    </row>
    <row r="1530" spans="14:17" x14ac:dyDescent="0.25">
      <c r="N1530" s="14">
        <v>499.33300000000003</v>
      </c>
      <c r="O1530" s="14">
        <v>0</v>
      </c>
      <c r="P1530">
        <v>0</v>
      </c>
      <c r="Q1530" s="57"/>
    </row>
    <row r="1531" spans="14:17" x14ac:dyDescent="0.25">
      <c r="N1531" s="14">
        <v>499.66699999999997</v>
      </c>
      <c r="O1531" s="14">
        <v>-1.68825E-11</v>
      </c>
      <c r="P1531">
        <v>0</v>
      </c>
      <c r="Q1531" s="57"/>
    </row>
    <row r="1532" spans="14:17" x14ac:dyDescent="0.25">
      <c r="N1532" s="14">
        <v>500</v>
      </c>
      <c r="O1532" s="14">
        <v>0.173543</v>
      </c>
      <c r="P1532" s="14">
        <f>O1532+O1531+O1530</f>
        <v>0.17354299998311751</v>
      </c>
      <c r="Q1532" s="57"/>
    </row>
    <row r="1533" spans="14:17" x14ac:dyDescent="0.25">
      <c r="N1533" s="14">
        <v>500.33300000000003</v>
      </c>
      <c r="O1533" s="14">
        <v>0.172565</v>
      </c>
      <c r="P1533">
        <v>0</v>
      </c>
      <c r="Q1533" s="57"/>
    </row>
    <row r="1534" spans="14:17" x14ac:dyDescent="0.25">
      <c r="N1534" s="14">
        <v>500.66699999999997</v>
      </c>
      <c r="O1534" s="14">
        <v>0.17250699999999999</v>
      </c>
      <c r="P1534">
        <v>0</v>
      </c>
      <c r="Q1534" s="57"/>
    </row>
    <row r="1535" spans="14:17" x14ac:dyDescent="0.25">
      <c r="N1535" s="14">
        <v>501</v>
      </c>
      <c r="O1535" s="14">
        <v>0.17155699999999999</v>
      </c>
      <c r="P1535" s="14">
        <f>O1535+O1534+O1533</f>
        <v>0.516629</v>
      </c>
      <c r="Q1535" s="57"/>
    </row>
    <row r="1536" spans="14:17" x14ac:dyDescent="0.25">
      <c r="N1536" s="14">
        <v>501.33300000000003</v>
      </c>
      <c r="O1536" s="14">
        <v>0.17146600000000001</v>
      </c>
      <c r="P1536">
        <v>0</v>
      </c>
      <c r="Q1536" s="57"/>
    </row>
    <row r="1537" spans="14:17" x14ac:dyDescent="0.25">
      <c r="N1537" s="14">
        <v>501.66699999999997</v>
      </c>
      <c r="O1537" s="14">
        <v>0.170571</v>
      </c>
      <c r="P1537">
        <v>0</v>
      </c>
      <c r="Q1537" s="57"/>
    </row>
    <row r="1538" spans="14:17" x14ac:dyDescent="0.25">
      <c r="N1538" s="14">
        <v>502</v>
      </c>
      <c r="O1538" s="14">
        <v>0.17042399999999999</v>
      </c>
      <c r="P1538" s="14">
        <f>O1538+O1537+O1536</f>
        <v>0.51246100000000006</v>
      </c>
      <c r="Q1538" s="57"/>
    </row>
    <row r="1539" spans="14:17" x14ac:dyDescent="0.25">
      <c r="N1539" s="14">
        <v>502.33300000000003</v>
      </c>
      <c r="O1539" s="14">
        <v>0.16958799999999999</v>
      </c>
      <c r="P1539">
        <v>0</v>
      </c>
      <c r="Q1539" s="57"/>
    </row>
    <row r="1540" spans="14:17" x14ac:dyDescent="0.25">
      <c r="N1540" s="14">
        <v>502.66699999999997</v>
      </c>
      <c r="O1540" s="14">
        <v>0.16939699999999999</v>
      </c>
      <c r="P1540">
        <v>0</v>
      </c>
      <c r="Q1540" s="57"/>
    </row>
    <row r="1541" spans="14:17" x14ac:dyDescent="0.25">
      <c r="N1541" s="14">
        <v>503</v>
      </c>
      <c r="O1541" s="14">
        <v>0.16860900000000001</v>
      </c>
      <c r="P1541" s="14">
        <f>O1541+O1540+O1539</f>
        <v>0.50759399999999999</v>
      </c>
      <c r="Q1541" s="57"/>
    </row>
    <row r="1542" spans="14:17" x14ac:dyDescent="0.25">
      <c r="N1542" s="14">
        <v>503.33300000000003</v>
      </c>
      <c r="O1542" s="14">
        <v>0.168378</v>
      </c>
      <c r="P1542">
        <v>0</v>
      </c>
      <c r="Q1542" s="57"/>
    </row>
    <row r="1543" spans="14:17" x14ac:dyDescent="0.25">
      <c r="N1543" s="14">
        <v>503.66699999999997</v>
      </c>
      <c r="O1543" s="14">
        <v>0.16763</v>
      </c>
      <c r="P1543">
        <v>0</v>
      </c>
      <c r="Q1543" s="57"/>
    </row>
    <row r="1544" spans="14:17" x14ac:dyDescent="0.25">
      <c r="N1544" s="14">
        <v>504</v>
      </c>
      <c r="O1544" s="14">
        <v>0.16736300000000001</v>
      </c>
      <c r="P1544" s="14">
        <f>O1544+O1543+O1542</f>
        <v>0.50337100000000001</v>
      </c>
      <c r="Q1544" s="57"/>
    </row>
    <row r="1545" spans="14:17" x14ac:dyDescent="0.25">
      <c r="N1545" s="14">
        <v>504.33300000000003</v>
      </c>
      <c r="O1545" s="14">
        <v>0.16667100000000001</v>
      </c>
      <c r="P1545">
        <v>0</v>
      </c>
      <c r="Q1545" s="57"/>
    </row>
    <row r="1546" spans="14:17" x14ac:dyDescent="0.25">
      <c r="N1546" s="14">
        <v>504.66699999999997</v>
      </c>
      <c r="O1546" s="14">
        <v>0.16635</v>
      </c>
      <c r="P1546">
        <v>0</v>
      </c>
      <c r="Q1546" s="57"/>
    </row>
    <row r="1547" spans="14:17" x14ac:dyDescent="0.25">
      <c r="N1547" s="14">
        <v>505</v>
      </c>
      <c r="O1547" s="14">
        <v>0.165712</v>
      </c>
      <c r="P1547" s="14">
        <f>O1547+O1546+O1545</f>
        <v>0.49873299999999998</v>
      </c>
      <c r="Q1547" s="57"/>
    </row>
    <row r="1548" spans="14:17" x14ac:dyDescent="0.25">
      <c r="N1548" s="14">
        <v>505.33300000000003</v>
      </c>
      <c r="O1548" s="14">
        <v>0.16534499999999999</v>
      </c>
      <c r="P1548">
        <v>0</v>
      </c>
      <c r="Q1548" s="57"/>
    </row>
    <row r="1549" spans="14:17" x14ac:dyDescent="0.25">
      <c r="N1549" s="14">
        <v>505.66699999999997</v>
      </c>
      <c r="O1549" s="14">
        <v>0.16433700000000001</v>
      </c>
      <c r="P1549">
        <v>0</v>
      </c>
      <c r="Q1549" s="57"/>
    </row>
    <row r="1550" spans="14:17" x14ac:dyDescent="0.25">
      <c r="N1550" s="14">
        <v>506</v>
      </c>
      <c r="O1550" s="14">
        <v>0.164741</v>
      </c>
      <c r="P1550" s="14">
        <f>O1550+O1549+O1548</f>
        <v>0.49442299999999995</v>
      </c>
      <c r="Q1550" s="57"/>
    </row>
    <row r="1551" spans="14:17" x14ac:dyDescent="0.25">
      <c r="N1551" s="14">
        <v>506.33300000000003</v>
      </c>
      <c r="O1551" s="14">
        <v>0.16345399999999999</v>
      </c>
      <c r="P1551">
        <v>0</v>
      </c>
      <c r="Q1551" s="57"/>
    </row>
    <row r="1552" spans="14:17" x14ac:dyDescent="0.25">
      <c r="N1552" s="14">
        <v>506.66699999999997</v>
      </c>
      <c r="O1552" s="14">
        <v>0.16369600000000001</v>
      </c>
      <c r="P1552">
        <v>0</v>
      </c>
      <c r="Q1552" s="57"/>
    </row>
    <row r="1553" spans="14:17" x14ac:dyDescent="0.25">
      <c r="N1553" s="14">
        <v>507</v>
      </c>
      <c r="O1553" s="14">
        <v>0.16256100000000001</v>
      </c>
      <c r="P1553" s="14">
        <f>O1553+O1552+O1551</f>
        <v>0.48971100000000001</v>
      </c>
      <c r="Q1553" s="57"/>
    </row>
    <row r="1554" spans="14:17" x14ac:dyDescent="0.25">
      <c r="N1554" s="14">
        <v>507.33300000000003</v>
      </c>
      <c r="O1554" s="14">
        <v>0.16267100000000001</v>
      </c>
      <c r="P1554">
        <v>0</v>
      </c>
      <c r="Q1554" s="57"/>
    </row>
    <row r="1555" spans="14:17" x14ac:dyDescent="0.25">
      <c r="N1555" s="14">
        <v>507.66699999999997</v>
      </c>
      <c r="O1555" s="14">
        <v>0.161661</v>
      </c>
      <c r="P1555">
        <v>0</v>
      </c>
      <c r="Q1555" s="57"/>
    </row>
    <row r="1556" spans="14:17" x14ac:dyDescent="0.25">
      <c r="N1556" s="14">
        <v>508</v>
      </c>
      <c r="O1556" s="14">
        <v>0.161666</v>
      </c>
      <c r="P1556" s="14">
        <f>O1556+O1555+O1554</f>
        <v>0.48599800000000004</v>
      </c>
      <c r="Q1556" s="57"/>
    </row>
    <row r="1557" spans="14:17" x14ac:dyDescent="0.25">
      <c r="N1557" s="14">
        <v>508.33300000000003</v>
      </c>
      <c r="O1557" s="14">
        <v>0.16075400000000001</v>
      </c>
      <c r="P1557">
        <v>0</v>
      </c>
      <c r="Q1557" s="57"/>
    </row>
    <row r="1558" spans="14:17" x14ac:dyDescent="0.25">
      <c r="N1558" s="14">
        <v>508.66699999999997</v>
      </c>
      <c r="O1558" s="14">
        <v>0.16068099999999999</v>
      </c>
      <c r="P1558">
        <v>0</v>
      </c>
      <c r="Q1558" s="57"/>
    </row>
    <row r="1559" spans="14:17" x14ac:dyDescent="0.25">
      <c r="N1559" s="14">
        <v>509</v>
      </c>
      <c r="O1559" s="14">
        <v>0.15983</v>
      </c>
      <c r="P1559" s="14">
        <f>O1559+O1558+O1557</f>
        <v>0.481265</v>
      </c>
      <c r="Q1559" s="57"/>
    </row>
    <row r="1560" spans="14:17" x14ac:dyDescent="0.25">
      <c r="N1560" s="14">
        <v>509.33300000000003</v>
      </c>
      <c r="O1560" s="14">
        <v>0.15973200000000001</v>
      </c>
      <c r="P1560">
        <v>0</v>
      </c>
      <c r="Q1560" s="57"/>
    </row>
    <row r="1561" spans="14:17" x14ac:dyDescent="0.25">
      <c r="N1561" s="14">
        <v>509.66699999999997</v>
      </c>
      <c r="O1561" s="14">
        <v>0.15890299999999999</v>
      </c>
      <c r="P1561">
        <v>0</v>
      </c>
      <c r="Q1561" s="57"/>
    </row>
    <row r="1562" spans="14:17" x14ac:dyDescent="0.25">
      <c r="N1562" s="14">
        <v>510</v>
      </c>
      <c r="O1562" s="14">
        <v>0.158776</v>
      </c>
      <c r="P1562" s="14">
        <f>O1562+O1561+O1560</f>
        <v>0.47741100000000003</v>
      </c>
      <c r="Q1562" s="57"/>
    </row>
    <row r="1563" spans="14:17" x14ac:dyDescent="0.25">
      <c r="N1563" s="14">
        <v>510.33300000000003</v>
      </c>
      <c r="O1563" s="14">
        <v>0.157997</v>
      </c>
      <c r="P1563">
        <v>0</v>
      </c>
      <c r="Q1563" s="57"/>
    </row>
    <row r="1564" spans="14:17" x14ac:dyDescent="0.25">
      <c r="N1564" s="14">
        <v>510.66699999999997</v>
      </c>
      <c r="O1564" s="14">
        <v>0.15782099999999999</v>
      </c>
      <c r="P1564">
        <v>0</v>
      </c>
      <c r="Q1564" s="57"/>
    </row>
    <row r="1565" spans="14:17" x14ac:dyDescent="0.25">
      <c r="N1565" s="14">
        <v>511</v>
      </c>
      <c r="O1565" s="14">
        <v>0.15709100000000001</v>
      </c>
      <c r="P1565" s="14">
        <f>O1565+O1564+O1563</f>
        <v>0.47290899999999997</v>
      </c>
      <c r="Q1565" s="57"/>
    </row>
    <row r="1566" spans="14:17" x14ac:dyDescent="0.25">
      <c r="N1566" s="14">
        <v>511.33300000000003</v>
      </c>
      <c r="O1566" s="14">
        <v>0.15688099999999999</v>
      </c>
      <c r="P1566">
        <v>0</v>
      </c>
      <c r="Q1566" s="57"/>
    </row>
    <row r="1567" spans="14:17" x14ac:dyDescent="0.25">
      <c r="N1567" s="14">
        <v>511.66699999999997</v>
      </c>
      <c r="O1567" s="14">
        <v>0.15618399999999999</v>
      </c>
      <c r="P1567">
        <v>0</v>
      </c>
      <c r="Q1567" s="57"/>
    </row>
    <row r="1568" spans="14:17" x14ac:dyDescent="0.25">
      <c r="N1568" s="14">
        <v>512</v>
      </c>
      <c r="O1568" s="14">
        <v>0.15595400000000001</v>
      </c>
      <c r="P1568" s="14">
        <f>O1568+O1567+O1566</f>
        <v>0.46901900000000002</v>
      </c>
      <c r="Q1568" s="57"/>
    </row>
    <row r="1569" spans="14:18" x14ac:dyDescent="0.25">
      <c r="N1569" s="14">
        <v>512.33299999999997</v>
      </c>
      <c r="O1569" s="14">
        <v>0.155281</v>
      </c>
      <c r="P1569">
        <v>0</v>
      </c>
      <c r="Q1569" s="57"/>
    </row>
    <row r="1570" spans="14:18" x14ac:dyDescent="0.25">
      <c r="N1570" s="14">
        <v>512.66700000000003</v>
      </c>
      <c r="O1570" s="14">
        <v>0.15502299999999999</v>
      </c>
      <c r="P1570">
        <v>0</v>
      </c>
      <c r="Q1570" s="57"/>
    </row>
    <row r="1571" spans="14:18" x14ac:dyDescent="0.25">
      <c r="N1571" s="14">
        <v>513</v>
      </c>
      <c r="O1571" s="14">
        <v>0.15439700000000001</v>
      </c>
      <c r="P1571" s="14">
        <f>O1571+O1570+O1569</f>
        <v>0.46470100000000003</v>
      </c>
      <c r="Q1571" s="57"/>
    </row>
    <row r="1572" spans="14:18" x14ac:dyDescent="0.25">
      <c r="N1572" s="14">
        <v>513.33299999999997</v>
      </c>
      <c r="O1572" s="14">
        <v>0.15409500000000001</v>
      </c>
      <c r="P1572">
        <v>0</v>
      </c>
      <c r="Q1572" s="57"/>
    </row>
    <row r="1573" spans="14:18" x14ac:dyDescent="0.25">
      <c r="N1573" s="14">
        <v>513.66700000000003</v>
      </c>
      <c r="O1573" s="14">
        <v>0.15351699999999999</v>
      </c>
      <c r="P1573">
        <v>0</v>
      </c>
      <c r="Q1573" s="57"/>
    </row>
    <row r="1574" spans="14:18" x14ac:dyDescent="0.25">
      <c r="Q1574" s="57"/>
      <c r="R1574" s="57"/>
    </row>
    <row r="1575" spans="14:18" x14ac:dyDescent="0.25">
      <c r="Q1575" s="57"/>
      <c r="R1575" s="57"/>
    </row>
    <row r="1576" spans="14:18" x14ac:dyDescent="0.25">
      <c r="Q1576" s="57"/>
      <c r="R1576" s="57"/>
    </row>
    <row r="1577" spans="14:18" x14ac:dyDescent="0.25">
      <c r="Q1577" s="57"/>
      <c r="R1577" s="57"/>
    </row>
    <row r="1578" spans="14:18" x14ac:dyDescent="0.25">
      <c r="Q1578" s="57"/>
      <c r="R1578" s="57"/>
    </row>
    <row r="1579" spans="14:18" x14ac:dyDescent="0.25">
      <c r="Q1579" s="57"/>
      <c r="R1579" s="57"/>
    </row>
    <row r="1580" spans="14:18" x14ac:dyDescent="0.25">
      <c r="Q1580" s="57"/>
      <c r="R1580" s="57"/>
    </row>
    <row r="1581" spans="14:18" x14ac:dyDescent="0.25">
      <c r="Q1581" s="57"/>
      <c r="R1581" s="57"/>
    </row>
    <row r="1582" spans="14:18" x14ac:dyDescent="0.25">
      <c r="Q1582" s="57"/>
      <c r="R1582" s="57"/>
    </row>
    <row r="1583" spans="14:18" x14ac:dyDescent="0.25">
      <c r="Q1583" s="57"/>
      <c r="R1583" s="57"/>
    </row>
    <row r="1584" spans="14:18" x14ac:dyDescent="0.25">
      <c r="Q1584" s="57"/>
      <c r="R1584" s="57"/>
    </row>
    <row r="1585" spans="17:18" x14ac:dyDescent="0.25">
      <c r="Q1585" s="57"/>
      <c r="R1585" s="57"/>
    </row>
    <row r="1586" spans="17:18" x14ac:dyDescent="0.25">
      <c r="Q1586" s="57"/>
      <c r="R1586" s="57"/>
    </row>
    <row r="1587" spans="17:18" x14ac:dyDescent="0.25">
      <c r="Q1587" s="57"/>
      <c r="R1587" s="57"/>
    </row>
    <row r="1588" spans="17:18" x14ac:dyDescent="0.25">
      <c r="Q1588" s="57"/>
      <c r="R1588" s="57"/>
    </row>
    <row r="1589" spans="17:18" x14ac:dyDescent="0.25">
      <c r="Q1589" s="57"/>
      <c r="R1589" s="57"/>
    </row>
    <row r="1590" spans="17:18" x14ac:dyDescent="0.25">
      <c r="Q1590" s="57"/>
      <c r="R1590" s="57"/>
    </row>
    <row r="1591" spans="17:18" x14ac:dyDescent="0.25">
      <c r="Q1591" s="57"/>
      <c r="R1591" s="57"/>
    </row>
    <row r="1592" spans="17:18" x14ac:dyDescent="0.25">
      <c r="Q1592" s="57"/>
      <c r="R1592" s="57"/>
    </row>
    <row r="1593" spans="17:18" x14ac:dyDescent="0.25">
      <c r="Q1593" s="57"/>
      <c r="R1593" s="57"/>
    </row>
    <row r="1594" spans="17:18" x14ac:dyDescent="0.25">
      <c r="Q1594" s="57"/>
      <c r="R1594" s="57"/>
    </row>
    <row r="1595" spans="17:18" x14ac:dyDescent="0.25">
      <c r="Q1595" s="57"/>
      <c r="R1595" s="57"/>
    </row>
    <row r="1596" spans="17:18" x14ac:dyDescent="0.25">
      <c r="Q1596" s="57"/>
      <c r="R1596" s="57"/>
    </row>
    <row r="1597" spans="17:18" x14ac:dyDescent="0.25">
      <c r="Q1597" s="57"/>
      <c r="R1597" s="57"/>
    </row>
    <row r="1598" spans="17:18" x14ac:dyDescent="0.25">
      <c r="Q1598" s="57"/>
      <c r="R1598" s="57"/>
    </row>
    <row r="1599" spans="17:18" x14ac:dyDescent="0.25">
      <c r="Q1599" s="57"/>
      <c r="R1599" s="57"/>
    </row>
    <row r="1600" spans="17:18" x14ac:dyDescent="0.25">
      <c r="Q1600" s="57"/>
      <c r="R1600" s="57"/>
    </row>
    <row r="1601" spans="17:18" x14ac:dyDescent="0.25">
      <c r="Q1601" s="57"/>
      <c r="R1601" s="57"/>
    </row>
    <row r="1602" spans="17:18" x14ac:dyDescent="0.25">
      <c r="Q1602" s="57"/>
      <c r="R1602" s="57"/>
    </row>
    <row r="1603" spans="17:18" x14ac:dyDescent="0.25">
      <c r="Q1603" s="57"/>
      <c r="R1603" s="57"/>
    </row>
    <row r="1604" spans="17:18" x14ac:dyDescent="0.25">
      <c r="Q1604" s="57"/>
      <c r="R1604" s="57"/>
    </row>
    <row r="1605" spans="17:18" x14ac:dyDescent="0.25">
      <c r="Q1605" s="57"/>
      <c r="R1605" s="57"/>
    </row>
    <row r="1606" spans="17:18" x14ac:dyDescent="0.25">
      <c r="Q1606" s="57"/>
      <c r="R1606" s="57"/>
    </row>
    <row r="1607" spans="17:18" x14ac:dyDescent="0.25">
      <c r="Q1607" s="57"/>
      <c r="R1607" s="57"/>
    </row>
    <row r="1608" spans="17:18" x14ac:dyDescent="0.25">
      <c r="Q1608" s="57"/>
      <c r="R1608" s="57"/>
    </row>
    <row r="1609" spans="17:18" x14ac:dyDescent="0.25">
      <c r="Q1609" s="57"/>
      <c r="R1609" s="57"/>
    </row>
    <row r="1610" spans="17:18" x14ac:dyDescent="0.25">
      <c r="Q1610" s="57"/>
      <c r="R1610" s="57"/>
    </row>
    <row r="1611" spans="17:18" x14ac:dyDescent="0.25">
      <c r="Q1611" s="57"/>
      <c r="R1611" s="57"/>
    </row>
    <row r="1612" spans="17:18" x14ac:dyDescent="0.25">
      <c r="Q1612" s="57"/>
      <c r="R1612" s="57"/>
    </row>
    <row r="1613" spans="17:18" x14ac:dyDescent="0.25">
      <c r="Q1613" s="57"/>
      <c r="R1613" s="57"/>
    </row>
    <row r="1614" spans="17:18" x14ac:dyDescent="0.25">
      <c r="Q1614" s="57"/>
      <c r="R1614" s="57"/>
    </row>
    <row r="1615" spans="17:18" x14ac:dyDescent="0.25">
      <c r="Q1615" s="57"/>
      <c r="R1615" s="57"/>
    </row>
    <row r="1616" spans="17:18" x14ac:dyDescent="0.25">
      <c r="Q1616" s="57"/>
      <c r="R1616" s="57"/>
    </row>
    <row r="1617" spans="17:18" x14ac:dyDescent="0.25">
      <c r="Q1617" s="57"/>
      <c r="R1617" s="57"/>
    </row>
    <row r="1618" spans="17:18" x14ac:dyDescent="0.25">
      <c r="Q1618" s="57"/>
      <c r="R1618" s="57"/>
    </row>
    <row r="1619" spans="17:18" x14ac:dyDescent="0.25">
      <c r="Q1619" s="57"/>
      <c r="R1619" s="57"/>
    </row>
    <row r="1620" spans="17:18" x14ac:dyDescent="0.25">
      <c r="Q1620" s="57"/>
      <c r="R1620" s="57"/>
    </row>
    <row r="1621" spans="17:18" x14ac:dyDescent="0.25">
      <c r="Q1621" s="57"/>
      <c r="R1621" s="57"/>
    </row>
    <row r="1622" spans="17:18" x14ac:dyDescent="0.25">
      <c r="Q1622" s="57"/>
      <c r="R1622" s="57"/>
    </row>
    <row r="1623" spans="17:18" x14ac:dyDescent="0.25">
      <c r="Q1623" s="57"/>
      <c r="R1623" s="57"/>
    </row>
    <row r="1624" spans="17:18" x14ac:dyDescent="0.25">
      <c r="Q1624" s="57"/>
      <c r="R1624" s="57"/>
    </row>
    <row r="1625" spans="17:18" x14ac:dyDescent="0.25">
      <c r="Q1625" s="57"/>
      <c r="R1625" s="57"/>
    </row>
    <row r="1626" spans="17:18" x14ac:dyDescent="0.25">
      <c r="Q1626" s="57"/>
      <c r="R1626" s="57"/>
    </row>
    <row r="1627" spans="17:18" x14ac:dyDescent="0.25">
      <c r="Q1627" s="57"/>
      <c r="R1627" s="57"/>
    </row>
    <row r="1628" spans="17:18" x14ac:dyDescent="0.25">
      <c r="Q1628" s="57"/>
      <c r="R1628" s="57"/>
    </row>
    <row r="1629" spans="17:18" x14ac:dyDescent="0.25">
      <c r="Q1629" s="57"/>
      <c r="R1629" s="57"/>
    </row>
    <row r="1630" spans="17:18" x14ac:dyDescent="0.25">
      <c r="Q1630" s="57"/>
      <c r="R1630" s="57"/>
    </row>
    <row r="1631" spans="17:18" x14ac:dyDescent="0.25">
      <c r="Q1631" s="57"/>
      <c r="R1631" s="57"/>
    </row>
    <row r="1632" spans="17:18" x14ac:dyDescent="0.25">
      <c r="Q1632" s="57"/>
      <c r="R1632" s="57"/>
    </row>
    <row r="1633" spans="17:18" x14ac:dyDescent="0.25">
      <c r="Q1633" s="57"/>
      <c r="R1633" s="57"/>
    </row>
    <row r="1634" spans="17:18" x14ac:dyDescent="0.25">
      <c r="Q1634" s="57"/>
      <c r="R1634" s="57"/>
    </row>
    <row r="1635" spans="17:18" x14ac:dyDescent="0.25">
      <c r="Q1635" s="57"/>
      <c r="R1635" s="57"/>
    </row>
    <row r="1636" spans="17:18" x14ac:dyDescent="0.25">
      <c r="Q1636" s="57"/>
      <c r="R1636" s="57"/>
    </row>
    <row r="1637" spans="17:18" x14ac:dyDescent="0.25">
      <c r="Q1637" s="57"/>
      <c r="R1637" s="57"/>
    </row>
    <row r="1638" spans="17:18" x14ac:dyDescent="0.25">
      <c r="Q1638" s="57"/>
      <c r="R1638" s="57"/>
    </row>
    <row r="1639" spans="17:18" x14ac:dyDescent="0.25">
      <c r="Q1639" s="57"/>
      <c r="R1639" s="57"/>
    </row>
    <row r="1640" spans="17:18" x14ac:dyDescent="0.25">
      <c r="Q1640" s="57"/>
      <c r="R1640" s="57"/>
    </row>
    <row r="1641" spans="17:18" x14ac:dyDescent="0.25">
      <c r="Q1641" s="57"/>
      <c r="R1641" s="57"/>
    </row>
    <row r="1642" spans="17:18" x14ac:dyDescent="0.25">
      <c r="Q1642" s="57"/>
      <c r="R1642" s="57"/>
    </row>
    <row r="1643" spans="17:18" x14ac:dyDescent="0.25">
      <c r="Q1643" s="57"/>
      <c r="R1643" s="57"/>
    </row>
    <row r="1644" spans="17:18" x14ac:dyDescent="0.25">
      <c r="Q1644" s="57"/>
      <c r="R1644" s="57"/>
    </row>
    <row r="1645" spans="17:18" x14ac:dyDescent="0.25">
      <c r="Q1645" s="57"/>
      <c r="R1645" s="57"/>
    </row>
    <row r="1646" spans="17:18" x14ac:dyDescent="0.25">
      <c r="Q1646" s="57"/>
      <c r="R1646" s="57"/>
    </row>
    <row r="1647" spans="17:18" x14ac:dyDescent="0.25">
      <c r="Q1647" s="57"/>
      <c r="R1647" s="57"/>
    </row>
    <row r="1648" spans="17:18" x14ac:dyDescent="0.25">
      <c r="Q1648" s="57"/>
      <c r="R1648" s="57"/>
    </row>
    <row r="1649" spans="17:18" x14ac:dyDescent="0.25">
      <c r="Q1649" s="57"/>
      <c r="R1649" s="57"/>
    </row>
    <row r="1650" spans="17:18" x14ac:dyDescent="0.25">
      <c r="Q1650" s="57"/>
      <c r="R1650" s="57"/>
    </row>
    <row r="1651" spans="17:18" x14ac:dyDescent="0.25">
      <c r="Q1651" s="57"/>
      <c r="R1651" s="57"/>
    </row>
    <row r="1652" spans="17:18" x14ac:dyDescent="0.25">
      <c r="Q1652" s="57"/>
      <c r="R1652" s="57"/>
    </row>
    <row r="1653" spans="17:18" x14ac:dyDescent="0.25">
      <c r="Q1653" s="57"/>
      <c r="R1653" s="57"/>
    </row>
    <row r="1654" spans="17:18" x14ac:dyDescent="0.25">
      <c r="Q1654" s="57"/>
      <c r="R1654" s="57"/>
    </row>
    <row r="1655" spans="17:18" x14ac:dyDescent="0.25">
      <c r="Q1655" s="57"/>
      <c r="R1655" s="57"/>
    </row>
    <row r="1656" spans="17:18" x14ac:dyDescent="0.25">
      <c r="Q1656" s="57"/>
      <c r="R1656" s="57"/>
    </row>
    <row r="1657" spans="17:18" x14ac:dyDescent="0.25">
      <c r="Q1657" s="57"/>
      <c r="R1657" s="57"/>
    </row>
    <row r="1658" spans="17:18" x14ac:dyDescent="0.25">
      <c r="Q1658" s="57"/>
      <c r="R1658" s="57"/>
    </row>
    <row r="1659" spans="17:18" x14ac:dyDescent="0.25">
      <c r="Q1659" s="57"/>
      <c r="R1659" s="57"/>
    </row>
    <row r="1660" spans="17:18" x14ac:dyDescent="0.25">
      <c r="Q1660" s="57"/>
      <c r="R1660" s="57"/>
    </row>
    <row r="1661" spans="17:18" x14ac:dyDescent="0.25">
      <c r="Q1661" s="57"/>
      <c r="R1661" s="57"/>
    </row>
    <row r="1662" spans="17:18" x14ac:dyDescent="0.25">
      <c r="Q1662" s="57"/>
      <c r="R1662" s="57"/>
    </row>
    <row r="1663" spans="17:18" x14ac:dyDescent="0.25">
      <c r="Q1663" s="57"/>
      <c r="R1663" s="57"/>
    </row>
    <row r="1664" spans="17:18" x14ac:dyDescent="0.25">
      <c r="Q1664" s="57"/>
      <c r="R1664" s="57"/>
    </row>
    <row r="1665" spans="17:18" x14ac:dyDescent="0.25">
      <c r="Q1665" s="57"/>
      <c r="R1665" s="57"/>
    </row>
    <row r="1666" spans="17:18" x14ac:dyDescent="0.25">
      <c r="Q1666" s="57"/>
      <c r="R1666" s="57"/>
    </row>
    <row r="1667" spans="17:18" x14ac:dyDescent="0.25">
      <c r="Q1667" s="57"/>
      <c r="R1667" s="57"/>
    </row>
    <row r="1668" spans="17:18" x14ac:dyDescent="0.25">
      <c r="Q1668" s="57"/>
      <c r="R1668" s="57"/>
    </row>
    <row r="1669" spans="17:18" x14ac:dyDescent="0.25">
      <c r="Q1669" s="57"/>
      <c r="R1669" s="57"/>
    </row>
    <row r="1670" spans="17:18" x14ac:dyDescent="0.25">
      <c r="Q1670" s="57"/>
      <c r="R1670" s="57"/>
    </row>
    <row r="1671" spans="17:18" x14ac:dyDescent="0.25">
      <c r="Q1671" s="57"/>
      <c r="R1671" s="57"/>
    </row>
    <row r="1672" spans="17:18" x14ac:dyDescent="0.25">
      <c r="Q1672" s="57"/>
      <c r="R1672" s="57"/>
    </row>
    <row r="1673" spans="17:18" x14ac:dyDescent="0.25">
      <c r="Q1673" s="57"/>
      <c r="R1673" s="57"/>
    </row>
    <row r="1674" spans="17:18" x14ac:dyDescent="0.25">
      <c r="Q1674" s="57"/>
      <c r="R1674" s="57"/>
    </row>
    <row r="1675" spans="17:18" x14ac:dyDescent="0.25">
      <c r="Q1675" s="57"/>
      <c r="R1675" s="57"/>
    </row>
    <row r="1676" spans="17:18" x14ac:dyDescent="0.25">
      <c r="Q1676" s="57"/>
      <c r="R1676" s="57"/>
    </row>
    <row r="1677" spans="17:18" x14ac:dyDescent="0.25">
      <c r="Q1677" s="57"/>
      <c r="R1677" s="57"/>
    </row>
    <row r="1678" spans="17:18" x14ac:dyDescent="0.25">
      <c r="Q1678" s="57"/>
      <c r="R1678" s="57"/>
    </row>
    <row r="1679" spans="17:18" x14ac:dyDescent="0.25">
      <c r="Q1679" s="57"/>
      <c r="R1679" s="57"/>
    </row>
    <row r="1680" spans="17:18" x14ac:dyDescent="0.25">
      <c r="Q1680" s="57"/>
      <c r="R1680" s="57"/>
    </row>
    <row r="1681" spans="17:18" x14ac:dyDescent="0.25">
      <c r="Q1681" s="57"/>
      <c r="R1681" s="57"/>
    </row>
    <row r="1682" spans="17:18" x14ac:dyDescent="0.25">
      <c r="Q1682" s="57"/>
      <c r="R1682" s="57"/>
    </row>
    <row r="1683" spans="17:18" x14ac:dyDescent="0.25">
      <c r="Q1683" s="57"/>
      <c r="R1683" s="57"/>
    </row>
    <row r="1684" spans="17:18" x14ac:dyDescent="0.25">
      <c r="Q1684" s="57"/>
      <c r="R1684" s="57"/>
    </row>
    <row r="1685" spans="17:18" x14ac:dyDescent="0.25">
      <c r="Q1685" s="57"/>
      <c r="R1685" s="57"/>
    </row>
    <row r="1686" spans="17:18" x14ac:dyDescent="0.25">
      <c r="Q1686" s="57"/>
      <c r="R1686" s="57"/>
    </row>
    <row r="1687" spans="17:18" x14ac:dyDescent="0.25">
      <c r="Q1687" s="57"/>
      <c r="R1687" s="57"/>
    </row>
    <row r="1688" spans="17:18" x14ac:dyDescent="0.25">
      <c r="Q1688" s="57"/>
      <c r="R1688" s="57"/>
    </row>
    <row r="1689" spans="17:18" x14ac:dyDescent="0.25">
      <c r="Q1689" s="57"/>
      <c r="R1689" s="57"/>
    </row>
    <row r="1690" spans="17:18" x14ac:dyDescent="0.25">
      <c r="Q1690" s="57"/>
      <c r="R1690" s="57"/>
    </row>
    <row r="1691" spans="17:18" x14ac:dyDescent="0.25">
      <c r="Q1691" s="57"/>
      <c r="R1691" s="57"/>
    </row>
    <row r="1692" spans="17:18" x14ac:dyDescent="0.25">
      <c r="Q1692" s="57"/>
      <c r="R1692" s="57"/>
    </row>
    <row r="1693" spans="17:18" x14ac:dyDescent="0.25">
      <c r="Q1693" s="57"/>
      <c r="R1693" s="57"/>
    </row>
    <row r="1694" spans="17:18" x14ac:dyDescent="0.25">
      <c r="Q1694" s="57"/>
      <c r="R1694" s="57"/>
    </row>
    <row r="1695" spans="17:18" x14ac:dyDescent="0.25">
      <c r="Q1695" s="57"/>
      <c r="R1695" s="57"/>
    </row>
    <row r="1696" spans="17:18" x14ac:dyDescent="0.25">
      <c r="Q1696" s="57"/>
      <c r="R1696" s="57"/>
    </row>
    <row r="1697" spans="17:18" x14ac:dyDescent="0.25">
      <c r="Q1697" s="57"/>
      <c r="R1697" s="57"/>
    </row>
    <row r="1698" spans="17:18" x14ac:dyDescent="0.25">
      <c r="Q1698" s="57"/>
      <c r="R1698" s="57"/>
    </row>
    <row r="1699" spans="17:18" x14ac:dyDescent="0.25">
      <c r="Q1699" s="57"/>
      <c r="R1699" s="57"/>
    </row>
    <row r="1700" spans="17:18" x14ac:dyDescent="0.25">
      <c r="Q1700" s="57"/>
      <c r="R1700" s="57"/>
    </row>
    <row r="1701" spans="17:18" x14ac:dyDescent="0.25">
      <c r="Q1701" s="57"/>
      <c r="R1701" s="57"/>
    </row>
    <row r="1702" spans="17:18" x14ac:dyDescent="0.25">
      <c r="Q1702" s="57"/>
      <c r="R1702" s="57"/>
    </row>
    <row r="1703" spans="17:18" x14ac:dyDescent="0.25">
      <c r="Q1703" s="57"/>
      <c r="R1703" s="57"/>
    </row>
    <row r="1704" spans="17:18" x14ac:dyDescent="0.25">
      <c r="Q1704" s="57"/>
      <c r="R1704" s="57"/>
    </row>
    <row r="1705" spans="17:18" x14ac:dyDescent="0.25">
      <c r="Q1705" s="57"/>
      <c r="R1705" s="57"/>
    </row>
    <row r="1706" spans="17:18" x14ac:dyDescent="0.25">
      <c r="Q1706" s="57"/>
      <c r="R1706" s="57"/>
    </row>
    <row r="1707" spans="17:18" x14ac:dyDescent="0.25">
      <c r="Q1707" s="57"/>
      <c r="R1707" s="57"/>
    </row>
    <row r="1708" spans="17:18" x14ac:dyDescent="0.25">
      <c r="Q1708" s="57"/>
      <c r="R1708" s="57"/>
    </row>
    <row r="1709" spans="17:18" x14ac:dyDescent="0.25">
      <c r="Q1709" s="57"/>
      <c r="R1709" s="57"/>
    </row>
    <row r="1710" spans="17:18" x14ac:dyDescent="0.25">
      <c r="Q1710" s="57"/>
      <c r="R1710" s="57"/>
    </row>
    <row r="1711" spans="17:18" x14ac:dyDescent="0.25">
      <c r="Q1711" s="57"/>
      <c r="R1711" s="57"/>
    </row>
    <row r="1712" spans="17:18" x14ac:dyDescent="0.25">
      <c r="Q1712" s="57"/>
      <c r="R1712" s="57"/>
    </row>
    <row r="1713" spans="17:18" x14ac:dyDescent="0.25">
      <c r="Q1713" s="57"/>
      <c r="R1713" s="57"/>
    </row>
    <row r="1714" spans="17:18" x14ac:dyDescent="0.25">
      <c r="Q1714" s="57"/>
      <c r="R1714" s="57"/>
    </row>
    <row r="1715" spans="17:18" x14ac:dyDescent="0.25">
      <c r="Q1715" s="57"/>
      <c r="R1715" s="57"/>
    </row>
    <row r="1716" spans="17:18" x14ac:dyDescent="0.25">
      <c r="Q1716" s="57"/>
      <c r="R1716" s="57"/>
    </row>
    <row r="1717" spans="17:18" x14ac:dyDescent="0.25">
      <c r="Q1717" s="57"/>
      <c r="R1717" s="57"/>
    </row>
    <row r="1718" spans="17:18" x14ac:dyDescent="0.25">
      <c r="Q1718" s="57"/>
      <c r="R1718" s="57"/>
    </row>
    <row r="1719" spans="17:18" x14ac:dyDescent="0.25">
      <c r="Q1719" s="57"/>
      <c r="R1719" s="57"/>
    </row>
    <row r="1720" spans="17:18" x14ac:dyDescent="0.25">
      <c r="Q1720" s="57"/>
      <c r="R1720" s="57"/>
    </row>
    <row r="1721" spans="17:18" x14ac:dyDescent="0.25">
      <c r="Q1721" s="57"/>
      <c r="R1721" s="57"/>
    </row>
    <row r="1722" spans="17:18" x14ac:dyDescent="0.25">
      <c r="Q1722" s="57"/>
      <c r="R1722" s="57"/>
    </row>
    <row r="1723" spans="17:18" x14ac:dyDescent="0.25">
      <c r="Q1723" s="57"/>
      <c r="R1723" s="57"/>
    </row>
    <row r="1724" spans="17:18" x14ac:dyDescent="0.25">
      <c r="Q1724" s="57"/>
      <c r="R1724" s="57"/>
    </row>
    <row r="1725" spans="17:18" x14ac:dyDescent="0.25">
      <c r="Q1725" s="57"/>
      <c r="R1725" s="57"/>
    </row>
    <row r="1726" spans="17:18" x14ac:dyDescent="0.25">
      <c r="Q1726" s="57"/>
      <c r="R1726" s="57"/>
    </row>
    <row r="1727" spans="17:18" x14ac:dyDescent="0.25">
      <c r="Q1727" s="57"/>
      <c r="R1727" s="57"/>
    </row>
    <row r="1728" spans="17:18" x14ac:dyDescent="0.25">
      <c r="Q1728" s="57"/>
      <c r="R1728" s="57"/>
    </row>
    <row r="1729" spans="17:18" x14ac:dyDescent="0.25">
      <c r="Q1729" s="57"/>
      <c r="R1729" s="57"/>
    </row>
    <row r="1730" spans="17:18" x14ac:dyDescent="0.25">
      <c r="Q1730" s="57"/>
      <c r="R1730" s="57"/>
    </row>
    <row r="1731" spans="17:18" x14ac:dyDescent="0.25">
      <c r="Q1731" s="57"/>
      <c r="R1731" s="57"/>
    </row>
    <row r="1732" spans="17:18" x14ac:dyDescent="0.25">
      <c r="Q1732" s="57"/>
      <c r="R1732" s="57"/>
    </row>
    <row r="1733" spans="17:18" x14ac:dyDescent="0.25">
      <c r="Q1733" s="57"/>
      <c r="R1733" s="57"/>
    </row>
    <row r="1734" spans="17:18" x14ac:dyDescent="0.25">
      <c r="Q1734" s="57"/>
      <c r="R1734" s="57"/>
    </row>
    <row r="1735" spans="17:18" x14ac:dyDescent="0.25">
      <c r="Q1735" s="57"/>
      <c r="R1735" s="57"/>
    </row>
    <row r="1736" spans="17:18" x14ac:dyDescent="0.25">
      <c r="Q1736" s="57"/>
      <c r="R1736" s="57"/>
    </row>
    <row r="1737" spans="17:18" x14ac:dyDescent="0.25">
      <c r="Q1737" s="57"/>
      <c r="R1737" s="57"/>
    </row>
    <row r="1738" spans="17:18" x14ac:dyDescent="0.25">
      <c r="Q1738" s="57"/>
      <c r="R1738" s="57"/>
    </row>
    <row r="1739" spans="17:18" x14ac:dyDescent="0.25">
      <c r="Q1739" s="57"/>
      <c r="R1739" s="57"/>
    </row>
    <row r="1740" spans="17:18" x14ac:dyDescent="0.25">
      <c r="Q1740" s="57"/>
      <c r="R1740" s="57"/>
    </row>
    <row r="1741" spans="17:18" x14ac:dyDescent="0.25">
      <c r="Q1741" s="57"/>
      <c r="R1741" s="57"/>
    </row>
    <row r="1742" spans="17:18" x14ac:dyDescent="0.25">
      <c r="Q1742" s="57"/>
      <c r="R1742" s="57"/>
    </row>
    <row r="1743" spans="17:18" x14ac:dyDescent="0.25">
      <c r="Q1743" s="57"/>
      <c r="R1743" s="57"/>
    </row>
    <row r="1744" spans="17:18" x14ac:dyDescent="0.25">
      <c r="Q1744" s="57"/>
      <c r="R1744" s="57"/>
    </row>
    <row r="1745" spans="17:18" x14ac:dyDescent="0.25">
      <c r="Q1745" s="57"/>
      <c r="R1745" s="57"/>
    </row>
    <row r="1746" spans="17:18" x14ac:dyDescent="0.25">
      <c r="Q1746" s="57"/>
      <c r="R1746" s="57"/>
    </row>
    <row r="1747" spans="17:18" x14ac:dyDescent="0.25">
      <c r="Q1747" s="57"/>
      <c r="R1747" s="57"/>
    </row>
    <row r="1748" spans="17:18" x14ac:dyDescent="0.25">
      <c r="Q1748" s="57"/>
      <c r="R1748" s="57"/>
    </row>
    <row r="1749" spans="17:18" x14ac:dyDescent="0.25">
      <c r="Q1749" s="57"/>
      <c r="R1749" s="57"/>
    </row>
    <row r="1750" spans="17:18" x14ac:dyDescent="0.25">
      <c r="Q1750" s="57"/>
      <c r="R1750" s="57"/>
    </row>
    <row r="1751" spans="17:18" x14ac:dyDescent="0.25">
      <c r="Q1751" s="57"/>
      <c r="R1751" s="57"/>
    </row>
    <row r="1752" spans="17:18" x14ac:dyDescent="0.25">
      <c r="Q1752" s="57"/>
      <c r="R1752" s="57"/>
    </row>
    <row r="1753" spans="17:18" x14ac:dyDescent="0.25">
      <c r="Q1753" s="57"/>
      <c r="R1753" s="57"/>
    </row>
    <row r="1754" spans="17:18" x14ac:dyDescent="0.25">
      <c r="Q1754" s="57"/>
      <c r="R1754" s="57"/>
    </row>
    <row r="1755" spans="17:18" x14ac:dyDescent="0.25">
      <c r="Q1755" s="57"/>
      <c r="R1755" s="57"/>
    </row>
    <row r="1756" spans="17:18" x14ac:dyDescent="0.25">
      <c r="Q1756" s="57"/>
      <c r="R1756" s="57"/>
    </row>
    <row r="1757" spans="17:18" x14ac:dyDescent="0.25">
      <c r="Q1757" s="57"/>
      <c r="R1757" s="57"/>
    </row>
    <row r="1758" spans="17:18" x14ac:dyDescent="0.25">
      <c r="Q1758" s="57"/>
      <c r="R1758" s="57"/>
    </row>
    <row r="1759" spans="17:18" x14ac:dyDescent="0.25">
      <c r="Q1759" s="57"/>
      <c r="R1759" s="57"/>
    </row>
    <row r="1760" spans="17:18" x14ac:dyDescent="0.25">
      <c r="Q1760" s="57"/>
      <c r="R1760" s="57"/>
    </row>
    <row r="1761" spans="17:18" x14ac:dyDescent="0.25">
      <c r="Q1761" s="57"/>
      <c r="R1761" s="57"/>
    </row>
    <row r="1762" spans="17:18" x14ac:dyDescent="0.25">
      <c r="Q1762" s="57"/>
      <c r="R1762" s="57"/>
    </row>
    <row r="1763" spans="17:18" x14ac:dyDescent="0.25">
      <c r="Q1763" s="57"/>
      <c r="R1763" s="57"/>
    </row>
    <row r="1764" spans="17:18" x14ac:dyDescent="0.25">
      <c r="Q1764" s="57"/>
      <c r="R1764" s="57"/>
    </row>
    <row r="1765" spans="17:18" x14ac:dyDescent="0.25">
      <c r="Q1765" s="57"/>
      <c r="R1765" s="57"/>
    </row>
    <row r="1766" spans="17:18" x14ac:dyDescent="0.25">
      <c r="Q1766" s="57"/>
      <c r="R1766" s="57"/>
    </row>
    <row r="1767" spans="17:18" x14ac:dyDescent="0.25">
      <c r="Q1767" s="57"/>
      <c r="R1767" s="57"/>
    </row>
    <row r="1768" spans="17:18" x14ac:dyDescent="0.25">
      <c r="Q1768" s="57"/>
      <c r="R1768" s="57"/>
    </row>
    <row r="1769" spans="17:18" x14ac:dyDescent="0.25">
      <c r="Q1769" s="57"/>
      <c r="R1769" s="57"/>
    </row>
    <row r="1770" spans="17:18" x14ac:dyDescent="0.25">
      <c r="Q1770" s="57"/>
      <c r="R1770" s="57"/>
    </row>
    <row r="1771" spans="17:18" x14ac:dyDescent="0.25">
      <c r="Q1771" s="57"/>
      <c r="R1771" s="57"/>
    </row>
    <row r="1772" spans="17:18" x14ac:dyDescent="0.25">
      <c r="Q1772" s="57"/>
      <c r="R1772" s="57"/>
    </row>
    <row r="1773" spans="17:18" x14ac:dyDescent="0.25">
      <c r="Q1773" s="57"/>
      <c r="R1773" s="57"/>
    </row>
    <row r="1774" spans="17:18" x14ac:dyDescent="0.25">
      <c r="Q1774" s="57"/>
      <c r="R1774" s="57"/>
    </row>
    <row r="1775" spans="17:18" x14ac:dyDescent="0.25">
      <c r="Q1775" s="57"/>
      <c r="R1775" s="57"/>
    </row>
    <row r="1776" spans="17:18" x14ac:dyDescent="0.25">
      <c r="Q1776" s="57"/>
      <c r="R1776" s="57"/>
    </row>
    <row r="1777" spans="17:18" x14ac:dyDescent="0.25">
      <c r="Q1777" s="57"/>
      <c r="R1777" s="57"/>
    </row>
    <row r="1778" spans="17:18" x14ac:dyDescent="0.25">
      <c r="Q1778" s="57"/>
      <c r="R1778" s="57"/>
    </row>
    <row r="1779" spans="17:18" x14ac:dyDescent="0.25">
      <c r="Q1779" s="57"/>
      <c r="R1779" s="57"/>
    </row>
    <row r="1780" spans="17:18" x14ac:dyDescent="0.25">
      <c r="Q1780" s="57"/>
      <c r="R1780" s="57"/>
    </row>
    <row r="1781" spans="17:18" x14ac:dyDescent="0.25">
      <c r="Q1781" s="57"/>
      <c r="R1781" s="57"/>
    </row>
    <row r="1782" spans="17:18" x14ac:dyDescent="0.25">
      <c r="Q1782" s="57"/>
      <c r="R1782" s="57"/>
    </row>
    <row r="1783" spans="17:18" x14ac:dyDescent="0.25">
      <c r="Q1783" s="57"/>
      <c r="R1783" s="57"/>
    </row>
    <row r="1784" spans="17:18" x14ac:dyDescent="0.25">
      <c r="Q1784" s="57"/>
      <c r="R1784" s="57"/>
    </row>
    <row r="1785" spans="17:18" x14ac:dyDescent="0.25">
      <c r="Q1785" s="57"/>
      <c r="R1785" s="57"/>
    </row>
    <row r="1786" spans="17:18" x14ac:dyDescent="0.25">
      <c r="Q1786" s="57"/>
      <c r="R1786" s="57"/>
    </row>
    <row r="1787" spans="17:18" x14ac:dyDescent="0.25">
      <c r="Q1787" s="57"/>
      <c r="R1787" s="57"/>
    </row>
    <row r="1788" spans="17:18" x14ac:dyDescent="0.25">
      <c r="Q1788" s="57"/>
      <c r="R1788" s="57"/>
    </row>
    <row r="1789" spans="17:18" x14ac:dyDescent="0.25">
      <c r="Q1789" s="57"/>
      <c r="R1789" s="57"/>
    </row>
    <row r="1790" spans="17:18" x14ac:dyDescent="0.25">
      <c r="Q1790" s="57"/>
      <c r="R1790" s="57"/>
    </row>
    <row r="1791" spans="17:18" x14ac:dyDescent="0.25">
      <c r="Q1791" s="57"/>
      <c r="R1791" s="57"/>
    </row>
    <row r="1792" spans="17:18" x14ac:dyDescent="0.25">
      <c r="Q1792" s="57"/>
      <c r="R1792" s="57"/>
    </row>
    <row r="1793" spans="17:18" x14ac:dyDescent="0.25">
      <c r="Q1793" s="57"/>
      <c r="R1793" s="57"/>
    </row>
    <row r="1794" spans="17:18" x14ac:dyDescent="0.25">
      <c r="Q1794" s="57"/>
      <c r="R1794" s="57"/>
    </row>
    <row r="1795" spans="17:18" x14ac:dyDescent="0.25">
      <c r="Q1795" s="57"/>
      <c r="R1795" s="57"/>
    </row>
    <row r="1796" spans="17:18" x14ac:dyDescent="0.25">
      <c r="Q1796" s="57"/>
      <c r="R1796" s="57"/>
    </row>
    <row r="1797" spans="17:18" x14ac:dyDescent="0.25">
      <c r="Q1797" s="57"/>
      <c r="R1797" s="57"/>
    </row>
    <row r="1798" spans="17:18" x14ac:dyDescent="0.25">
      <c r="Q1798" s="57"/>
      <c r="R1798" s="57"/>
    </row>
    <row r="1799" spans="17:18" x14ac:dyDescent="0.25">
      <c r="Q1799" s="57"/>
      <c r="R1799" s="57"/>
    </row>
    <row r="1800" spans="17:18" x14ac:dyDescent="0.25">
      <c r="Q1800" s="57"/>
      <c r="R1800" s="57"/>
    </row>
    <row r="1801" spans="17:18" x14ac:dyDescent="0.25">
      <c r="Q1801" s="57"/>
      <c r="R1801" s="57"/>
    </row>
    <row r="1802" spans="17:18" x14ac:dyDescent="0.25">
      <c r="Q1802" s="57"/>
      <c r="R1802" s="57"/>
    </row>
    <row r="1803" spans="17:18" x14ac:dyDescent="0.25">
      <c r="Q1803" s="57"/>
      <c r="R1803" s="57"/>
    </row>
    <row r="1804" spans="17:18" x14ac:dyDescent="0.25">
      <c r="Q1804" s="57"/>
      <c r="R1804" s="57"/>
    </row>
    <row r="1805" spans="17:18" x14ac:dyDescent="0.25">
      <c r="Q1805" s="57"/>
      <c r="R1805" s="57"/>
    </row>
    <row r="1806" spans="17:18" x14ac:dyDescent="0.25">
      <c r="Q1806" s="57"/>
      <c r="R1806" s="57"/>
    </row>
    <row r="1807" spans="17:18" x14ac:dyDescent="0.25">
      <c r="Q1807" s="57"/>
      <c r="R1807" s="57"/>
    </row>
    <row r="1808" spans="17:18" x14ac:dyDescent="0.25">
      <c r="Q1808" s="57"/>
      <c r="R1808" s="57"/>
    </row>
    <row r="1809" spans="17:18" x14ac:dyDescent="0.25">
      <c r="Q1809" s="57"/>
      <c r="R1809" s="57"/>
    </row>
    <row r="1810" spans="17:18" x14ac:dyDescent="0.25">
      <c r="Q1810" s="57"/>
      <c r="R1810" s="57"/>
    </row>
    <row r="1811" spans="17:18" x14ac:dyDescent="0.25">
      <c r="Q1811" s="57"/>
      <c r="R1811" s="57"/>
    </row>
    <row r="1812" spans="17:18" x14ac:dyDescent="0.25">
      <c r="Q1812" s="57"/>
      <c r="R1812" s="57"/>
    </row>
    <row r="1813" spans="17:18" x14ac:dyDescent="0.25">
      <c r="Q1813" s="57"/>
      <c r="R1813" s="57"/>
    </row>
    <row r="1814" spans="17:18" x14ac:dyDescent="0.25">
      <c r="Q1814" s="57"/>
      <c r="R1814" s="57"/>
    </row>
    <row r="1815" spans="17:18" x14ac:dyDescent="0.25">
      <c r="Q1815" s="57"/>
      <c r="R1815" s="57"/>
    </row>
    <row r="1816" spans="17:18" x14ac:dyDescent="0.25">
      <c r="Q1816" s="57"/>
      <c r="R1816" s="57"/>
    </row>
    <row r="1817" spans="17:18" x14ac:dyDescent="0.25">
      <c r="Q1817" s="57"/>
      <c r="R1817" s="57"/>
    </row>
    <row r="1818" spans="17:18" x14ac:dyDescent="0.25">
      <c r="Q1818" s="57"/>
      <c r="R1818" s="57"/>
    </row>
    <row r="1819" spans="17:18" x14ac:dyDescent="0.25">
      <c r="Q1819" s="57"/>
      <c r="R1819" s="57"/>
    </row>
    <row r="1820" spans="17:18" x14ac:dyDescent="0.25">
      <c r="Q1820" s="57"/>
      <c r="R1820" s="57"/>
    </row>
    <row r="1821" spans="17:18" x14ac:dyDescent="0.25">
      <c r="Q1821" s="57"/>
      <c r="R1821" s="57"/>
    </row>
    <row r="1822" spans="17:18" x14ac:dyDescent="0.25">
      <c r="Q1822" s="57"/>
      <c r="R1822" s="57"/>
    </row>
    <row r="1823" spans="17:18" x14ac:dyDescent="0.25">
      <c r="Q1823" s="57"/>
      <c r="R1823" s="57"/>
    </row>
    <row r="1824" spans="17:18" x14ac:dyDescent="0.25">
      <c r="Q1824" s="57"/>
      <c r="R1824" s="57"/>
    </row>
    <row r="1825" spans="17:18" x14ac:dyDescent="0.25">
      <c r="Q1825" s="57"/>
      <c r="R1825" s="57"/>
    </row>
    <row r="1826" spans="17:18" x14ac:dyDescent="0.25">
      <c r="Q1826" s="57"/>
      <c r="R1826" s="57"/>
    </row>
    <row r="1827" spans="17:18" x14ac:dyDescent="0.25">
      <c r="Q1827" s="57"/>
      <c r="R1827" s="57"/>
    </row>
    <row r="1828" spans="17:18" x14ac:dyDescent="0.25">
      <c r="Q1828" s="57"/>
      <c r="R1828" s="57"/>
    </row>
    <row r="1829" spans="17:18" x14ac:dyDescent="0.25">
      <c r="Q1829" s="57"/>
      <c r="R1829" s="57"/>
    </row>
    <row r="1830" spans="17:18" x14ac:dyDescent="0.25">
      <c r="Q1830" s="57"/>
      <c r="R1830" s="57"/>
    </row>
    <row r="1831" spans="17:18" x14ac:dyDescent="0.25">
      <c r="Q1831" s="57"/>
      <c r="R1831" s="57"/>
    </row>
  </sheetData>
  <mergeCells count="3">
    <mergeCell ref="Q14:S14"/>
    <mergeCell ref="AA31:AD31"/>
    <mergeCell ref="AE31:AH3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1831"/>
  <sheetViews>
    <sheetView zoomScale="90" zoomScaleNormal="90" workbookViewId="0">
      <selection activeCell="A6" sqref="A6"/>
    </sheetView>
  </sheetViews>
  <sheetFormatPr defaultRowHeight="15" x14ac:dyDescent="0.25"/>
  <cols>
    <col min="16" max="16" width="6.5703125" customWidth="1"/>
    <col min="17" max="17" width="9.5703125" bestFit="1" customWidth="1"/>
    <col min="18" max="18" width="18.28515625" bestFit="1" customWidth="1"/>
    <col min="19" max="19" width="10" customWidth="1"/>
    <col min="20" max="20" width="12.42578125" bestFit="1" customWidth="1"/>
    <col min="21" max="21" width="7" bestFit="1" customWidth="1"/>
    <col min="22" max="22" width="54" bestFit="1" customWidth="1"/>
    <col min="23" max="23" width="10.7109375" customWidth="1"/>
    <col min="24" max="24" width="9" bestFit="1" customWidth="1"/>
    <col min="25" max="25" width="7" bestFit="1" customWidth="1"/>
    <col min="26" max="26" width="8.7109375" bestFit="1" customWidth="1"/>
    <col min="27" max="27" width="16.140625" bestFit="1" customWidth="1"/>
    <col min="28" max="28" width="9.5703125" bestFit="1" customWidth="1"/>
    <col min="31" max="31" width="9.5703125" bestFit="1" customWidth="1"/>
    <col min="35" max="35" width="19.5703125" bestFit="1" customWidth="1"/>
  </cols>
  <sheetData>
    <row r="1" spans="16:30" ht="15.75" thickBot="1" x14ac:dyDescent="0.3"/>
    <row r="2" spans="16:30" ht="15.75" thickBot="1" x14ac:dyDescent="0.3">
      <c r="V2" s="1" t="s">
        <v>0</v>
      </c>
      <c r="W2" s="2"/>
      <c r="X2" s="2"/>
      <c r="Y2" s="3"/>
    </row>
    <row r="3" spans="16:30" x14ac:dyDescent="0.25">
      <c r="Q3" t="s">
        <v>1</v>
      </c>
      <c r="V3" s="4" t="s">
        <v>2</v>
      </c>
      <c r="W3" s="5" t="s">
        <v>3</v>
      </c>
      <c r="X3" s="5" t="s">
        <v>4</v>
      </c>
      <c r="Y3" s="6"/>
      <c r="AB3">
        <v>0</v>
      </c>
      <c r="AC3" s="7">
        <f>Q5</f>
        <v>3</v>
      </c>
      <c r="AD3">
        <f>AC3/10</f>
        <v>0.3</v>
      </c>
    </row>
    <row r="4" spans="16:30" x14ac:dyDescent="0.25">
      <c r="Q4" t="s">
        <v>5</v>
      </c>
      <c r="R4" t="s">
        <v>6</v>
      </c>
      <c r="S4" t="s">
        <v>7</v>
      </c>
      <c r="T4" t="s">
        <v>8</v>
      </c>
      <c r="V4" s="8" t="s">
        <v>9</v>
      </c>
      <c r="W4" s="9" t="s">
        <v>10</v>
      </c>
      <c r="X4" s="9"/>
      <c r="Y4" s="10" t="s">
        <v>11</v>
      </c>
      <c r="AB4">
        <f>R5</f>
        <v>30</v>
      </c>
      <c r="AC4" s="7">
        <f>AC3</f>
        <v>3</v>
      </c>
      <c r="AD4">
        <f t="shared" ref="AD4:AD12" si="0">AC4/10</f>
        <v>0.3</v>
      </c>
    </row>
    <row r="5" spans="16:30" x14ac:dyDescent="0.25">
      <c r="Q5">
        <v>3</v>
      </c>
      <c r="R5">
        <f>T5</f>
        <v>30</v>
      </c>
      <c r="S5">
        <v>200</v>
      </c>
      <c r="T5">
        <v>30</v>
      </c>
      <c r="V5" s="8" t="s">
        <v>12</v>
      </c>
      <c r="W5" s="9" t="s">
        <v>13</v>
      </c>
      <c r="X5" s="12">
        <v>3.8</v>
      </c>
      <c r="Y5" s="10">
        <v>53</v>
      </c>
      <c r="AB5">
        <f>AB4</f>
        <v>30</v>
      </c>
      <c r="AC5" s="7">
        <f>Q6</f>
        <v>10</v>
      </c>
      <c r="AD5">
        <f t="shared" si="0"/>
        <v>1</v>
      </c>
    </row>
    <row r="6" spans="16:30" x14ac:dyDescent="0.25">
      <c r="Q6">
        <v>10</v>
      </c>
      <c r="R6">
        <f>R5+T6</f>
        <v>132</v>
      </c>
      <c r="S6">
        <v>200</v>
      </c>
      <c r="T6">
        <f>1.7*60</f>
        <v>102</v>
      </c>
      <c r="V6" s="8" t="s">
        <v>14</v>
      </c>
      <c r="W6" s="9" t="s">
        <v>13</v>
      </c>
      <c r="X6" s="12">
        <v>5</v>
      </c>
      <c r="Y6" s="10">
        <v>55</v>
      </c>
      <c r="AB6">
        <f>R6</f>
        <v>132</v>
      </c>
      <c r="AC6" s="7">
        <f>AC5</f>
        <v>10</v>
      </c>
      <c r="AD6">
        <f t="shared" si="0"/>
        <v>1</v>
      </c>
    </row>
    <row r="7" spans="16:30" x14ac:dyDescent="0.25">
      <c r="Q7" s="14">
        <v>30</v>
      </c>
      <c r="R7">
        <f>R6+T7</f>
        <v>265.8</v>
      </c>
      <c r="S7">
        <v>50</v>
      </c>
      <c r="T7">
        <f>2.23*60</f>
        <v>133.80000000000001</v>
      </c>
      <c r="V7" s="8" t="s">
        <v>15</v>
      </c>
      <c r="W7" s="9" t="s">
        <v>13</v>
      </c>
      <c r="X7" s="12">
        <v>0.5</v>
      </c>
      <c r="Y7" s="10">
        <v>57</v>
      </c>
      <c r="AB7">
        <f>AB6</f>
        <v>132</v>
      </c>
      <c r="AC7" s="7">
        <f>Q7</f>
        <v>30</v>
      </c>
      <c r="AD7">
        <f t="shared" si="0"/>
        <v>3</v>
      </c>
    </row>
    <row r="8" spans="16:30" x14ac:dyDescent="0.25">
      <c r="Q8" s="14">
        <v>40</v>
      </c>
      <c r="R8" s="7">
        <f>R7+T8</f>
        <v>392.4</v>
      </c>
      <c r="S8">
        <v>50</v>
      </c>
      <c r="T8">
        <f>2.11*60</f>
        <v>126.6</v>
      </c>
      <c r="V8" s="8" t="s">
        <v>73</v>
      </c>
      <c r="W8" s="9" t="s">
        <v>13</v>
      </c>
      <c r="X8" s="12">
        <v>0.37</v>
      </c>
      <c r="Y8" s="10">
        <v>59</v>
      </c>
      <c r="AB8">
        <f>R7</f>
        <v>265.8</v>
      </c>
      <c r="AC8" s="7">
        <f>AC7</f>
        <v>30</v>
      </c>
      <c r="AD8">
        <f t="shared" si="0"/>
        <v>3</v>
      </c>
    </row>
    <row r="9" spans="16:30" x14ac:dyDescent="0.25">
      <c r="Q9">
        <v>127</v>
      </c>
      <c r="R9" s="7">
        <f>R8+T9</f>
        <v>513.6</v>
      </c>
      <c r="S9">
        <v>50</v>
      </c>
      <c r="T9">
        <f>2.02*60</f>
        <v>121.2</v>
      </c>
      <c r="V9" s="8" t="s">
        <v>17</v>
      </c>
      <c r="W9" s="9" t="s">
        <v>13</v>
      </c>
      <c r="X9" s="12">
        <v>1</v>
      </c>
      <c r="Y9" s="10">
        <v>61</v>
      </c>
      <c r="AB9">
        <f>AB8</f>
        <v>265.8</v>
      </c>
      <c r="AC9" s="7">
        <f>Q8</f>
        <v>40</v>
      </c>
      <c r="AD9">
        <f t="shared" si="0"/>
        <v>4</v>
      </c>
    </row>
    <row r="10" spans="16:30" x14ac:dyDescent="0.25">
      <c r="R10" s="7"/>
      <c r="V10" s="8" t="s">
        <v>18</v>
      </c>
      <c r="W10" s="9" t="s">
        <v>13</v>
      </c>
      <c r="X10" s="17">
        <v>1</v>
      </c>
      <c r="Y10" s="10">
        <v>63</v>
      </c>
      <c r="AB10">
        <f>R8</f>
        <v>392.4</v>
      </c>
      <c r="AC10" s="7">
        <f>AC9</f>
        <v>40</v>
      </c>
      <c r="AD10">
        <f t="shared" si="0"/>
        <v>4</v>
      </c>
    </row>
    <row r="11" spans="16:30" x14ac:dyDescent="0.25">
      <c r="R11" s="7"/>
      <c r="V11" s="8" t="s">
        <v>19</v>
      </c>
      <c r="W11" s="9" t="s">
        <v>13</v>
      </c>
      <c r="X11" s="12">
        <v>3.6</v>
      </c>
      <c r="Y11" s="10">
        <v>65</v>
      </c>
      <c r="AB11">
        <f>AB10</f>
        <v>392.4</v>
      </c>
      <c r="AC11" s="7">
        <f>Q9</f>
        <v>127</v>
      </c>
      <c r="AD11">
        <f t="shared" si="0"/>
        <v>12.7</v>
      </c>
    </row>
    <row r="12" spans="16:30" x14ac:dyDescent="0.25">
      <c r="P12" s="11" t="s">
        <v>20</v>
      </c>
      <c r="Q12" s="11">
        <f>Q5*T5/60+Q6*T6/60+Q7*T7/60+Q8*T8/60+Q9*T9/60</f>
        <v>426.34000000000003</v>
      </c>
      <c r="R12" s="18"/>
      <c r="S12" s="11"/>
      <c r="T12" s="11">
        <f>SUM(T5:T11)</f>
        <v>513.6</v>
      </c>
      <c r="V12" s="8"/>
      <c r="W12" s="9"/>
      <c r="X12" s="9"/>
      <c r="Y12" s="10"/>
      <c r="Z12" s="7"/>
      <c r="AB12">
        <f>R9</f>
        <v>513.6</v>
      </c>
      <c r="AC12" s="7">
        <f>AC11</f>
        <v>127</v>
      </c>
      <c r="AD12">
        <f t="shared" si="0"/>
        <v>12.7</v>
      </c>
    </row>
    <row r="13" spans="16:30" x14ac:dyDescent="0.25">
      <c r="R13" s="7"/>
      <c r="V13" s="8"/>
      <c r="W13" s="9"/>
      <c r="X13" s="9"/>
      <c r="Y13" s="10"/>
      <c r="Z13" s="7"/>
      <c r="AC13" s="7"/>
    </row>
    <row r="14" spans="16:30" x14ac:dyDescent="0.25">
      <c r="Q14" s="19" t="s">
        <v>21</v>
      </c>
      <c r="R14" s="19"/>
      <c r="S14" s="19"/>
      <c r="T14" s="20">
        <f>SUM(AI33:AI632)/60</f>
        <v>112.90890314885304</v>
      </c>
      <c r="V14" s="15"/>
      <c r="W14" s="16"/>
      <c r="X14" s="16"/>
      <c r="Y14" s="13"/>
      <c r="AC14" s="7"/>
    </row>
    <row r="15" spans="16:30" x14ac:dyDescent="0.25">
      <c r="V15" s="21" t="s">
        <v>22</v>
      </c>
      <c r="W15" s="16" t="s">
        <v>23</v>
      </c>
      <c r="X15" s="16"/>
      <c r="Y15" s="13"/>
      <c r="AC15" s="7"/>
    </row>
    <row r="16" spans="16:30" x14ac:dyDescent="0.25">
      <c r="Q16" s="11" t="s">
        <v>24</v>
      </c>
      <c r="R16" s="11"/>
      <c r="S16" s="11"/>
      <c r="T16" s="22">
        <f>((X19/2)^2+(X19/2)*(X21/2)+(X21/2)^2)*X22*3.1415/3+X19^2*3.1415/4*(X20-X22)</f>
        <v>699.78318496100678</v>
      </c>
      <c r="V16" s="23" t="s">
        <v>25</v>
      </c>
      <c r="W16" s="16">
        <v>10</v>
      </c>
      <c r="X16" s="16" t="s">
        <v>26</v>
      </c>
      <c r="Y16" s="13">
        <v>71</v>
      </c>
      <c r="AC16" s="7"/>
    </row>
    <row r="17" spans="1:41" ht="15.75" thickBot="1" x14ac:dyDescent="0.3">
      <c r="V17" s="24" t="s">
        <v>27</v>
      </c>
      <c r="W17" s="25">
        <v>0.2</v>
      </c>
      <c r="X17" s="25" t="s">
        <v>28</v>
      </c>
      <c r="Y17" s="26">
        <v>69</v>
      </c>
      <c r="AC17" s="7"/>
    </row>
    <row r="18" spans="1:41" x14ac:dyDescent="0.25">
      <c r="Q18" t="s">
        <v>29</v>
      </c>
      <c r="T18" s="27">
        <v>1</v>
      </c>
      <c r="V18" s="28"/>
      <c r="W18" s="29"/>
      <c r="X18" s="29"/>
      <c r="Y18" s="30"/>
      <c r="AC18" s="7"/>
    </row>
    <row r="19" spans="1:41" x14ac:dyDescent="0.25">
      <c r="V19" s="15" t="s">
        <v>30</v>
      </c>
      <c r="W19" s="16"/>
      <c r="X19" s="71">
        <v>7.3150000000000004</v>
      </c>
      <c r="Y19" s="13">
        <v>10</v>
      </c>
      <c r="AC19" s="7"/>
    </row>
    <row r="20" spans="1:41" x14ac:dyDescent="0.25">
      <c r="Q20" s="11" t="s">
        <v>31</v>
      </c>
      <c r="R20" s="11"/>
      <c r="S20" s="11"/>
      <c r="T20" s="11">
        <f>(Q12-T18*X19^2*3.1415/4-T14)/T16</f>
        <v>0.3878433993550377</v>
      </c>
      <c r="V20" s="15" t="s">
        <v>32</v>
      </c>
      <c r="W20" s="16"/>
      <c r="X20" s="71">
        <f>14497/1000+X22</f>
        <v>19.661000000000001</v>
      </c>
      <c r="Y20" s="13">
        <v>12</v>
      </c>
      <c r="AC20" s="7"/>
    </row>
    <row r="21" spans="1:41" x14ac:dyDescent="0.25">
      <c r="V21" s="15" t="s">
        <v>33</v>
      </c>
      <c r="W21" s="16"/>
      <c r="X21" s="71">
        <f>60*2.54/100</f>
        <v>1.524</v>
      </c>
      <c r="Y21" s="13">
        <v>14</v>
      </c>
      <c r="AC21" s="7"/>
    </row>
    <row r="22" spans="1:41" x14ac:dyDescent="0.25">
      <c r="S22" s="32" t="s">
        <v>34</v>
      </c>
      <c r="T22" s="14">
        <f>F139/1000</f>
        <v>409.233</v>
      </c>
      <c r="V22" s="15" t="s">
        <v>35</v>
      </c>
      <c r="W22" s="16"/>
      <c r="X22" s="71">
        <v>5.1639999999999997</v>
      </c>
      <c r="Y22" s="13">
        <v>16</v>
      </c>
      <c r="AC22" s="7"/>
    </row>
    <row r="23" spans="1:41" x14ac:dyDescent="0.25">
      <c r="S23" s="32" t="s">
        <v>36</v>
      </c>
      <c r="T23" s="14">
        <f>F140/1000</f>
        <v>65.123999999999995</v>
      </c>
      <c r="V23" s="15" t="s">
        <v>37</v>
      </c>
      <c r="W23" s="16"/>
      <c r="X23" s="72">
        <v>3</v>
      </c>
      <c r="Y23" s="13">
        <v>20</v>
      </c>
    </row>
    <row r="24" spans="1:41" x14ac:dyDescent="0.25">
      <c r="V24" s="15" t="s">
        <v>38</v>
      </c>
      <c r="W24" s="16"/>
      <c r="X24" s="73">
        <f>AA33</f>
        <v>433.46952209150413</v>
      </c>
      <c r="Y24" s="13">
        <v>22</v>
      </c>
    </row>
    <row r="25" spans="1:41" x14ac:dyDescent="0.25">
      <c r="V25" s="15" t="s">
        <v>40</v>
      </c>
      <c r="W25" s="16"/>
      <c r="X25" s="71">
        <v>1.26</v>
      </c>
      <c r="Y25" s="13">
        <v>43</v>
      </c>
    </row>
    <row r="26" spans="1:41" x14ac:dyDescent="0.25">
      <c r="V26" s="15" t="s">
        <v>41</v>
      </c>
      <c r="W26" s="16"/>
      <c r="X26" s="71">
        <v>0.26</v>
      </c>
      <c r="Y26" s="13">
        <v>45</v>
      </c>
    </row>
    <row r="27" spans="1:41" ht="15" customHeight="1" x14ac:dyDescent="0.25">
      <c r="Q27" s="35"/>
      <c r="R27" s="35"/>
      <c r="S27" s="35"/>
      <c r="T27" s="35"/>
      <c r="V27" s="15" t="s">
        <v>92</v>
      </c>
      <c r="W27" s="16"/>
      <c r="X27" s="74">
        <v>0.37</v>
      </c>
      <c r="Y27" s="13">
        <v>47</v>
      </c>
    </row>
    <row r="28" spans="1:41" ht="15" customHeight="1" thickBot="1" x14ac:dyDescent="0.3">
      <c r="Q28" s="75"/>
      <c r="R28" s="35"/>
      <c r="S28" s="35"/>
      <c r="T28" s="35"/>
      <c r="U28" s="35"/>
      <c r="V28" s="36" t="s">
        <v>43</v>
      </c>
      <c r="W28" s="37"/>
      <c r="X28" s="76">
        <v>0.95</v>
      </c>
      <c r="Y28" s="77">
        <v>49</v>
      </c>
      <c r="Z28" s="35"/>
      <c r="AA28" s="39" t="s">
        <v>44</v>
      </c>
      <c r="AB28" s="35"/>
    </row>
    <row r="29" spans="1:41" x14ac:dyDescent="0.25">
      <c r="AA29" s="44">
        <v>40557.722916666666</v>
      </c>
      <c r="AB29" s="44"/>
      <c r="AC29" s="44"/>
      <c r="AD29" s="44"/>
      <c r="AE29" s="44"/>
      <c r="AF29" s="44"/>
      <c r="AH29" s="35"/>
      <c r="AK29" s="35"/>
      <c r="AL29" s="35"/>
      <c r="AM29" s="35"/>
      <c r="AN29" s="35"/>
      <c r="AO29" s="35"/>
    </row>
    <row r="30" spans="1:41" ht="15.75" thickBot="1" x14ac:dyDescent="0.3">
      <c r="AA30" s="45" t="s">
        <v>47</v>
      </c>
      <c r="AB30" s="45"/>
      <c r="AH30" s="46"/>
      <c r="AI30" s="47" t="s">
        <v>48</v>
      </c>
    </row>
    <row r="31" spans="1:41" x14ac:dyDescent="0.25">
      <c r="D31" t="s">
        <v>50</v>
      </c>
      <c r="F31" t="s">
        <v>50</v>
      </c>
      <c r="G31" t="s">
        <v>50</v>
      </c>
      <c r="W31" s="11">
        <f>COUNTA(W32:W132)</f>
        <v>101</v>
      </c>
      <c r="Z31" t="s">
        <v>49</v>
      </c>
      <c r="AA31" s="48" t="s">
        <v>52</v>
      </c>
      <c r="AB31" s="49"/>
      <c r="AC31" s="49"/>
      <c r="AD31" s="50"/>
      <c r="AE31" s="48" t="s">
        <v>53</v>
      </c>
      <c r="AF31" s="49"/>
      <c r="AG31" s="49"/>
      <c r="AH31" s="50"/>
      <c r="AI31" s="47" t="s">
        <v>54</v>
      </c>
    </row>
    <row r="32" spans="1:41" x14ac:dyDescent="0.25">
      <c r="A32" s="51" t="s">
        <v>56</v>
      </c>
      <c r="B32" t="s">
        <v>57</v>
      </c>
      <c r="C32" t="s">
        <v>58</v>
      </c>
      <c r="D32" t="s">
        <v>59</v>
      </c>
      <c r="E32" t="s">
        <v>60</v>
      </c>
      <c r="F32" t="s">
        <v>61</v>
      </c>
      <c r="G32" t="s">
        <v>62</v>
      </c>
      <c r="H32" t="s">
        <v>63</v>
      </c>
      <c r="I32" t="s">
        <v>64</v>
      </c>
      <c r="W32">
        <v>0</v>
      </c>
      <c r="X32" s="14">
        <f>TRUNC(AA33,1)</f>
        <v>433.4</v>
      </c>
      <c r="Z32">
        <v>0</v>
      </c>
      <c r="AA32" s="52" t="s">
        <v>67</v>
      </c>
      <c r="AB32" s="53" t="s">
        <v>68</v>
      </c>
      <c r="AC32" s="53" t="s">
        <v>69</v>
      </c>
      <c r="AD32" s="54" t="s">
        <v>70</v>
      </c>
      <c r="AE32" s="52" t="s">
        <v>67</v>
      </c>
      <c r="AF32" s="53" t="s">
        <v>68</v>
      </c>
      <c r="AG32" s="53" t="s">
        <v>69</v>
      </c>
      <c r="AH32" s="54" t="s">
        <v>70</v>
      </c>
      <c r="AI32" s="55" t="s">
        <v>71</v>
      </c>
    </row>
    <row r="33" spans="1:35" x14ac:dyDescent="0.25">
      <c r="A33" s="7">
        <v>0</v>
      </c>
      <c r="B33" s="7">
        <v>391.41500000000002</v>
      </c>
      <c r="C33" s="7">
        <v>433.4</v>
      </c>
      <c r="D33" s="7">
        <v>433.4</v>
      </c>
      <c r="E33" s="7">
        <v>433.4</v>
      </c>
      <c r="F33" s="14">
        <v>3</v>
      </c>
      <c r="G33" s="14">
        <v>0</v>
      </c>
      <c r="H33" s="7">
        <v>433.4</v>
      </c>
      <c r="I33" s="7">
        <v>433.4</v>
      </c>
      <c r="J33" s="7"/>
      <c r="M33" s="14"/>
      <c r="N33" s="57"/>
      <c r="Q33" s="57"/>
      <c r="R33" s="57"/>
      <c r="W33">
        <f>W32+5</f>
        <v>5</v>
      </c>
      <c r="X33" s="14">
        <f>TRUNC(VLOOKUP(W33,$Z$32:$AA$631,2,FALSE),1)</f>
        <v>433.3</v>
      </c>
      <c r="Z33">
        <v>1</v>
      </c>
      <c r="AA33" s="58">
        <v>433.46952209150413</v>
      </c>
      <c r="AB33" s="59">
        <v>18.50597422563996</v>
      </c>
      <c r="AC33" s="59">
        <v>451.97549631714412</v>
      </c>
      <c r="AD33" s="60">
        <v>414.96354786586414</v>
      </c>
      <c r="AE33" s="61">
        <v>1</v>
      </c>
      <c r="AF33" s="62">
        <v>0</v>
      </c>
      <c r="AG33" s="62">
        <v>1</v>
      </c>
      <c r="AH33" s="63">
        <v>1</v>
      </c>
      <c r="AI33" s="78">
        <v>1.1835515987616383</v>
      </c>
    </row>
    <row r="34" spans="1:35" x14ac:dyDescent="0.25">
      <c r="A34" s="7">
        <v>5</v>
      </c>
      <c r="B34" s="7">
        <v>388.91300000000001</v>
      </c>
      <c r="C34" s="7">
        <v>431.685</v>
      </c>
      <c r="D34" s="7">
        <v>433.11099999999999</v>
      </c>
      <c r="E34" s="7">
        <v>433.363</v>
      </c>
      <c r="F34" s="14">
        <v>3</v>
      </c>
      <c r="G34" s="14">
        <v>0</v>
      </c>
      <c r="H34" s="7">
        <v>417.06099999999998</v>
      </c>
      <c r="I34" s="7">
        <v>426.32600000000002</v>
      </c>
      <c r="J34" s="7"/>
      <c r="M34" s="14"/>
      <c r="N34" s="57"/>
      <c r="Q34" s="57"/>
      <c r="R34" s="57"/>
      <c r="W34">
        <f t="shared" ref="W34:W97" si="1">W33+5</f>
        <v>10</v>
      </c>
      <c r="X34" s="14">
        <f t="shared" ref="X34:X97" si="2">TRUNC(VLOOKUP(W34,$Z$32:$AA$631,2,FALSE),1)</f>
        <v>433</v>
      </c>
      <c r="Z34">
        <v>2</v>
      </c>
      <c r="AA34" s="58">
        <v>433.46597056066162</v>
      </c>
      <c r="AB34" s="59">
        <v>18.482163378369389</v>
      </c>
      <c r="AC34" s="59">
        <v>451.94813393903098</v>
      </c>
      <c r="AD34" s="60">
        <v>414.98380718229225</v>
      </c>
      <c r="AE34" s="61">
        <v>0.99999334379633653</v>
      </c>
      <c r="AF34" s="62">
        <v>5.4612282496008992E-5</v>
      </c>
      <c r="AG34" s="62">
        <v>1.0000479560788325</v>
      </c>
      <c r="AH34" s="63">
        <v>0.9999387315138405</v>
      </c>
      <c r="AI34" s="78">
        <v>0.64164654471213001</v>
      </c>
    </row>
    <row r="35" spans="1:35" x14ac:dyDescent="0.25">
      <c r="A35" s="7">
        <v>10</v>
      </c>
      <c r="B35" s="7">
        <v>388.80099999999999</v>
      </c>
      <c r="C35" s="7">
        <v>430.00299999999999</v>
      </c>
      <c r="D35" s="7">
        <v>432.84</v>
      </c>
      <c r="E35" s="7">
        <v>433.32100000000003</v>
      </c>
      <c r="F35" s="14">
        <v>3</v>
      </c>
      <c r="G35" s="14">
        <v>0</v>
      </c>
      <c r="H35" s="7">
        <v>415.49900000000002</v>
      </c>
      <c r="I35" s="7">
        <v>426.036</v>
      </c>
      <c r="J35" s="7"/>
      <c r="M35" s="14"/>
      <c r="N35" s="57"/>
      <c r="Q35" s="57"/>
      <c r="R35" s="57"/>
      <c r="W35">
        <f t="shared" si="1"/>
        <v>15</v>
      </c>
      <c r="X35" s="14">
        <f t="shared" si="2"/>
        <v>432.4</v>
      </c>
      <c r="Z35">
        <v>3</v>
      </c>
      <c r="AA35" s="58">
        <v>433.4624190298191</v>
      </c>
      <c r="AB35" s="59">
        <v>18.458353414185318</v>
      </c>
      <c r="AC35" s="59">
        <v>451.9207724440044</v>
      </c>
      <c r="AD35" s="60">
        <v>415.00406561563381</v>
      </c>
      <c r="AE35" s="61">
        <v>0.99998668759267295</v>
      </c>
      <c r="AF35" s="62">
        <v>1.0922456499223224E-4</v>
      </c>
      <c r="AG35" s="62">
        <v>1.0000959121576651</v>
      </c>
      <c r="AH35" s="63">
        <v>0.99987746302768077</v>
      </c>
      <c r="AI35" s="78">
        <v>0.10529033440724013</v>
      </c>
    </row>
    <row r="36" spans="1:35" x14ac:dyDescent="0.25">
      <c r="A36" s="7">
        <v>15</v>
      </c>
      <c r="B36" s="7">
        <v>388.69900000000001</v>
      </c>
      <c r="C36" s="7">
        <v>428.33300000000003</v>
      </c>
      <c r="D36" s="7">
        <v>432.56400000000002</v>
      </c>
      <c r="E36" s="7">
        <v>433.279</v>
      </c>
      <c r="F36" s="14">
        <v>3</v>
      </c>
      <c r="G36" s="14">
        <v>0</v>
      </c>
      <c r="H36" s="7">
        <v>413.94900000000001</v>
      </c>
      <c r="I36" s="7">
        <v>425.78100000000001</v>
      </c>
      <c r="J36" s="7"/>
      <c r="M36" s="14"/>
      <c r="N36" s="57"/>
      <c r="Q36" s="57"/>
      <c r="R36" s="57"/>
      <c r="W36">
        <f t="shared" si="1"/>
        <v>20</v>
      </c>
      <c r="X36" s="14">
        <f t="shared" si="2"/>
        <v>431.5</v>
      </c>
      <c r="Z36">
        <v>4</v>
      </c>
      <c r="AA36" s="58">
        <v>433.43304084636287</v>
      </c>
      <c r="AB36" s="59">
        <v>18.393490894338409</v>
      </c>
      <c r="AC36" s="59">
        <v>451.82653174070128</v>
      </c>
      <c r="AD36" s="60">
        <v>415.03954995202446</v>
      </c>
      <c r="AE36" s="61">
        <v>0.99992303027119023</v>
      </c>
      <c r="AF36" s="62">
        <v>2.60519383050528E-4</v>
      </c>
      <c r="AG36" s="62">
        <v>1.0001835496542408</v>
      </c>
      <c r="AH36" s="63">
        <v>0.99966251088813973</v>
      </c>
      <c r="AI36" s="78">
        <v>6.284712813794612E-4</v>
      </c>
    </row>
    <row r="37" spans="1:35" x14ac:dyDescent="0.25">
      <c r="A37" s="7">
        <v>20</v>
      </c>
      <c r="B37" s="7">
        <v>388.6</v>
      </c>
      <c r="C37" s="7">
        <v>426.67399999999998</v>
      </c>
      <c r="D37" s="7">
        <v>432.31200000000001</v>
      </c>
      <c r="E37" s="7">
        <v>433.23700000000002</v>
      </c>
      <c r="F37" s="14">
        <v>3</v>
      </c>
      <c r="G37" s="14">
        <v>0</v>
      </c>
      <c r="H37" s="7">
        <v>412.40899999999999</v>
      </c>
      <c r="I37" s="7">
        <v>425.52100000000002</v>
      </c>
      <c r="J37" s="7"/>
      <c r="M37" s="14"/>
      <c r="N37" s="57"/>
      <c r="Q37" s="57"/>
      <c r="R37" s="57"/>
      <c r="W37">
        <f t="shared" si="1"/>
        <v>25</v>
      </c>
      <c r="X37" s="14">
        <f t="shared" si="2"/>
        <v>430.6</v>
      </c>
      <c r="Z37">
        <v>5</v>
      </c>
      <c r="AA37" s="58">
        <v>433.36374122266125</v>
      </c>
      <c r="AB37" s="59">
        <v>18.265263074762515</v>
      </c>
      <c r="AC37" s="59">
        <v>451.62900429742376</v>
      </c>
      <c r="AD37" s="60">
        <v>415.09847814789873</v>
      </c>
      <c r="AE37" s="61">
        <v>0.99977126371027303</v>
      </c>
      <c r="AF37" s="62">
        <v>5.64048360461625E-4</v>
      </c>
      <c r="AG37" s="62">
        <v>1.0003353120707346</v>
      </c>
      <c r="AH37" s="63">
        <v>0.99920721534981138</v>
      </c>
      <c r="AI37" s="78">
        <v>9.7334125312045208E-4</v>
      </c>
    </row>
    <row r="38" spans="1:35" x14ac:dyDescent="0.25">
      <c r="A38" s="7">
        <v>25</v>
      </c>
      <c r="B38" s="7">
        <v>388.50200000000001</v>
      </c>
      <c r="C38" s="7">
        <v>425.02699999999999</v>
      </c>
      <c r="D38" s="7">
        <v>432.05399999999997</v>
      </c>
      <c r="E38" s="7">
        <v>433.19400000000002</v>
      </c>
      <c r="F38" s="14">
        <v>3</v>
      </c>
      <c r="G38" s="14">
        <v>0</v>
      </c>
      <c r="H38" s="7">
        <v>410.87900000000002</v>
      </c>
      <c r="I38" s="7">
        <v>425.27699999999999</v>
      </c>
      <c r="J38" s="7"/>
      <c r="M38" s="14"/>
      <c r="N38" s="57"/>
      <c r="Q38" s="57"/>
      <c r="R38" s="57"/>
      <c r="W38">
        <f t="shared" si="1"/>
        <v>30</v>
      </c>
      <c r="X38" s="14">
        <f t="shared" si="2"/>
        <v>429.7</v>
      </c>
      <c r="Z38">
        <v>6</v>
      </c>
      <c r="AA38" s="58">
        <v>433.29399108063359</v>
      </c>
      <c r="AB38" s="59">
        <v>18.136456215795686</v>
      </c>
      <c r="AC38" s="59">
        <v>451.43044729642929</v>
      </c>
      <c r="AD38" s="60">
        <v>415.15753486483788</v>
      </c>
      <c r="AE38" s="61">
        <v>0.99961850282583375</v>
      </c>
      <c r="AF38" s="62">
        <v>8.6994816259972053E-4</v>
      </c>
      <c r="AG38" s="62">
        <v>1.0004884509884335</v>
      </c>
      <c r="AH38" s="63">
        <v>0.99874855466323409</v>
      </c>
      <c r="AI38" s="78">
        <v>1.318211224861443E-3</v>
      </c>
    </row>
    <row r="39" spans="1:35" x14ac:dyDescent="0.25">
      <c r="A39" s="7">
        <v>30</v>
      </c>
      <c r="B39" s="7">
        <v>306.58300000000003</v>
      </c>
      <c r="C39" s="7">
        <v>423.33499999999998</v>
      </c>
      <c r="D39" s="7">
        <v>431.80799999999999</v>
      </c>
      <c r="E39" s="7">
        <v>433.15199999999999</v>
      </c>
      <c r="F39" s="14">
        <v>10</v>
      </c>
      <c r="G39" s="14">
        <v>0</v>
      </c>
      <c r="H39" s="7">
        <v>409.358</v>
      </c>
      <c r="I39" s="7">
        <v>425.02800000000002</v>
      </c>
      <c r="J39" s="7"/>
      <c r="M39" s="14"/>
      <c r="N39" s="57"/>
      <c r="Q39" s="57"/>
      <c r="R39" s="57"/>
      <c r="W39">
        <f t="shared" si="1"/>
        <v>35</v>
      </c>
      <c r="X39" s="14">
        <f t="shared" si="2"/>
        <v>428.9</v>
      </c>
      <c r="Z39">
        <v>7</v>
      </c>
      <c r="AA39" s="58">
        <v>433.22424093860587</v>
      </c>
      <c r="AB39" s="59">
        <v>18.007789242430995</v>
      </c>
      <c r="AC39" s="59">
        <v>451.23203018103686</v>
      </c>
      <c r="AD39" s="60">
        <v>415.21645169617489</v>
      </c>
      <c r="AE39" s="61">
        <v>0.99946574194139448</v>
      </c>
      <c r="AF39" s="62">
        <v>1.1759954734714665E-3</v>
      </c>
      <c r="AG39" s="62">
        <v>1.000641737414866</v>
      </c>
      <c r="AH39" s="63">
        <v>0.99828974646792301</v>
      </c>
      <c r="AI39" s="78">
        <v>1.6630811966024341E-3</v>
      </c>
    </row>
    <row r="40" spans="1:35" x14ac:dyDescent="0.25">
      <c r="A40" s="7">
        <v>35</v>
      </c>
      <c r="B40" s="7">
        <v>304.67700000000002</v>
      </c>
      <c r="C40" s="7">
        <v>420.54199999999997</v>
      </c>
      <c r="D40" s="7">
        <v>431.03699999999998</v>
      </c>
      <c r="E40" s="7">
        <v>432.89800000000002</v>
      </c>
      <c r="F40" s="14">
        <v>10</v>
      </c>
      <c r="G40" s="14">
        <v>0</v>
      </c>
      <c r="H40" s="7">
        <v>394.48599999999999</v>
      </c>
      <c r="I40" s="7">
        <v>422.67200000000003</v>
      </c>
      <c r="J40" s="7"/>
      <c r="M40" s="14"/>
      <c r="N40" s="57"/>
      <c r="Q40" s="57"/>
      <c r="R40" s="57"/>
      <c r="W40">
        <f t="shared" si="1"/>
        <v>40</v>
      </c>
      <c r="X40" s="14">
        <f t="shared" si="2"/>
        <v>428</v>
      </c>
      <c r="Z40">
        <v>8</v>
      </c>
      <c r="AA40" s="58">
        <v>433.15449079657827</v>
      </c>
      <c r="AB40" s="59">
        <v>17.879265174701782</v>
      </c>
      <c r="AC40" s="59">
        <v>451.03375597128007</v>
      </c>
      <c r="AD40" s="60">
        <v>415.27522562187647</v>
      </c>
      <c r="AE40" s="61">
        <v>0.99931298105695532</v>
      </c>
      <c r="AF40" s="62">
        <v>1.4820989160590485E-3</v>
      </c>
      <c r="AG40" s="62">
        <v>1.0007950799730143</v>
      </c>
      <c r="AH40" s="63">
        <v>0.99783088214089632</v>
      </c>
      <c r="AI40" s="78">
        <v>2.0079511683434247E-3</v>
      </c>
    </row>
    <row r="41" spans="1:35" x14ac:dyDescent="0.25">
      <c r="A41" s="7">
        <v>40</v>
      </c>
      <c r="B41" s="7">
        <v>304.47699999999998</v>
      </c>
      <c r="C41" s="7">
        <v>417.83600000000001</v>
      </c>
      <c r="D41" s="7">
        <v>430.26499999999999</v>
      </c>
      <c r="E41" s="7">
        <v>432.714</v>
      </c>
      <c r="F41" s="14">
        <v>10</v>
      </c>
      <c r="G41" s="14">
        <v>0</v>
      </c>
      <c r="H41" s="7">
        <v>392.13499999999999</v>
      </c>
      <c r="I41" s="7">
        <v>421.93200000000002</v>
      </c>
      <c r="J41" s="7"/>
      <c r="M41" s="14"/>
      <c r="N41" s="57"/>
      <c r="Q41" s="57"/>
      <c r="R41" s="57"/>
      <c r="W41">
        <f t="shared" si="1"/>
        <v>45</v>
      </c>
      <c r="X41" s="14">
        <f t="shared" si="2"/>
        <v>427.1</v>
      </c>
      <c r="Z41">
        <v>9</v>
      </c>
      <c r="AA41" s="58">
        <v>433.08474065455056</v>
      </c>
      <c r="AB41" s="59">
        <v>17.75088711670335</v>
      </c>
      <c r="AC41" s="59">
        <v>450.83562777125388</v>
      </c>
      <c r="AD41" s="60">
        <v>415.33385353784723</v>
      </c>
      <c r="AE41" s="61">
        <v>0.99916022017251616</v>
      </c>
      <c r="AF41" s="62">
        <v>1.7882296652513778E-3</v>
      </c>
      <c r="AG41" s="62">
        <v>1.0009484498377674</v>
      </c>
      <c r="AH41" s="63">
        <v>0.99737199050726477</v>
      </c>
      <c r="AI41" s="78">
        <v>2.352821140084416E-3</v>
      </c>
    </row>
    <row r="42" spans="1:35" x14ac:dyDescent="0.25">
      <c r="A42" s="7">
        <v>45</v>
      </c>
      <c r="B42" s="7">
        <v>304.29199999999997</v>
      </c>
      <c r="C42" s="7">
        <v>415.16</v>
      </c>
      <c r="D42" s="7">
        <v>429.53100000000001</v>
      </c>
      <c r="E42" s="7">
        <v>432.53800000000001</v>
      </c>
      <c r="F42" s="14">
        <v>10</v>
      </c>
      <c r="G42" s="14">
        <v>0</v>
      </c>
      <c r="H42" s="7">
        <v>389.80900000000003</v>
      </c>
      <c r="I42" s="7">
        <v>421.22899999999998</v>
      </c>
      <c r="J42" s="7"/>
      <c r="M42" s="14"/>
      <c r="N42" s="57"/>
      <c r="Q42" s="57"/>
      <c r="R42" s="57"/>
      <c r="W42">
        <f t="shared" si="1"/>
        <v>50</v>
      </c>
      <c r="X42" s="14">
        <f t="shared" si="2"/>
        <v>426.2</v>
      </c>
      <c r="Z42">
        <v>10</v>
      </c>
      <c r="AA42" s="58">
        <v>433.0149905125229</v>
      </c>
      <c r="AB42" s="59">
        <v>17.622658259403913</v>
      </c>
      <c r="AC42" s="59">
        <v>450.63764877192682</v>
      </c>
      <c r="AD42" s="60">
        <v>415.39233225311898</v>
      </c>
      <c r="AE42" s="61">
        <v>0.99900745928807699</v>
      </c>
      <c r="AF42" s="62">
        <v>2.0943757470257927E-3</v>
      </c>
      <c r="AG42" s="62">
        <v>1.0011018350351029</v>
      </c>
      <c r="AH42" s="63">
        <v>0.99691308354105124</v>
      </c>
      <c r="AI42" s="78">
        <v>2.6976911118254069E-3</v>
      </c>
    </row>
    <row r="43" spans="1:35" x14ac:dyDescent="0.25">
      <c r="A43" s="7">
        <v>50</v>
      </c>
      <c r="B43" s="7">
        <v>304.11399999999998</v>
      </c>
      <c r="C43" s="7">
        <v>412.51400000000001</v>
      </c>
      <c r="D43" s="7">
        <v>428.762</v>
      </c>
      <c r="E43" s="7">
        <v>432.37400000000002</v>
      </c>
      <c r="F43" s="14">
        <v>10</v>
      </c>
      <c r="G43" s="14">
        <v>0</v>
      </c>
      <c r="H43" s="7">
        <v>387.50700000000001</v>
      </c>
      <c r="I43" s="7">
        <v>420.59800000000001</v>
      </c>
      <c r="J43" s="7"/>
      <c r="M43" s="14"/>
      <c r="N43" s="57"/>
      <c r="Q43" s="57"/>
      <c r="R43" s="57"/>
      <c r="W43">
        <f t="shared" si="1"/>
        <v>55</v>
      </c>
      <c r="X43" s="14">
        <f t="shared" si="2"/>
        <v>425.1</v>
      </c>
      <c r="Z43">
        <v>11</v>
      </c>
      <c r="AA43" s="58">
        <v>432.94524037049524</v>
      </c>
      <c r="AB43" s="59">
        <v>17.494581883562596</v>
      </c>
      <c r="AC43" s="59">
        <v>450.43982225405784</v>
      </c>
      <c r="AD43" s="60">
        <v>415.45065848693264</v>
      </c>
      <c r="AE43" s="61">
        <v>0.99885469840363772</v>
      </c>
      <c r="AF43" s="62">
        <v>2.4005312951758035E-3</v>
      </c>
      <c r="AG43" s="62">
        <v>1.0012552296988135</v>
      </c>
      <c r="AH43" s="63">
        <v>0.99645416710846191</v>
      </c>
      <c r="AI43" s="78">
        <v>3.0425610835663978E-3</v>
      </c>
    </row>
    <row r="44" spans="1:35" x14ac:dyDescent="0.25">
      <c r="A44" s="7">
        <v>55</v>
      </c>
      <c r="B44" s="7">
        <v>303.94099999999997</v>
      </c>
      <c r="C44" s="7">
        <v>409.89800000000002</v>
      </c>
      <c r="D44" s="7">
        <v>428.18799999999999</v>
      </c>
      <c r="E44" s="7">
        <v>432.20800000000003</v>
      </c>
      <c r="F44" s="14">
        <v>10</v>
      </c>
      <c r="G44" s="14">
        <v>0</v>
      </c>
      <c r="H44" s="7">
        <v>385.23</v>
      </c>
      <c r="I44" s="7">
        <v>420.05099999999999</v>
      </c>
      <c r="J44" s="7"/>
      <c r="M44" s="14"/>
      <c r="N44" s="57"/>
      <c r="Q44" s="57"/>
      <c r="R44" s="57"/>
      <c r="W44">
        <f t="shared" si="1"/>
        <v>60</v>
      </c>
      <c r="X44" s="14">
        <f t="shared" si="2"/>
        <v>424.1</v>
      </c>
      <c r="Z44">
        <v>12</v>
      </c>
      <c r="AA44" s="58">
        <v>432.8662342035293</v>
      </c>
      <c r="AB44" s="59">
        <v>17.368138624124899</v>
      </c>
      <c r="AC44" s="59">
        <v>450.23437282765423</v>
      </c>
      <c r="AD44" s="60">
        <v>415.49809557940438</v>
      </c>
      <c r="AE44" s="61">
        <v>0.99868046132125132</v>
      </c>
      <c r="AF44" s="62">
        <v>2.6901530170123982E-3</v>
      </c>
      <c r="AG44" s="62">
        <v>1.0013706143382637</v>
      </c>
      <c r="AH44" s="63">
        <v>0.99599030830423896</v>
      </c>
      <c r="AI44" s="78">
        <v>3.3874310553073887E-3</v>
      </c>
    </row>
    <row r="45" spans="1:35" x14ac:dyDescent="0.25">
      <c r="A45" s="7">
        <v>60</v>
      </c>
      <c r="B45" s="7">
        <v>303.77199999999999</v>
      </c>
      <c r="C45" s="7">
        <v>407.31</v>
      </c>
      <c r="D45" s="7">
        <v>427.60599999999999</v>
      </c>
      <c r="E45" s="7">
        <v>432.04500000000002</v>
      </c>
      <c r="F45" s="14">
        <v>10</v>
      </c>
      <c r="G45" s="14">
        <v>0</v>
      </c>
      <c r="H45" s="7">
        <v>382.97699999999998</v>
      </c>
      <c r="I45" s="7">
        <v>419.49200000000002</v>
      </c>
      <c r="J45" s="7"/>
      <c r="M45" s="14"/>
      <c r="N45" s="57"/>
      <c r="Q45" s="57"/>
      <c r="R45" s="57"/>
      <c r="W45">
        <f t="shared" si="1"/>
        <v>65</v>
      </c>
      <c r="X45" s="14">
        <f t="shared" si="2"/>
        <v>423</v>
      </c>
      <c r="Z45">
        <v>13</v>
      </c>
      <c r="AA45" s="58">
        <v>432.72781778374957</v>
      </c>
      <c r="AB45" s="59">
        <v>17.251388466578234</v>
      </c>
      <c r="AC45" s="59">
        <v>449.97920625032782</v>
      </c>
      <c r="AD45" s="60">
        <v>415.47642931717132</v>
      </c>
      <c r="AE45" s="61">
        <v>0.99836837820257784</v>
      </c>
      <c r="AF45" s="62">
        <v>2.885140348640125E-3</v>
      </c>
      <c r="AG45" s="62">
        <v>1.0012535185512179</v>
      </c>
      <c r="AH45" s="63">
        <v>0.99548323785393777</v>
      </c>
      <c r="AI45" s="78">
        <v>3.7323010270483795E-3</v>
      </c>
    </row>
    <row r="46" spans="1:35" x14ac:dyDescent="0.25">
      <c r="A46" s="7">
        <v>65</v>
      </c>
      <c r="B46" s="7">
        <v>303.60500000000002</v>
      </c>
      <c r="C46" s="7">
        <v>404.75</v>
      </c>
      <c r="D46" s="7">
        <v>427.02300000000002</v>
      </c>
      <c r="E46" s="7">
        <v>431.88</v>
      </c>
      <c r="F46" s="14">
        <v>10</v>
      </c>
      <c r="G46" s="14">
        <v>0</v>
      </c>
      <c r="H46" s="7">
        <v>380.74900000000002</v>
      </c>
      <c r="I46" s="7">
        <v>418.93299999999999</v>
      </c>
      <c r="J46" s="7"/>
      <c r="M46" s="14"/>
      <c r="N46" s="57"/>
      <c r="Q46" s="57"/>
      <c r="R46" s="57"/>
      <c r="W46">
        <f t="shared" si="1"/>
        <v>70</v>
      </c>
      <c r="X46" s="14">
        <f t="shared" si="2"/>
        <v>421.9</v>
      </c>
      <c r="Z46">
        <v>14</v>
      </c>
      <c r="AA46" s="58">
        <v>432.57335844195364</v>
      </c>
      <c r="AB46" s="59">
        <v>17.144418575411454</v>
      </c>
      <c r="AC46" s="59">
        <v>449.71777701736511</v>
      </c>
      <c r="AD46" s="60">
        <v>415.42893986654218</v>
      </c>
      <c r="AE46" s="61">
        <v>0.99801862501318972</v>
      </c>
      <c r="AF46" s="62">
        <v>3.0697656150748273E-3</v>
      </c>
      <c r="AG46" s="62">
        <v>1.0010883906282646</v>
      </c>
      <c r="AH46" s="63">
        <v>0.99494885939811484</v>
      </c>
      <c r="AI46" s="78">
        <v>4.4511804528883656E-3</v>
      </c>
    </row>
    <row r="47" spans="1:35" x14ac:dyDescent="0.25">
      <c r="A47" s="7">
        <v>70</v>
      </c>
      <c r="B47" s="7">
        <v>303.43799999999999</v>
      </c>
      <c r="C47" s="7">
        <v>402.21899999999999</v>
      </c>
      <c r="D47" s="7">
        <v>426.43599999999998</v>
      </c>
      <c r="E47" s="7">
        <v>431.71600000000001</v>
      </c>
      <c r="F47" s="14">
        <v>10</v>
      </c>
      <c r="G47" s="14">
        <v>0</v>
      </c>
      <c r="H47" s="7">
        <v>378.54399999999998</v>
      </c>
      <c r="I47" s="7">
        <v>418.37400000000002</v>
      </c>
      <c r="J47" s="7"/>
      <c r="M47" s="14"/>
      <c r="N47" s="57"/>
      <c r="Q47" s="57"/>
      <c r="R47" s="57"/>
      <c r="W47">
        <f t="shared" si="1"/>
        <v>75</v>
      </c>
      <c r="X47" s="14">
        <f t="shared" si="2"/>
        <v>420.7</v>
      </c>
      <c r="Z47">
        <v>15</v>
      </c>
      <c r="AA47" s="58">
        <v>432.40113401488725</v>
      </c>
      <c r="AB47" s="59">
        <v>17.06270109824781</v>
      </c>
      <c r="AC47" s="59">
        <v>449.46383511313508</v>
      </c>
      <c r="AD47" s="60">
        <v>415.33843291663942</v>
      </c>
      <c r="AE47" s="61">
        <v>0.99762620097297872</v>
      </c>
      <c r="AF47" s="62">
        <v>3.2178829323814624E-3</v>
      </c>
      <c r="AG47" s="62">
        <v>1.0008440839053603</v>
      </c>
      <c r="AH47" s="63">
        <v>0.99440831804059726</v>
      </c>
      <c r="AI47" s="78">
        <v>5.7149131575392354E-3</v>
      </c>
    </row>
    <row r="48" spans="1:35" x14ac:dyDescent="0.25">
      <c r="A48" s="7">
        <v>75</v>
      </c>
      <c r="B48" s="7">
        <v>303.27100000000002</v>
      </c>
      <c r="C48" s="7">
        <v>399.69600000000003</v>
      </c>
      <c r="D48" s="7">
        <v>425.86399999999998</v>
      </c>
      <c r="E48" s="7">
        <v>431.55200000000002</v>
      </c>
      <c r="F48" s="14">
        <v>10</v>
      </c>
      <c r="G48" s="14">
        <v>0</v>
      </c>
      <c r="H48" s="7">
        <v>376.34399999999999</v>
      </c>
      <c r="I48" s="7">
        <v>417.82</v>
      </c>
      <c r="J48" s="7"/>
      <c r="M48" s="14"/>
      <c r="N48" s="57"/>
      <c r="Q48" s="57"/>
      <c r="R48" s="57"/>
      <c r="W48">
        <f t="shared" si="1"/>
        <v>80</v>
      </c>
      <c r="X48" s="14">
        <f t="shared" si="2"/>
        <v>418.8</v>
      </c>
      <c r="Z48">
        <v>16</v>
      </c>
      <c r="AA48" s="58">
        <v>432.22754304280011</v>
      </c>
      <c r="AB48" s="59">
        <v>16.983118015662111</v>
      </c>
      <c r="AC48" s="59">
        <v>449.21066105846222</v>
      </c>
      <c r="AD48" s="60">
        <v>415.24442502713799</v>
      </c>
      <c r="AE48" s="61">
        <v>0.99723049455962742</v>
      </c>
      <c r="AF48" s="62">
        <v>3.3706384467875957E-3</v>
      </c>
      <c r="AG48" s="62">
        <v>1.0006011330064151</v>
      </c>
      <c r="AH48" s="63">
        <v>0.99385985611283978</v>
      </c>
      <c r="AI48" s="78">
        <v>6.983263262857994E-3</v>
      </c>
    </row>
    <row r="49" spans="1:35" x14ac:dyDescent="0.25">
      <c r="A49" s="7">
        <v>80</v>
      </c>
      <c r="B49" s="7">
        <v>303.10500000000002</v>
      </c>
      <c r="C49" s="7">
        <v>397.221</v>
      </c>
      <c r="D49" s="7">
        <v>425.29500000000002</v>
      </c>
      <c r="E49" s="7">
        <v>431.38799999999998</v>
      </c>
      <c r="F49" s="14">
        <v>10</v>
      </c>
      <c r="G49" s="14">
        <v>0</v>
      </c>
      <c r="H49" s="7">
        <v>374.18700000000001</v>
      </c>
      <c r="I49" s="7">
        <v>417.274</v>
      </c>
      <c r="J49" s="7"/>
      <c r="M49" s="14"/>
      <c r="N49" s="57"/>
      <c r="Q49" s="57"/>
      <c r="R49" s="57"/>
      <c r="W49">
        <f t="shared" si="1"/>
        <v>85</v>
      </c>
      <c r="X49" s="14">
        <f t="shared" si="2"/>
        <v>415.8</v>
      </c>
      <c r="Z49">
        <v>17</v>
      </c>
      <c r="AA49" s="58">
        <v>432.05395207071291</v>
      </c>
      <c r="AB49" s="59">
        <v>16.903752609506416</v>
      </c>
      <c r="AC49" s="59">
        <v>448.95770468021931</v>
      </c>
      <c r="AD49" s="60">
        <v>415.15019946120651</v>
      </c>
      <c r="AE49" s="61">
        <v>0.99683478814627635</v>
      </c>
      <c r="AF49" s="62">
        <v>3.5308284107592987E-3</v>
      </c>
      <c r="AG49" s="62">
        <v>1.0003656165570356</v>
      </c>
      <c r="AH49" s="63">
        <v>0.99330395973551711</v>
      </c>
      <c r="AI49" s="78">
        <v>8.2516133681767509E-3</v>
      </c>
    </row>
    <row r="50" spans="1:35" x14ac:dyDescent="0.25">
      <c r="A50" s="7">
        <v>85</v>
      </c>
      <c r="B50" s="7">
        <v>302.94099999999997</v>
      </c>
      <c r="C50" s="7">
        <v>394.774</v>
      </c>
      <c r="D50" s="7">
        <v>424.71800000000002</v>
      </c>
      <c r="E50" s="7">
        <v>431.22399999999999</v>
      </c>
      <c r="F50" s="14">
        <v>10</v>
      </c>
      <c r="G50" s="14">
        <v>0</v>
      </c>
      <c r="H50" s="7">
        <v>372.053</v>
      </c>
      <c r="I50" s="7">
        <v>416.72300000000001</v>
      </c>
      <c r="J50" s="7"/>
      <c r="M50" s="14"/>
      <c r="N50" s="57"/>
      <c r="Q50" s="57"/>
      <c r="R50" s="57"/>
      <c r="W50">
        <f t="shared" si="1"/>
        <v>90</v>
      </c>
      <c r="X50" s="14">
        <f t="shared" si="2"/>
        <v>414</v>
      </c>
      <c r="Z50">
        <v>18</v>
      </c>
      <c r="AA50" s="58">
        <v>431.88036109862577</v>
      </c>
      <c r="AB50" s="59">
        <v>16.824607960264977</v>
      </c>
      <c r="AC50" s="59">
        <v>448.70496905889075</v>
      </c>
      <c r="AD50" s="60">
        <v>415.05575313836079</v>
      </c>
      <c r="AE50" s="61">
        <v>0.99643908173292528</v>
      </c>
      <c r="AF50" s="62">
        <v>3.6974866799352984E-3</v>
      </c>
      <c r="AG50" s="62">
        <v>1.0001365684128605</v>
      </c>
      <c r="AH50" s="63">
        <v>0.99274159505298998</v>
      </c>
      <c r="AI50" s="78">
        <v>9.5199634734955095E-3</v>
      </c>
    </row>
    <row r="51" spans="1:35" x14ac:dyDescent="0.25">
      <c r="A51" s="7">
        <v>90</v>
      </c>
      <c r="B51" s="7">
        <v>302.779</v>
      </c>
      <c r="C51" s="7">
        <v>392.35300000000001</v>
      </c>
      <c r="D51" s="7">
        <v>424.13400000000001</v>
      </c>
      <c r="E51" s="7">
        <v>431.06</v>
      </c>
      <c r="F51" s="14">
        <v>10</v>
      </c>
      <c r="G51" s="14">
        <v>0</v>
      </c>
      <c r="H51" s="7">
        <v>369.94299999999998</v>
      </c>
      <c r="I51" s="7">
        <v>416.16500000000002</v>
      </c>
      <c r="J51" s="7"/>
      <c r="M51" s="14"/>
      <c r="N51" s="57"/>
      <c r="Q51" s="57"/>
      <c r="R51" s="57"/>
      <c r="W51">
        <f t="shared" si="1"/>
        <v>95</v>
      </c>
      <c r="X51" s="14">
        <f t="shared" si="2"/>
        <v>412.2</v>
      </c>
      <c r="Z51">
        <v>19</v>
      </c>
      <c r="AA51" s="58">
        <v>431.70677012653852</v>
      </c>
      <c r="AB51" s="59">
        <v>16.745687198008898</v>
      </c>
      <c r="AC51" s="59">
        <v>448.45245732454742</v>
      </c>
      <c r="AD51" s="60">
        <v>414.96108292852961</v>
      </c>
      <c r="AE51" s="61">
        <v>0.99604337531957388</v>
      </c>
      <c r="AF51" s="62">
        <v>3.8697776402763992E-3</v>
      </c>
      <c r="AG51" s="62">
        <v>0.99991315295985028</v>
      </c>
      <c r="AH51" s="63">
        <v>0.99217359767929747</v>
      </c>
      <c r="AI51" s="78">
        <v>1.0788313578814268E-2</v>
      </c>
    </row>
    <row r="52" spans="1:35" x14ac:dyDescent="0.25">
      <c r="A52" s="7">
        <v>95</v>
      </c>
      <c r="B52" s="7">
        <v>302.61799999999999</v>
      </c>
      <c r="C52" s="7">
        <v>389.96</v>
      </c>
      <c r="D52" s="7">
        <v>423.54</v>
      </c>
      <c r="E52" s="7">
        <v>430.89600000000002</v>
      </c>
      <c r="F52" s="14">
        <v>10</v>
      </c>
      <c r="G52" s="14">
        <v>0</v>
      </c>
      <c r="H52" s="7">
        <v>367.85500000000002</v>
      </c>
      <c r="I52" s="7">
        <v>415.596</v>
      </c>
      <c r="J52" s="7"/>
      <c r="M52" s="14"/>
      <c r="N52" s="57"/>
      <c r="Q52" s="57"/>
      <c r="R52" s="57"/>
      <c r="W52">
        <f t="shared" si="1"/>
        <v>100</v>
      </c>
      <c r="X52" s="14">
        <f t="shared" si="2"/>
        <v>410</v>
      </c>
      <c r="Z52">
        <v>20</v>
      </c>
      <c r="AA52" s="58">
        <v>431.53317915445132</v>
      </c>
      <c r="AB52" s="59">
        <v>16.666993503155631</v>
      </c>
      <c r="AC52" s="59">
        <v>448.20017265760697</v>
      </c>
      <c r="AD52" s="60">
        <v>414.86618565129567</v>
      </c>
      <c r="AE52" s="61">
        <v>0.9956476689062228</v>
      </c>
      <c r="AF52" s="62">
        <v>4.0469819590505541E-3</v>
      </c>
      <c r="AG52" s="62">
        <v>0.99969465086527332</v>
      </c>
      <c r="AH52" s="63">
        <v>0.99160068694717229</v>
      </c>
      <c r="AI52" s="78">
        <v>1.2056663684133027E-2</v>
      </c>
    </row>
    <row r="53" spans="1:35" x14ac:dyDescent="0.25">
      <c r="A53" s="7">
        <v>100</v>
      </c>
      <c r="B53" s="7">
        <v>302.45800000000003</v>
      </c>
      <c r="C53" s="7">
        <v>387.59300000000002</v>
      </c>
      <c r="D53" s="7">
        <v>422.94499999999999</v>
      </c>
      <c r="E53" s="7">
        <v>430.73200000000003</v>
      </c>
      <c r="F53" s="14">
        <v>10</v>
      </c>
      <c r="G53" s="14">
        <v>0</v>
      </c>
      <c r="H53" s="7">
        <v>365.78899999999999</v>
      </c>
      <c r="I53" s="7">
        <v>415.02800000000002</v>
      </c>
      <c r="J53" s="7"/>
      <c r="M53" s="14"/>
      <c r="N53" s="57"/>
      <c r="Q53" s="57"/>
      <c r="R53" s="57"/>
      <c r="W53">
        <f t="shared" si="1"/>
        <v>105</v>
      </c>
      <c r="X53" s="14">
        <f t="shared" si="2"/>
        <v>407.9</v>
      </c>
      <c r="Z53">
        <v>21</v>
      </c>
      <c r="AA53" s="58">
        <v>431.35958818236412</v>
      </c>
      <c r="AB53" s="59">
        <v>16.588530107234739</v>
      </c>
      <c r="AC53" s="59">
        <v>447.94811828959888</v>
      </c>
      <c r="AD53" s="60">
        <v>414.77105807512936</v>
      </c>
      <c r="AE53" s="61">
        <v>0.99525196249287162</v>
      </c>
      <c r="AF53" s="62">
        <v>4.2284819644157964E-3</v>
      </c>
      <c r="AG53" s="62">
        <v>0.99948044445728745</v>
      </c>
      <c r="AH53" s="63">
        <v>0.99102348052845579</v>
      </c>
      <c r="AI53" s="78">
        <v>1.3325013789451784E-2</v>
      </c>
    </row>
    <row r="54" spans="1:35" x14ac:dyDescent="0.25">
      <c r="A54" s="7">
        <v>105</v>
      </c>
      <c r="B54" s="7">
        <v>302.29899999999998</v>
      </c>
      <c r="C54" s="7">
        <v>385.25200000000001</v>
      </c>
      <c r="D54" s="7">
        <v>422.35</v>
      </c>
      <c r="E54" s="7">
        <v>430.56700000000001</v>
      </c>
      <c r="F54" s="14">
        <v>10</v>
      </c>
      <c r="G54" s="14">
        <v>0</v>
      </c>
      <c r="H54" s="7">
        <v>363.74599999999998</v>
      </c>
      <c r="I54" s="7">
        <v>414.45600000000002</v>
      </c>
      <c r="J54" s="7"/>
      <c r="M54" s="14"/>
      <c r="N54" s="57"/>
      <c r="Q54" s="57"/>
      <c r="R54" s="57"/>
      <c r="W54">
        <f t="shared" si="1"/>
        <v>110</v>
      </c>
      <c r="X54" s="14">
        <f t="shared" si="2"/>
        <v>406.6</v>
      </c>
      <c r="Z54">
        <v>22</v>
      </c>
      <c r="AA54" s="58">
        <v>431.18599721027687</v>
      </c>
      <c r="AB54" s="59">
        <v>16.510300293658091</v>
      </c>
      <c r="AC54" s="59">
        <v>447.69629750393494</v>
      </c>
      <c r="AD54" s="60">
        <v>414.67569691661879</v>
      </c>
      <c r="AE54" s="61">
        <v>0.99485625607952022</v>
      </c>
      <c r="AF54" s="62">
        <v>4.4137477527276415E-3</v>
      </c>
      <c r="AG54" s="62">
        <v>0.99927000383224784</v>
      </c>
      <c r="AH54" s="63">
        <v>0.99044250832679259</v>
      </c>
      <c r="AI54" s="78">
        <v>1.4593363894770542E-2</v>
      </c>
    </row>
    <row r="55" spans="1:35" x14ac:dyDescent="0.25">
      <c r="A55" s="7">
        <v>110</v>
      </c>
      <c r="B55" s="7">
        <v>302.13900000000001</v>
      </c>
      <c r="C55" s="7">
        <v>382.93700000000001</v>
      </c>
      <c r="D55" s="7">
        <v>421.755</v>
      </c>
      <c r="E55" s="7">
        <v>430.40300000000002</v>
      </c>
      <c r="F55" s="14">
        <v>10</v>
      </c>
      <c r="G55" s="14">
        <v>0</v>
      </c>
      <c r="H55" s="7">
        <v>361.72500000000002</v>
      </c>
      <c r="I55" s="7">
        <v>413.88499999999999</v>
      </c>
      <c r="J55" s="7"/>
      <c r="M55" s="14"/>
      <c r="N55" s="57"/>
      <c r="Q55" s="57"/>
      <c r="R55" s="57"/>
      <c r="W55">
        <f t="shared" si="1"/>
        <v>115</v>
      </c>
      <c r="X55" s="14">
        <f t="shared" si="2"/>
        <v>405.3</v>
      </c>
      <c r="Z55">
        <v>23</v>
      </c>
      <c r="AA55" s="58">
        <v>431.01240623818984</v>
      </c>
      <c r="AB55" s="59">
        <v>16.432307398494803</v>
      </c>
      <c r="AC55" s="59">
        <v>447.44471363668464</v>
      </c>
      <c r="AD55" s="60">
        <v>414.58009883969504</v>
      </c>
      <c r="AE55" s="61">
        <v>0.99446054966616915</v>
      </c>
      <c r="AF55" s="62">
        <v>4.6023245736083055E-3</v>
      </c>
      <c r="AG55" s="62">
        <v>0.99906287423977747</v>
      </c>
      <c r="AH55" s="63">
        <v>0.98985822509256083</v>
      </c>
      <c r="AI55" s="78">
        <v>1.5861714000089303E-2</v>
      </c>
    </row>
    <row r="56" spans="1:35" x14ac:dyDescent="0.25">
      <c r="A56" s="7">
        <v>115</v>
      </c>
      <c r="B56" s="7">
        <v>301.97899999999998</v>
      </c>
      <c r="C56" s="7">
        <v>380.64800000000002</v>
      </c>
      <c r="D56" s="7">
        <v>421.15699999999998</v>
      </c>
      <c r="E56" s="7">
        <v>430.23899999999998</v>
      </c>
      <c r="F56" s="14">
        <v>10</v>
      </c>
      <c r="G56" s="14">
        <v>0</v>
      </c>
      <c r="H56" s="7">
        <v>359.726</v>
      </c>
      <c r="I56" s="7">
        <v>413.31099999999998</v>
      </c>
      <c r="J56" s="7"/>
      <c r="M56" s="14"/>
      <c r="N56" s="57"/>
      <c r="Q56" s="57"/>
      <c r="R56" s="57"/>
      <c r="W56">
        <f t="shared" si="1"/>
        <v>120</v>
      </c>
      <c r="X56" s="14">
        <f t="shared" si="2"/>
        <v>403.5</v>
      </c>
      <c r="Z56">
        <v>24</v>
      </c>
      <c r="AA56" s="58">
        <v>430.83881526610253</v>
      </c>
      <c r="AB56" s="59">
        <v>16.354554811251052</v>
      </c>
      <c r="AC56" s="59">
        <v>447.19337007735356</v>
      </c>
      <c r="AD56" s="60">
        <v>414.48426045485149</v>
      </c>
      <c r="AE56" s="61">
        <v>0.99406484325281796</v>
      </c>
      <c r="AF56" s="62">
        <v>4.7938217000408302E-3</v>
      </c>
      <c r="AG56" s="62">
        <v>0.9988586649528588</v>
      </c>
      <c r="AH56" s="63">
        <v>0.98927102155277713</v>
      </c>
      <c r="AI56" s="78">
        <v>1.7130064105408058E-2</v>
      </c>
    </row>
    <row r="57" spans="1:35" x14ac:dyDescent="0.25">
      <c r="A57" s="7">
        <v>120</v>
      </c>
      <c r="B57" s="7">
        <v>301.82</v>
      </c>
      <c r="C57" s="7">
        <v>378.36399999999998</v>
      </c>
      <c r="D57" s="7">
        <v>420.56400000000002</v>
      </c>
      <c r="E57" s="7">
        <v>430.07499999999999</v>
      </c>
      <c r="F57" s="14">
        <v>10</v>
      </c>
      <c r="G57" s="14">
        <v>0</v>
      </c>
      <c r="H57" s="7">
        <v>357.73</v>
      </c>
      <c r="I57" s="7">
        <v>412.74299999999999</v>
      </c>
      <c r="J57" s="7"/>
      <c r="M57" s="14"/>
      <c r="N57" s="57"/>
      <c r="Q57" s="57"/>
      <c r="R57" s="57"/>
      <c r="W57">
        <f t="shared" si="1"/>
        <v>125</v>
      </c>
      <c r="X57" s="14">
        <f t="shared" si="2"/>
        <v>401.8</v>
      </c>
      <c r="Z57">
        <v>25</v>
      </c>
      <c r="AA57" s="58">
        <v>430.66522429401533</v>
      </c>
      <c r="AB57" s="59">
        <v>16.277045975653266</v>
      </c>
      <c r="AC57" s="59">
        <v>446.9422702696686</v>
      </c>
      <c r="AD57" s="60">
        <v>414.38817831836207</v>
      </c>
      <c r="AE57" s="61">
        <v>0.99366913683946667</v>
      </c>
      <c r="AF57" s="62">
        <v>4.9879027915084384E-3</v>
      </c>
      <c r="AG57" s="62">
        <v>0.99865703963097507</v>
      </c>
      <c r="AH57" s="63">
        <v>0.98868123404795827</v>
      </c>
      <c r="AI57" s="78">
        <v>1.839841421072682E-2</v>
      </c>
    </row>
    <row r="58" spans="1:35" x14ac:dyDescent="0.25">
      <c r="A58" s="7">
        <v>125</v>
      </c>
      <c r="B58" s="7">
        <v>301.66000000000003</v>
      </c>
      <c r="C58" s="7">
        <v>376.12599999999998</v>
      </c>
      <c r="D58" s="7">
        <v>419.988</v>
      </c>
      <c r="E58" s="7">
        <v>429.911</v>
      </c>
      <c r="F58" s="14">
        <v>10</v>
      </c>
      <c r="G58" s="14">
        <v>0</v>
      </c>
      <c r="H58" s="7">
        <v>355.774</v>
      </c>
      <c r="I58" s="7">
        <v>412.18700000000001</v>
      </c>
      <c r="J58" s="7"/>
      <c r="M58" s="14"/>
      <c r="N58" s="57"/>
      <c r="Q58" s="57"/>
      <c r="R58" s="57"/>
      <c r="W58">
        <f t="shared" si="1"/>
        <v>130</v>
      </c>
      <c r="X58" s="14">
        <f t="shared" si="2"/>
        <v>400.1</v>
      </c>
      <c r="Z58">
        <v>26</v>
      </c>
      <c r="AA58" s="58">
        <v>430.49163332192819</v>
      </c>
      <c r="AB58" s="59">
        <v>16.199784390434868</v>
      </c>
      <c r="AC58" s="59">
        <v>446.69141771236303</v>
      </c>
      <c r="AD58" s="60">
        <v>414.29184893149335</v>
      </c>
      <c r="AE58" s="61">
        <v>0.9932734304261156</v>
      </c>
      <c r="AF58" s="62">
        <v>5.1842776524894992E-3</v>
      </c>
      <c r="AG58" s="62">
        <v>0.99845770807860512</v>
      </c>
      <c r="AH58" s="63">
        <v>0.98808915277362608</v>
      </c>
      <c r="AI58" s="78">
        <v>1.9666764316045575E-2</v>
      </c>
    </row>
    <row r="59" spans="1:35" x14ac:dyDescent="0.25">
      <c r="A59" s="7">
        <v>130</v>
      </c>
      <c r="B59" s="7">
        <v>301.50200000000001</v>
      </c>
      <c r="C59" s="7">
        <v>373.91300000000001</v>
      </c>
      <c r="D59" s="7">
        <v>419.41500000000002</v>
      </c>
      <c r="E59" s="7">
        <v>429.74700000000001</v>
      </c>
      <c r="F59" s="14">
        <v>10</v>
      </c>
      <c r="G59" s="14">
        <v>0</v>
      </c>
      <c r="H59" s="7">
        <v>353.84</v>
      </c>
      <c r="I59" s="7">
        <v>411.63600000000002</v>
      </c>
      <c r="J59" s="7"/>
      <c r="M59" s="14"/>
      <c r="N59" s="57"/>
      <c r="Q59" s="57"/>
      <c r="R59" s="57"/>
      <c r="W59">
        <f t="shared" si="1"/>
        <v>135</v>
      </c>
      <c r="X59" s="14">
        <f t="shared" si="2"/>
        <v>398.3</v>
      </c>
      <c r="Z59">
        <v>27</v>
      </c>
      <c r="AA59" s="58">
        <v>430.31804234984094</v>
      </c>
      <c r="AB59" s="59">
        <v>16.122773610125265</v>
      </c>
      <c r="AC59" s="59">
        <v>446.44081595996619</v>
      </c>
      <c r="AD59" s="60">
        <v>414.19526873971569</v>
      </c>
      <c r="AE59" s="61">
        <v>0.99287772401276431</v>
      </c>
      <c r="AF59" s="62">
        <v>5.3826952406279566E-3</v>
      </c>
      <c r="AG59" s="62">
        <v>0.99826041925339226</v>
      </c>
      <c r="AH59" s="63">
        <v>0.98749502877213635</v>
      </c>
      <c r="AI59" s="78">
        <v>0.98181973878501194</v>
      </c>
    </row>
    <row r="60" spans="1:35" x14ac:dyDescent="0.25">
      <c r="A60" s="7">
        <v>135</v>
      </c>
      <c r="B60" s="7">
        <v>240.24199999999999</v>
      </c>
      <c r="C60" s="7">
        <v>372.625</v>
      </c>
      <c r="D60" s="7">
        <v>419.18700000000001</v>
      </c>
      <c r="E60" s="7">
        <v>429.68099999999998</v>
      </c>
      <c r="F60" s="14">
        <v>12.762700000000001</v>
      </c>
      <c r="G60" s="14">
        <v>0.58282400000000001</v>
      </c>
      <c r="H60" s="7">
        <v>112.598</v>
      </c>
      <c r="I60" s="7">
        <v>155.63200000000001</v>
      </c>
      <c r="J60" s="7"/>
      <c r="M60" s="14"/>
      <c r="N60" s="57"/>
      <c r="Q60" s="57"/>
      <c r="R60" s="57"/>
      <c r="W60">
        <f t="shared" si="1"/>
        <v>140</v>
      </c>
      <c r="X60" s="14">
        <f t="shared" si="2"/>
        <v>396.5</v>
      </c>
      <c r="Z60">
        <v>28</v>
      </c>
      <c r="AA60" s="58">
        <v>430.14445137775374</v>
      </c>
      <c r="AB60" s="59">
        <v>16.046017245841831</v>
      </c>
      <c r="AC60" s="59">
        <v>446.19046862359556</v>
      </c>
      <c r="AD60" s="60">
        <v>414.09843413191192</v>
      </c>
      <c r="AE60" s="61">
        <v>0.99248201759941301</v>
      </c>
      <c r="AF60" s="62">
        <v>5.5829377646243522E-3</v>
      </c>
      <c r="AG60" s="62">
        <v>0.99806495536403739</v>
      </c>
      <c r="AH60" s="63">
        <v>0.98689907983478864</v>
      </c>
      <c r="AI60" s="78">
        <v>5.0501140177691424</v>
      </c>
    </row>
    <row r="61" spans="1:35" x14ac:dyDescent="0.25">
      <c r="A61" s="7">
        <v>140</v>
      </c>
      <c r="B61" s="7">
        <v>286.33499999999998</v>
      </c>
      <c r="C61" s="7">
        <v>356.21499999999997</v>
      </c>
      <c r="D61" s="7">
        <v>419.11599999999999</v>
      </c>
      <c r="E61" s="7">
        <v>429.68099999999998</v>
      </c>
      <c r="F61" s="14">
        <v>6.88469</v>
      </c>
      <c r="G61" s="14">
        <v>1.17571</v>
      </c>
      <c r="H61" s="7">
        <v>110.205</v>
      </c>
      <c r="I61" s="7">
        <v>160.17400000000001</v>
      </c>
      <c r="J61" s="7"/>
      <c r="M61" s="14"/>
      <c r="N61" s="57"/>
      <c r="Q61" s="57"/>
      <c r="R61" s="57"/>
      <c r="W61">
        <f t="shared" si="1"/>
        <v>145</v>
      </c>
      <c r="X61" s="14">
        <f t="shared" si="2"/>
        <v>393.4</v>
      </c>
      <c r="Z61">
        <v>29</v>
      </c>
      <c r="AA61" s="58">
        <v>429.97086040566654</v>
      </c>
      <c r="AB61" s="59">
        <v>15.969518966083024</v>
      </c>
      <c r="AC61" s="59">
        <v>445.94037937174954</v>
      </c>
      <c r="AD61" s="60">
        <v>414.00134143958354</v>
      </c>
      <c r="AE61" s="61">
        <v>0.99208631118606183</v>
      </c>
      <c r="AF61" s="62">
        <v>5.7848157160507903E-3</v>
      </c>
      <c r="AG61" s="62">
        <v>0.99787112690211266</v>
      </c>
      <c r="AH61" s="63">
        <v>0.986301495470011</v>
      </c>
      <c r="AI61" s="78">
        <v>6.5810864660474984</v>
      </c>
    </row>
    <row r="62" spans="1:35" x14ac:dyDescent="0.25">
      <c r="A62" s="7">
        <v>145</v>
      </c>
      <c r="B62" s="7">
        <v>246.262</v>
      </c>
      <c r="C62" s="7">
        <v>340.303</v>
      </c>
      <c r="D62" s="7">
        <v>415.81299999999999</v>
      </c>
      <c r="E62" s="7">
        <v>429.673</v>
      </c>
      <c r="F62" s="14">
        <v>10.0283</v>
      </c>
      <c r="G62" s="14">
        <v>1.55955</v>
      </c>
      <c r="H62" s="7">
        <v>107.84399999999999</v>
      </c>
      <c r="I62" s="7">
        <v>156.536</v>
      </c>
      <c r="J62" s="7"/>
      <c r="M62" s="14"/>
      <c r="N62" s="57"/>
      <c r="Q62" s="57"/>
      <c r="R62" s="57"/>
      <c r="W62">
        <f t="shared" si="1"/>
        <v>150</v>
      </c>
      <c r="X62" s="14">
        <f t="shared" si="2"/>
        <v>388.7</v>
      </c>
      <c r="Z62">
        <v>30</v>
      </c>
      <c r="AA62" s="58">
        <v>429.7972694335794</v>
      </c>
      <c r="AB62" s="59">
        <v>15.893282497522209</v>
      </c>
      <c r="AC62" s="59">
        <v>445.6905519311016</v>
      </c>
      <c r="AD62" s="60">
        <v>413.90398693605721</v>
      </c>
      <c r="AE62" s="61">
        <v>0.99169060477271065</v>
      </c>
      <c r="AF62" s="62">
        <v>5.9881636925254106E-3</v>
      </c>
      <c r="AG62" s="62">
        <v>0.99767876846523607</v>
      </c>
      <c r="AH62" s="63">
        <v>0.98570244108018523</v>
      </c>
      <c r="AI62" s="78">
        <v>8.3466189103919373</v>
      </c>
    </row>
    <row r="63" spans="1:35" x14ac:dyDescent="0.25">
      <c r="A63" s="7">
        <v>150</v>
      </c>
      <c r="B63" s="7">
        <v>213.304</v>
      </c>
      <c r="C63" s="7">
        <v>327.82900000000001</v>
      </c>
      <c r="D63" s="7">
        <v>412.28899999999999</v>
      </c>
      <c r="E63" s="7">
        <v>429.673</v>
      </c>
      <c r="F63" s="14">
        <v>17.136800000000001</v>
      </c>
      <c r="G63" s="14">
        <v>1.8346100000000001</v>
      </c>
      <c r="H63" s="7">
        <v>105.959</v>
      </c>
      <c r="I63" s="7">
        <v>275.46600000000001</v>
      </c>
      <c r="J63" s="7"/>
      <c r="M63" s="14"/>
      <c r="N63" s="57"/>
      <c r="Q63" s="57"/>
      <c r="R63" s="57"/>
      <c r="W63">
        <f t="shared" si="1"/>
        <v>155</v>
      </c>
      <c r="X63" s="14">
        <f t="shared" si="2"/>
        <v>381.3</v>
      </c>
      <c r="Z63">
        <v>31</v>
      </c>
      <c r="AA63" s="58">
        <v>429.62367846149215</v>
      </c>
      <c r="AB63" s="59">
        <v>15.817311625802068</v>
      </c>
      <c r="AC63" s="59">
        <v>445.44099008729421</v>
      </c>
      <c r="AD63" s="60">
        <v>413.80636683569008</v>
      </c>
      <c r="AE63" s="61">
        <v>0.99129489835935936</v>
      </c>
      <c r="AF63" s="62">
        <v>6.1928368865249135E-3</v>
      </c>
      <c r="AG63" s="62">
        <v>0.9974877352458843</v>
      </c>
      <c r="AH63" s="63">
        <v>0.98510206147283441</v>
      </c>
      <c r="AI63" s="78">
        <v>11.574247992630546</v>
      </c>
    </row>
    <row r="64" spans="1:35" x14ac:dyDescent="0.25">
      <c r="A64" s="7">
        <v>155</v>
      </c>
      <c r="B64" s="7">
        <v>404.52699999999999</v>
      </c>
      <c r="C64" s="7">
        <v>313.92399999999998</v>
      </c>
      <c r="D64" s="7">
        <v>412.28899999999999</v>
      </c>
      <c r="E64" s="7">
        <v>429.673</v>
      </c>
      <c r="F64" s="14">
        <v>1.4652099999999999</v>
      </c>
      <c r="G64" s="14">
        <v>2.0853199999999998</v>
      </c>
      <c r="H64" s="7">
        <v>104.23099999999999</v>
      </c>
      <c r="I64" s="7">
        <v>153.01900000000001</v>
      </c>
      <c r="J64" s="7"/>
      <c r="M64" s="14"/>
      <c r="N64" s="57"/>
      <c r="Q64" s="57"/>
      <c r="R64" s="57"/>
      <c r="W64">
        <f t="shared" si="1"/>
        <v>160</v>
      </c>
      <c r="X64" s="14">
        <f t="shared" si="2"/>
        <v>372.3</v>
      </c>
      <c r="Z64">
        <v>32</v>
      </c>
      <c r="AA64" s="58">
        <v>429.45008748940489</v>
      </c>
      <c r="AB64" s="59">
        <v>15.741610196328379</v>
      </c>
      <c r="AC64" s="59">
        <v>445.19169768573329</v>
      </c>
      <c r="AD64" s="60">
        <v>413.7084772930765</v>
      </c>
      <c r="AE64" s="61">
        <v>0.99089919194600817</v>
      </c>
      <c r="AF64" s="62">
        <v>6.3987081315323591E-3</v>
      </c>
      <c r="AG64" s="62">
        <v>0.99729790007754049</v>
      </c>
      <c r="AH64" s="63">
        <v>0.98450048381447586</v>
      </c>
      <c r="AI64" s="78">
        <v>14.909938653156122</v>
      </c>
    </row>
    <row r="65" spans="1:35" x14ac:dyDescent="0.25">
      <c r="A65" s="7">
        <v>160</v>
      </c>
      <c r="B65" s="7">
        <v>240.39400000000001</v>
      </c>
      <c r="C65" s="7">
        <v>302.87200000000001</v>
      </c>
      <c r="D65" s="7">
        <v>412.28899999999999</v>
      </c>
      <c r="E65" s="7">
        <v>429.673</v>
      </c>
      <c r="F65" s="14">
        <v>10.9893</v>
      </c>
      <c r="G65" s="14">
        <v>2.3538299999999999</v>
      </c>
      <c r="H65" s="7">
        <v>102.428</v>
      </c>
      <c r="I65" s="7">
        <v>162.36099999999999</v>
      </c>
      <c r="J65" s="7"/>
      <c r="M65" s="14"/>
      <c r="N65" s="57"/>
      <c r="Q65" s="57"/>
      <c r="R65" s="57"/>
      <c r="W65">
        <f t="shared" si="1"/>
        <v>165</v>
      </c>
      <c r="X65" s="14">
        <f t="shared" si="2"/>
        <v>362.7</v>
      </c>
      <c r="Z65">
        <v>33</v>
      </c>
      <c r="AA65" s="58">
        <v>429.27649651731781</v>
      </c>
      <c r="AB65" s="59">
        <v>15.666182115062265</v>
      </c>
      <c r="AC65" s="59">
        <v>444.94267863238008</v>
      </c>
      <c r="AD65" s="60">
        <v>413.61031440225554</v>
      </c>
      <c r="AE65" s="61">
        <v>0.9905034855326571</v>
      </c>
      <c r="AF65" s="62">
        <v>6.6056654136266288E-3</v>
      </c>
      <c r="AG65" s="62">
        <v>0.99710915094628372</v>
      </c>
      <c r="AH65" s="63">
        <v>0.98389782011903049</v>
      </c>
      <c r="AI65" s="78">
        <v>16.075376510620117</v>
      </c>
    </row>
    <row r="66" spans="1:35" x14ac:dyDescent="0.25">
      <c r="A66" s="7">
        <v>165</v>
      </c>
      <c r="B66" s="7">
        <v>251.233</v>
      </c>
      <c r="C66" s="7">
        <v>291.55399999999997</v>
      </c>
      <c r="D66" s="7">
        <v>412.28899999999999</v>
      </c>
      <c r="E66" s="7">
        <v>429.673</v>
      </c>
      <c r="F66" s="14">
        <v>9.0679200000000009</v>
      </c>
      <c r="G66" s="14">
        <v>2.5614599999999998</v>
      </c>
      <c r="H66" s="7">
        <v>100.41</v>
      </c>
      <c r="I66" s="7">
        <v>138.57400000000001</v>
      </c>
      <c r="J66" s="7"/>
      <c r="M66" s="14"/>
      <c r="N66" s="57"/>
      <c r="Q66" s="57"/>
      <c r="R66" s="57"/>
      <c r="W66">
        <f t="shared" si="1"/>
        <v>170</v>
      </c>
      <c r="X66" s="14">
        <f t="shared" si="2"/>
        <v>354.2</v>
      </c>
      <c r="Z66">
        <v>34</v>
      </c>
      <c r="AA66" s="58">
        <v>429.10290554523061</v>
      </c>
      <c r="AB66" s="59">
        <v>15.591031349310116</v>
      </c>
      <c r="AC66" s="59">
        <v>444.69393689454074</v>
      </c>
      <c r="AD66" s="60">
        <v>413.51187419592048</v>
      </c>
      <c r="AE66" s="61">
        <v>0.99010777911930592</v>
      </c>
      <c r="AF66" s="62">
        <v>6.8136097713210383E-3</v>
      </c>
      <c r="AG66" s="62">
        <v>0.99692138889062698</v>
      </c>
      <c r="AH66" s="63">
        <v>0.98329416934798486</v>
      </c>
      <c r="AI66" s="78">
        <v>16.248039103578758</v>
      </c>
    </row>
    <row r="67" spans="1:35" x14ac:dyDescent="0.25">
      <c r="A67" s="7">
        <v>170</v>
      </c>
      <c r="B67" s="7">
        <v>208.827</v>
      </c>
      <c r="C67" s="7">
        <v>281.41500000000002</v>
      </c>
      <c r="D67" s="7">
        <v>412.274</v>
      </c>
      <c r="E67" s="7">
        <v>429.673</v>
      </c>
      <c r="F67" s="14">
        <v>17.052800000000001</v>
      </c>
      <c r="G67" s="14">
        <v>2.7290000000000001</v>
      </c>
      <c r="H67" s="7">
        <v>98.8857</v>
      </c>
      <c r="I67" s="7">
        <v>158.215</v>
      </c>
      <c r="J67" s="7"/>
      <c r="M67" s="14"/>
      <c r="N67" s="57"/>
      <c r="Q67" s="57"/>
      <c r="R67" s="57"/>
      <c r="W67">
        <f t="shared" si="1"/>
        <v>175</v>
      </c>
      <c r="X67" s="14">
        <f t="shared" si="2"/>
        <v>344.3</v>
      </c>
      <c r="Z67">
        <v>35</v>
      </c>
      <c r="AA67" s="58">
        <v>428.92931457314336</v>
      </c>
      <c r="AB67" s="59">
        <v>15.516161928510986</v>
      </c>
      <c r="AC67" s="59">
        <v>444.44547650165435</v>
      </c>
      <c r="AD67" s="60">
        <v>413.41315264463236</v>
      </c>
      <c r="AE67" s="61">
        <v>0.98971207270595452</v>
      </c>
      <c r="AF67" s="62">
        <v>7.0224535192274055E-3</v>
      </c>
      <c r="AG67" s="62">
        <v>0.99673452622518188</v>
      </c>
      <c r="AH67" s="63">
        <v>0.98268961918672715</v>
      </c>
      <c r="AI67" s="78">
        <v>16.784100178309849</v>
      </c>
    </row>
    <row r="68" spans="1:35" x14ac:dyDescent="0.25">
      <c r="A68" s="7">
        <v>175</v>
      </c>
      <c r="B68" s="7">
        <v>289.74</v>
      </c>
      <c r="C68" s="7">
        <v>271.84500000000003</v>
      </c>
      <c r="D68" s="7">
        <v>411.66699999999997</v>
      </c>
      <c r="E68" s="7">
        <v>429.673</v>
      </c>
      <c r="F68" s="14">
        <v>5.76816</v>
      </c>
      <c r="G68" s="14">
        <v>2.9256899999999999</v>
      </c>
      <c r="H68" s="7">
        <v>97.352599999999995</v>
      </c>
      <c r="I68" s="7">
        <v>155.11600000000001</v>
      </c>
      <c r="J68" s="7"/>
      <c r="M68" s="14"/>
      <c r="N68" s="57"/>
      <c r="Q68" s="57"/>
      <c r="R68" s="57"/>
      <c r="W68">
        <f t="shared" si="1"/>
        <v>180</v>
      </c>
      <c r="X68" s="14">
        <f t="shared" si="2"/>
        <v>334.6</v>
      </c>
      <c r="Z68">
        <v>36</v>
      </c>
      <c r="AA68" s="58">
        <v>428.75572360105622</v>
      </c>
      <c r="AB68" s="59">
        <v>15.441577945019219</v>
      </c>
      <c r="AC68" s="59">
        <v>444.19730154607544</v>
      </c>
      <c r="AD68" s="60">
        <v>413.314145656037</v>
      </c>
      <c r="AE68" s="61">
        <v>0.98931636629260344</v>
      </c>
      <c r="AF68" s="62">
        <v>7.2321187420002521E-3</v>
      </c>
      <c r="AG68" s="62">
        <v>0.99654848503460369</v>
      </c>
      <c r="AH68" s="63">
        <v>0.9820842475506032</v>
      </c>
      <c r="AI68" s="78">
        <v>17.601687349591934</v>
      </c>
    </row>
    <row r="69" spans="1:35" x14ac:dyDescent="0.25">
      <c r="A69" s="7">
        <v>180</v>
      </c>
      <c r="B69" s="7">
        <v>232.06200000000001</v>
      </c>
      <c r="C69" s="7">
        <v>261.77600000000001</v>
      </c>
      <c r="D69" s="7">
        <v>411.66699999999997</v>
      </c>
      <c r="E69" s="7">
        <v>429.673</v>
      </c>
      <c r="F69" s="14">
        <v>11.115600000000001</v>
      </c>
      <c r="G69" s="14">
        <v>3.1121799999999999</v>
      </c>
      <c r="H69" s="7">
        <v>95.7517</v>
      </c>
      <c r="I69" s="7">
        <v>124.38</v>
      </c>
      <c r="J69" s="7"/>
      <c r="M69" s="14"/>
      <c r="N69" s="57"/>
      <c r="Q69" s="57"/>
      <c r="R69" s="57"/>
      <c r="W69">
        <f t="shared" si="1"/>
        <v>185</v>
      </c>
      <c r="X69" s="14">
        <f t="shared" si="2"/>
        <v>324.60000000000002</v>
      </c>
      <c r="Z69">
        <v>37</v>
      </c>
      <c r="AA69" s="58">
        <v>428.58213262896896</v>
      </c>
      <c r="AB69" s="59">
        <v>15.367283554882574</v>
      </c>
      <c r="AC69" s="59">
        <v>443.94941618385155</v>
      </c>
      <c r="AD69" s="60">
        <v>413.21484907408637</v>
      </c>
      <c r="AE69" s="61">
        <v>0.98892065987925204</v>
      </c>
      <c r="AF69" s="62">
        <v>7.4425360141475612E-3</v>
      </c>
      <c r="AG69" s="62">
        <v>0.99636319589339961</v>
      </c>
      <c r="AH69" s="63">
        <v>0.98147812386510447</v>
      </c>
      <c r="AI69" s="78">
        <v>18.419274520874026</v>
      </c>
    </row>
    <row r="70" spans="1:35" x14ac:dyDescent="0.25">
      <c r="A70" s="7">
        <v>185</v>
      </c>
      <c r="B70" s="7">
        <v>229.95699999999999</v>
      </c>
      <c r="C70" s="7">
        <v>251.672</v>
      </c>
      <c r="D70" s="7">
        <v>411.66699999999997</v>
      </c>
      <c r="E70" s="7">
        <v>429.673</v>
      </c>
      <c r="F70" s="14">
        <v>11.367800000000001</v>
      </c>
      <c r="G70" s="14">
        <v>3.26641</v>
      </c>
      <c r="H70" s="7">
        <v>94.066299999999998</v>
      </c>
      <c r="I70" s="7">
        <v>164.49</v>
      </c>
      <c r="J70" s="7"/>
      <c r="M70" s="14"/>
      <c r="N70" s="57"/>
      <c r="Q70" s="57"/>
      <c r="R70" s="57"/>
      <c r="W70">
        <f t="shared" si="1"/>
        <v>190</v>
      </c>
      <c r="X70" s="14">
        <f t="shared" si="2"/>
        <v>315.60000000000002</v>
      </c>
      <c r="Z70">
        <v>38</v>
      </c>
      <c r="AA70" s="58">
        <v>428.40854165688182</v>
      </c>
      <c r="AB70" s="59">
        <v>15.2932829786136</v>
      </c>
      <c r="AC70" s="59">
        <v>443.70182463549543</v>
      </c>
      <c r="AD70" s="60">
        <v>413.11525867826822</v>
      </c>
      <c r="AE70" s="61">
        <v>0.98852495346590097</v>
      </c>
      <c r="AF70" s="62">
        <v>7.6536433089207361E-3</v>
      </c>
      <c r="AG70" s="62">
        <v>0.99617859677482168</v>
      </c>
      <c r="AH70" s="63">
        <v>0.98087131015698026</v>
      </c>
      <c r="AI70" s="78">
        <v>19.214652352508292</v>
      </c>
    </row>
    <row r="71" spans="1:35" x14ac:dyDescent="0.25">
      <c r="A71" s="7">
        <v>190</v>
      </c>
      <c r="B71" s="7">
        <v>203.56899999999999</v>
      </c>
      <c r="C71" s="7">
        <v>241.66399999999999</v>
      </c>
      <c r="D71" s="7">
        <v>411.66699999999997</v>
      </c>
      <c r="E71" s="7">
        <v>429.673</v>
      </c>
      <c r="F71" s="14">
        <v>17.9481</v>
      </c>
      <c r="G71" s="14">
        <v>3.4030300000000002</v>
      </c>
      <c r="H71" s="7">
        <v>92.637799999999999</v>
      </c>
      <c r="I71" s="7">
        <v>138.786</v>
      </c>
      <c r="J71" s="7"/>
      <c r="M71" s="14"/>
      <c r="N71" s="57"/>
      <c r="Q71" s="57"/>
      <c r="R71" s="57"/>
      <c r="W71">
        <f t="shared" si="1"/>
        <v>195</v>
      </c>
      <c r="X71" s="14">
        <f t="shared" si="2"/>
        <v>306.8</v>
      </c>
      <c r="Z71">
        <v>39</v>
      </c>
      <c r="AA71" s="58">
        <v>428.23495068479457</v>
      </c>
      <c r="AB71" s="59">
        <v>15.219580501954329</v>
      </c>
      <c r="AC71" s="59">
        <v>443.45453118674891</v>
      </c>
      <c r="AD71" s="60">
        <v>413.01537018284023</v>
      </c>
      <c r="AE71" s="61">
        <v>0.98812924705254979</v>
      </c>
      <c r="AF71" s="62">
        <v>7.8653850657996408E-3</v>
      </c>
      <c r="AG71" s="62">
        <v>0.99599463211834938</v>
      </c>
      <c r="AH71" s="63">
        <v>0.9802638619867502</v>
      </c>
      <c r="AI71" s="78">
        <v>19.906898925293525</v>
      </c>
    </row>
    <row r="72" spans="1:35" x14ac:dyDescent="0.25">
      <c r="A72" s="7">
        <v>195</v>
      </c>
      <c r="B72" s="7">
        <v>205.16900000000001</v>
      </c>
      <c r="C72" s="7">
        <v>233.88300000000001</v>
      </c>
      <c r="D72" s="7">
        <v>411.66300000000001</v>
      </c>
      <c r="E72" s="7">
        <v>429.67</v>
      </c>
      <c r="F72" s="14">
        <v>16.862500000000001</v>
      </c>
      <c r="G72" s="14">
        <v>3.5097299999999998</v>
      </c>
      <c r="H72" s="7">
        <v>91.267300000000006</v>
      </c>
      <c r="I72" s="7">
        <v>162.227</v>
      </c>
      <c r="J72" s="7"/>
      <c r="M72" s="14"/>
      <c r="N72" s="57"/>
      <c r="Q72" s="57"/>
      <c r="R72" s="57"/>
      <c r="W72">
        <f t="shared" si="1"/>
        <v>200</v>
      </c>
      <c r="X72" s="14">
        <f t="shared" si="2"/>
        <v>298.39999999999998</v>
      </c>
      <c r="Z72">
        <v>40</v>
      </c>
      <c r="AA72" s="58">
        <v>428.06135971270737</v>
      </c>
      <c r="AB72" s="59">
        <v>15.146180476632267</v>
      </c>
      <c r="AC72" s="59">
        <v>443.20754018933962</v>
      </c>
      <c r="AD72" s="60">
        <v>412.91517923607512</v>
      </c>
      <c r="AE72" s="61">
        <v>0.98773354063919838</v>
      </c>
      <c r="AF72" s="62">
        <v>8.0777113913056073E-3</v>
      </c>
      <c r="AG72" s="62">
        <v>0.99581125203050402</v>
      </c>
      <c r="AH72" s="63">
        <v>0.97965582924789274</v>
      </c>
      <c r="AI72" s="78">
        <v>20.586158029564981</v>
      </c>
    </row>
    <row r="73" spans="1:35" x14ac:dyDescent="0.25">
      <c r="A73" s="7">
        <v>200</v>
      </c>
      <c r="B73" s="7">
        <v>194.38300000000001</v>
      </c>
      <c r="C73" s="7">
        <v>224.637</v>
      </c>
      <c r="D73" s="7">
        <v>411.61900000000003</v>
      </c>
      <c r="E73" s="7">
        <v>429.64699999999999</v>
      </c>
      <c r="F73" s="14">
        <v>21.771799999999999</v>
      </c>
      <c r="G73" s="14">
        <v>3.6080299999999998</v>
      </c>
      <c r="H73" s="7">
        <v>89.673900000000003</v>
      </c>
      <c r="I73" s="7">
        <v>144.89500000000001</v>
      </c>
      <c r="J73" s="7"/>
      <c r="M73" s="14"/>
      <c r="N73" s="57"/>
      <c r="Q73" s="57"/>
      <c r="R73" s="57"/>
      <c r="W73">
        <f t="shared" si="1"/>
        <v>205</v>
      </c>
      <c r="X73" s="14">
        <f t="shared" si="2"/>
        <v>290.8</v>
      </c>
      <c r="Z73">
        <v>41</v>
      </c>
      <c r="AA73" s="58">
        <v>427.88776874062023</v>
      </c>
      <c r="AB73" s="59">
        <v>15.073087321106087</v>
      </c>
      <c r="AC73" s="59">
        <v>442.9608560617263</v>
      </c>
      <c r="AD73" s="60">
        <v>412.81468141951416</v>
      </c>
      <c r="AE73" s="61">
        <v>0.98733783422584731</v>
      </c>
      <c r="AF73" s="62">
        <v>8.2905773721718163E-3</v>
      </c>
      <c r="AG73" s="62">
        <v>0.99562841159801918</v>
      </c>
      <c r="AH73" s="63">
        <v>0.97904725685367544</v>
      </c>
      <c r="AI73" s="78">
        <v>21.265417133836443</v>
      </c>
    </row>
    <row r="74" spans="1:35" x14ac:dyDescent="0.25">
      <c r="A74" s="7">
        <v>205</v>
      </c>
      <c r="B74" s="7">
        <v>199.35</v>
      </c>
      <c r="C74" s="7">
        <v>216.98</v>
      </c>
      <c r="D74" s="7">
        <v>411.49</v>
      </c>
      <c r="E74" s="7">
        <v>429.64600000000002</v>
      </c>
      <c r="F74" s="14">
        <v>19.184699999999999</v>
      </c>
      <c r="G74" s="14">
        <v>3.68364</v>
      </c>
      <c r="H74" s="7">
        <v>88.138099999999994</v>
      </c>
      <c r="I74" s="7">
        <v>161.316</v>
      </c>
      <c r="J74" s="7"/>
      <c r="M74" s="14"/>
      <c r="N74" s="57"/>
      <c r="Q74" s="57"/>
      <c r="R74" s="57"/>
      <c r="W74">
        <f t="shared" si="1"/>
        <v>210</v>
      </c>
      <c r="X74" s="14">
        <f t="shared" si="2"/>
        <v>283.3</v>
      </c>
      <c r="Z74">
        <v>42</v>
      </c>
      <c r="AA74" s="58">
        <v>427.71417776853303</v>
      </c>
      <c r="AB74" s="59">
        <v>15.000305521301598</v>
      </c>
      <c r="AC74" s="59">
        <v>442.71448328983462</v>
      </c>
      <c r="AD74" s="60">
        <v>412.71387224723145</v>
      </c>
      <c r="AE74" s="61">
        <v>0.98694212781249613</v>
      </c>
      <c r="AF74" s="62">
        <v>8.5039424834318731E-3</v>
      </c>
      <c r="AG74" s="62">
        <v>0.99544607029592802</v>
      </c>
      <c r="AH74" s="63">
        <v>0.97843818532906424</v>
      </c>
      <c r="AI74" s="78">
        <v>21.55999644753804</v>
      </c>
    </row>
    <row r="75" spans="1:35" x14ac:dyDescent="0.25">
      <c r="A75" s="7">
        <v>210</v>
      </c>
      <c r="B75" s="7">
        <v>191.78299999999999</v>
      </c>
      <c r="C75" s="7">
        <v>210.184</v>
      </c>
      <c r="D75" s="7">
        <v>406.91899999999998</v>
      </c>
      <c r="E75" s="7">
        <v>429.64600000000002</v>
      </c>
      <c r="F75" s="14">
        <v>23.461099999999998</v>
      </c>
      <c r="G75" s="14">
        <v>3.7575799999999999</v>
      </c>
      <c r="H75" s="7">
        <v>86.973200000000006</v>
      </c>
      <c r="I75" s="7">
        <v>163.22900000000001</v>
      </c>
      <c r="J75" s="7"/>
      <c r="M75" s="14"/>
      <c r="N75" s="57"/>
      <c r="Q75" s="57"/>
      <c r="R75" s="57"/>
      <c r="W75">
        <f t="shared" si="1"/>
        <v>215</v>
      </c>
      <c r="X75" s="14">
        <f t="shared" si="2"/>
        <v>276.89999999999998</v>
      </c>
      <c r="Z75">
        <v>43</v>
      </c>
      <c r="AA75" s="58">
        <v>427.54058679644578</v>
      </c>
      <c r="AB75" s="59">
        <v>14.927839631333907</v>
      </c>
      <c r="AC75" s="59">
        <v>442.46842642777966</v>
      </c>
      <c r="AD75" s="60">
        <v>412.6127471651119</v>
      </c>
      <c r="AE75" s="61">
        <v>0.98654642139914495</v>
      </c>
      <c r="AF75" s="62">
        <v>8.717770076910606E-3</v>
      </c>
      <c r="AG75" s="62">
        <v>0.9952641914760556</v>
      </c>
      <c r="AH75" s="63">
        <v>0.97782865132223429</v>
      </c>
      <c r="AI75" s="78">
        <v>21.326833238639679</v>
      </c>
    </row>
    <row r="76" spans="1:35" x14ac:dyDescent="0.25">
      <c r="A76" s="7">
        <v>215</v>
      </c>
      <c r="B76" s="7">
        <v>197.227</v>
      </c>
      <c r="C76" s="7">
        <v>203.49600000000001</v>
      </c>
      <c r="D76" s="7">
        <v>406.13799999999998</v>
      </c>
      <c r="E76" s="7">
        <v>429.64600000000002</v>
      </c>
      <c r="F76" s="14">
        <v>19.681100000000001</v>
      </c>
      <c r="G76" s="14">
        <v>3.8212799999999998</v>
      </c>
      <c r="H76" s="7">
        <v>85.793899999999994</v>
      </c>
      <c r="I76" s="7">
        <v>162.708</v>
      </c>
      <c r="J76" s="7"/>
      <c r="M76" s="14"/>
      <c r="N76" s="57"/>
      <c r="Q76" s="57"/>
      <c r="R76" s="57"/>
      <c r="W76">
        <f t="shared" si="1"/>
        <v>220</v>
      </c>
      <c r="X76" s="14">
        <f t="shared" si="2"/>
        <v>271.5</v>
      </c>
      <c r="Z76">
        <v>44</v>
      </c>
      <c r="AA76" s="58">
        <v>427.36699582435864</v>
      </c>
      <c r="AB76" s="59">
        <v>14.855694274216292</v>
      </c>
      <c r="AC76" s="59">
        <v>442.22269009857496</v>
      </c>
      <c r="AD76" s="60">
        <v>412.51130155014232</v>
      </c>
      <c r="AE76" s="61">
        <v>0.98615071498579387</v>
      </c>
      <c r="AF76" s="62">
        <v>8.9320269379940323E-3</v>
      </c>
      <c r="AG76" s="62">
        <v>0.99508274192378787</v>
      </c>
      <c r="AH76" s="63">
        <v>0.97721868804779988</v>
      </c>
      <c r="AI76" s="78">
        <v>21.090490857918425</v>
      </c>
    </row>
    <row r="77" spans="1:35" x14ac:dyDescent="0.25">
      <c r="A77" s="7">
        <v>220</v>
      </c>
      <c r="B77" s="7">
        <v>187.70599999999999</v>
      </c>
      <c r="C77" s="7">
        <v>197.29400000000001</v>
      </c>
      <c r="D77" s="7">
        <v>405.06799999999998</v>
      </c>
      <c r="E77" s="7">
        <v>429.64499999999998</v>
      </c>
      <c r="F77" s="14">
        <v>25.915400000000002</v>
      </c>
      <c r="G77" s="14">
        <v>3.87364</v>
      </c>
      <c r="H77" s="7">
        <v>84.676400000000001</v>
      </c>
      <c r="I77" s="7">
        <v>161.88900000000001</v>
      </c>
      <c r="J77" s="7"/>
      <c r="M77" s="14"/>
      <c r="N77" s="57"/>
      <c r="Q77" s="57"/>
      <c r="R77" s="57"/>
      <c r="W77">
        <f t="shared" si="1"/>
        <v>225</v>
      </c>
      <c r="X77" s="14">
        <f t="shared" si="2"/>
        <v>266</v>
      </c>
      <c r="Z77">
        <v>45</v>
      </c>
      <c r="AA77" s="58">
        <v>427.19340485227144</v>
      </c>
      <c r="AB77" s="59">
        <v>14.78387414255379</v>
      </c>
      <c r="AC77" s="59">
        <v>441.97727899482521</v>
      </c>
      <c r="AD77" s="60">
        <v>412.40953070971767</v>
      </c>
      <c r="AE77" s="61">
        <v>0.98575500857244258</v>
      </c>
      <c r="AF77" s="62">
        <v>9.1466829005402237E-3</v>
      </c>
      <c r="AG77" s="62">
        <v>0.9949016914729828</v>
      </c>
      <c r="AH77" s="63">
        <v>0.97660832567190237</v>
      </c>
      <c r="AI77" s="78">
        <v>20.854148477197167</v>
      </c>
    </row>
    <row r="78" spans="1:35" x14ac:dyDescent="0.25">
      <c r="A78" s="7">
        <v>225</v>
      </c>
      <c r="B78" s="7">
        <v>189.083</v>
      </c>
      <c r="C78" s="7">
        <v>191.33600000000001</v>
      </c>
      <c r="D78" s="7">
        <v>403.23700000000002</v>
      </c>
      <c r="E78" s="7">
        <v>429.64499999999998</v>
      </c>
      <c r="F78" s="14">
        <v>23.538699999999999</v>
      </c>
      <c r="G78" s="14">
        <v>3.9237099999999998</v>
      </c>
      <c r="H78" s="7">
        <v>83.591099999999997</v>
      </c>
      <c r="I78" s="7">
        <v>160.72499999999999</v>
      </c>
      <c r="J78" s="7"/>
      <c r="M78" s="14"/>
      <c r="N78" s="57"/>
      <c r="Q78" s="57"/>
      <c r="R78" s="57"/>
      <c r="W78">
        <f t="shared" si="1"/>
        <v>230</v>
      </c>
      <c r="X78" s="14">
        <f t="shared" si="2"/>
        <v>260.89999999999998</v>
      </c>
      <c r="Z78">
        <v>46</v>
      </c>
      <c r="AA78" s="58">
        <v>427.01981388018424</v>
      </c>
      <c r="AB78" s="59">
        <v>14.712383999219442</v>
      </c>
      <c r="AC78" s="59">
        <v>441.73219787940371</v>
      </c>
      <c r="AD78" s="60">
        <v>412.30742988096478</v>
      </c>
      <c r="AE78" s="61">
        <v>0.9853593021590914</v>
      </c>
      <c r="AF78" s="62">
        <v>9.3617105114305824E-3</v>
      </c>
      <c r="AG78" s="62">
        <v>0.99472101267052193</v>
      </c>
      <c r="AH78" s="63">
        <v>0.97599759164766087</v>
      </c>
      <c r="AI78" s="78">
        <v>20.450823184482392</v>
      </c>
    </row>
    <row r="79" spans="1:35" x14ac:dyDescent="0.25">
      <c r="A79" s="7">
        <v>230</v>
      </c>
      <c r="B79" s="7">
        <v>185.71299999999999</v>
      </c>
      <c r="C79" s="7">
        <v>185.666</v>
      </c>
      <c r="D79" s="7">
        <v>400.39100000000002</v>
      </c>
      <c r="E79" s="7">
        <v>429.64499999999998</v>
      </c>
      <c r="F79" s="14">
        <v>25.666499999999999</v>
      </c>
      <c r="G79" s="14">
        <v>3.9773000000000001</v>
      </c>
      <c r="H79" s="7">
        <v>82.543800000000005</v>
      </c>
      <c r="I79" s="7">
        <v>159.517</v>
      </c>
      <c r="J79" s="7"/>
      <c r="M79" s="14"/>
      <c r="N79" s="57"/>
      <c r="Q79" s="57"/>
      <c r="R79" s="57"/>
      <c r="W79">
        <f t="shared" si="1"/>
        <v>235</v>
      </c>
      <c r="X79" s="14">
        <f t="shared" si="2"/>
        <v>256.5</v>
      </c>
      <c r="Z79">
        <v>47</v>
      </c>
      <c r="AA79" s="58">
        <v>426.8462229080971</v>
      </c>
      <c r="AB79" s="59">
        <v>14.641228678011768</v>
      </c>
      <c r="AC79" s="59">
        <v>441.48745158610888</v>
      </c>
      <c r="AD79" s="60">
        <v>412.20499423008533</v>
      </c>
      <c r="AE79" s="61">
        <v>0.98496359574574022</v>
      </c>
      <c r="AF79" s="62">
        <v>9.5770847376138567E-3</v>
      </c>
      <c r="AG79" s="62">
        <v>0.99454068048335409</v>
      </c>
      <c r="AH79" s="63">
        <v>0.97538651100812634</v>
      </c>
      <c r="AI79" s="78">
        <v>19.615550359090168</v>
      </c>
    </row>
    <row r="80" spans="1:35" x14ac:dyDescent="0.25">
      <c r="A80" s="7">
        <v>235</v>
      </c>
      <c r="B80" s="7">
        <v>419.79300000000001</v>
      </c>
      <c r="C80" s="7">
        <v>180.15600000000001</v>
      </c>
      <c r="D80" s="7">
        <v>398.44</v>
      </c>
      <c r="E80" s="7">
        <v>429.60500000000002</v>
      </c>
      <c r="F80" s="14">
        <v>0.756938</v>
      </c>
      <c r="G80" s="14">
        <v>4.1092500000000003</v>
      </c>
      <c r="H80" s="7">
        <v>81.519000000000005</v>
      </c>
      <c r="I80" s="7">
        <v>155.38200000000001</v>
      </c>
      <c r="J80" s="7"/>
      <c r="M80" s="14"/>
      <c r="N80" s="57"/>
      <c r="Q80" s="57"/>
      <c r="R80" s="57"/>
      <c r="W80">
        <f t="shared" si="1"/>
        <v>240</v>
      </c>
      <c r="X80" s="14">
        <f t="shared" si="2"/>
        <v>252.2</v>
      </c>
      <c r="Z80">
        <v>48</v>
      </c>
      <c r="AA80" s="58">
        <v>426.66949391311255</v>
      </c>
      <c r="AB80" s="59">
        <v>14.565191604716977</v>
      </c>
      <c r="AC80" s="59">
        <v>441.23468551782952</v>
      </c>
      <c r="AD80" s="60">
        <v>412.10430230839557</v>
      </c>
      <c r="AE80" s="61">
        <v>0.98456096350984568</v>
      </c>
      <c r="AF80" s="62">
        <v>9.8004256243681646E-3</v>
      </c>
      <c r="AG80" s="62">
        <v>0.99436138913421379</v>
      </c>
      <c r="AH80" s="63">
        <v>0.97476053788547756</v>
      </c>
      <c r="AI80" s="78">
        <v>18.758197148640949</v>
      </c>
    </row>
    <row r="81" spans="1:35" x14ac:dyDescent="0.25">
      <c r="A81" s="7">
        <v>240</v>
      </c>
      <c r="B81" s="7">
        <v>207.482</v>
      </c>
      <c r="C81" s="7">
        <v>174.96299999999999</v>
      </c>
      <c r="D81" s="7">
        <v>398.44</v>
      </c>
      <c r="E81" s="7">
        <v>429.60500000000002</v>
      </c>
      <c r="F81" s="14">
        <v>16.0245</v>
      </c>
      <c r="G81" s="14">
        <v>4.26736</v>
      </c>
      <c r="H81" s="7">
        <v>80.534199999999998</v>
      </c>
      <c r="I81" s="7">
        <v>169.803</v>
      </c>
      <c r="J81" s="7"/>
      <c r="M81" s="14"/>
      <c r="N81" s="57"/>
      <c r="Q81" s="57"/>
      <c r="R81" s="57"/>
      <c r="W81">
        <f t="shared" si="1"/>
        <v>245</v>
      </c>
      <c r="X81" s="14">
        <f t="shared" si="2"/>
        <v>247.5</v>
      </c>
      <c r="Z81">
        <v>49</v>
      </c>
      <c r="AA81" s="58">
        <v>426.46373820632766</v>
      </c>
      <c r="AB81" s="59">
        <v>14.441127046574186</v>
      </c>
      <c r="AC81" s="59">
        <v>440.90486525290186</v>
      </c>
      <c r="AD81" s="60">
        <v>412.02261115975347</v>
      </c>
      <c r="AE81" s="61">
        <v>0.98409426741542549</v>
      </c>
      <c r="AF81" s="62">
        <v>1.009469104008612E-2</v>
      </c>
      <c r="AG81" s="62">
        <v>0.99418895845551158</v>
      </c>
      <c r="AH81" s="63">
        <v>0.9739995763753394</v>
      </c>
      <c r="AI81" s="78">
        <v>17.900843938191731</v>
      </c>
    </row>
    <row r="82" spans="1:35" x14ac:dyDescent="0.25">
      <c r="A82" s="7">
        <v>245</v>
      </c>
      <c r="B82" s="7">
        <v>381.25299999999999</v>
      </c>
      <c r="C82" s="7">
        <v>169.47399999999999</v>
      </c>
      <c r="D82" s="7">
        <v>398.44</v>
      </c>
      <c r="E82" s="7">
        <v>429.60500000000002</v>
      </c>
      <c r="F82" s="14">
        <v>1.52413</v>
      </c>
      <c r="G82" s="14">
        <v>4.3911699999999998</v>
      </c>
      <c r="H82" s="7">
        <v>79.498999999999995</v>
      </c>
      <c r="I82" s="7">
        <v>123.358</v>
      </c>
      <c r="J82" s="7"/>
      <c r="M82" s="14"/>
      <c r="N82" s="57"/>
      <c r="Q82" s="57"/>
      <c r="R82" s="57"/>
      <c r="W82">
        <f t="shared" si="1"/>
        <v>250</v>
      </c>
      <c r="X82" s="14">
        <f t="shared" si="2"/>
        <v>242.5</v>
      </c>
      <c r="Z82">
        <v>50</v>
      </c>
      <c r="AA82" s="58">
        <v>426.25092194802374</v>
      </c>
      <c r="AB82" s="59">
        <v>14.305504919233391</v>
      </c>
      <c r="AC82" s="59">
        <v>440.55642686725713</v>
      </c>
      <c r="AD82" s="60">
        <v>411.94541702879036</v>
      </c>
      <c r="AE82" s="61">
        <v>0.98361198822028284</v>
      </c>
      <c r="AF82" s="62">
        <v>1.0406493481769311E-2</v>
      </c>
      <c r="AG82" s="62">
        <v>0.9940184817020522</v>
      </c>
      <c r="AH82" s="63">
        <v>0.97320549473851348</v>
      </c>
      <c r="AI82" s="78">
        <v>17.043490727742515</v>
      </c>
    </row>
    <row r="83" spans="1:35" x14ac:dyDescent="0.25">
      <c r="A83" s="7">
        <v>250</v>
      </c>
      <c r="B83" s="7">
        <v>199.61099999999999</v>
      </c>
      <c r="C83" s="7">
        <v>164.09800000000001</v>
      </c>
      <c r="D83" s="7">
        <v>398.44</v>
      </c>
      <c r="E83" s="7">
        <v>429.60500000000002</v>
      </c>
      <c r="F83" s="14">
        <v>18.32</v>
      </c>
      <c r="G83" s="14">
        <v>4.5067700000000004</v>
      </c>
      <c r="H83" s="7">
        <v>78.569999999999993</v>
      </c>
      <c r="I83" s="7">
        <v>169.14400000000001</v>
      </c>
      <c r="J83" s="7"/>
      <c r="M83" s="14"/>
      <c r="N83" s="57"/>
      <c r="Q83" s="57"/>
      <c r="R83" s="57"/>
      <c r="W83">
        <f t="shared" si="1"/>
        <v>255</v>
      </c>
      <c r="X83" s="14">
        <f t="shared" si="2"/>
        <v>237.7</v>
      </c>
      <c r="Z83">
        <v>51</v>
      </c>
      <c r="AA83" s="58">
        <v>426.03810568972</v>
      </c>
      <c r="AB83" s="59">
        <v>14.170079255081157</v>
      </c>
      <c r="AC83" s="59">
        <v>440.20818494480113</v>
      </c>
      <c r="AD83" s="60">
        <v>411.86802643463886</v>
      </c>
      <c r="AE83" s="61">
        <v>0.98312970902514041</v>
      </c>
      <c r="AF83" s="62">
        <v>1.0718617894456663E-2</v>
      </c>
      <c r="AG83" s="62">
        <v>0.99384832691959712</v>
      </c>
      <c r="AH83" s="63">
        <v>0.97241109113068369</v>
      </c>
      <c r="AI83" s="78">
        <v>16.186137517293297</v>
      </c>
    </row>
    <row r="84" spans="1:35" x14ac:dyDescent="0.25">
      <c r="A84" s="7">
        <v>255</v>
      </c>
      <c r="B84" s="7">
        <v>414.90499999999997</v>
      </c>
      <c r="C84" s="7">
        <v>159.179</v>
      </c>
      <c r="D84" s="7">
        <v>398.43700000000001</v>
      </c>
      <c r="E84" s="7">
        <v>429.60500000000002</v>
      </c>
      <c r="F84" s="14">
        <v>3.8047499999999999</v>
      </c>
      <c r="G84" s="14">
        <v>4.6124700000000001</v>
      </c>
      <c r="H84" s="7">
        <v>77.455600000000004</v>
      </c>
      <c r="I84" s="7">
        <v>128.62799999999999</v>
      </c>
      <c r="J84" s="7"/>
      <c r="M84" s="14"/>
      <c r="N84" s="57"/>
      <c r="Q84" s="57"/>
      <c r="R84" s="57"/>
      <c r="W84">
        <f t="shared" si="1"/>
        <v>260</v>
      </c>
      <c r="X84" s="14">
        <f t="shared" si="2"/>
        <v>233.1</v>
      </c>
      <c r="Z84">
        <v>52</v>
      </c>
      <c r="AA84" s="58">
        <v>425.82528943141614</v>
      </c>
      <c r="AB84" s="59">
        <v>14.034855741278969</v>
      </c>
      <c r="AC84" s="59">
        <v>439.86014517269513</v>
      </c>
      <c r="AD84" s="60">
        <v>411.79043369013715</v>
      </c>
      <c r="AE84" s="61">
        <v>0.98264742982999786</v>
      </c>
      <c r="AF84" s="62">
        <v>1.1031036947566185E-2</v>
      </c>
      <c r="AG84" s="62">
        <v>0.993678466777564</v>
      </c>
      <c r="AH84" s="63">
        <v>0.97161639288243173</v>
      </c>
      <c r="AI84" s="78">
        <v>15.451828021694114</v>
      </c>
    </row>
    <row r="85" spans="1:35" x14ac:dyDescent="0.25">
      <c r="A85" s="7">
        <v>260</v>
      </c>
      <c r="B85" s="7">
        <v>189.11</v>
      </c>
      <c r="C85" s="7">
        <v>154.833</v>
      </c>
      <c r="D85" s="7">
        <v>398.42500000000001</v>
      </c>
      <c r="E85" s="7">
        <v>429.60500000000002</v>
      </c>
      <c r="F85" s="14">
        <v>22.121500000000001</v>
      </c>
      <c r="G85" s="14">
        <v>4.7106399999999997</v>
      </c>
      <c r="H85" s="7">
        <v>76.617500000000007</v>
      </c>
      <c r="I85" s="7">
        <v>169.25399999999999</v>
      </c>
      <c r="J85" s="7"/>
      <c r="M85" s="14"/>
      <c r="N85" s="57"/>
      <c r="Q85" s="57"/>
      <c r="R85" s="57"/>
      <c r="W85">
        <f t="shared" si="1"/>
        <v>265</v>
      </c>
      <c r="X85" s="14">
        <f t="shared" si="2"/>
        <v>228</v>
      </c>
      <c r="Z85">
        <v>53</v>
      </c>
      <c r="AA85" s="58">
        <v>425.61247317311228</v>
      </c>
      <c r="AB85" s="59">
        <v>13.899840277639843</v>
      </c>
      <c r="AC85" s="59">
        <v>439.51231345075212</v>
      </c>
      <c r="AD85" s="60">
        <v>411.71263289547244</v>
      </c>
      <c r="AE85" s="61">
        <v>0.98216515063485532</v>
      </c>
      <c r="AF85" s="62">
        <v>1.1343726296932427E-2</v>
      </c>
      <c r="AG85" s="62">
        <v>0.9935088769317878</v>
      </c>
      <c r="AH85" s="63">
        <v>0.97082142433792284</v>
      </c>
      <c r="AI85" s="78">
        <v>15.254893117480808</v>
      </c>
    </row>
    <row r="86" spans="1:35" x14ac:dyDescent="0.25">
      <c r="A86" s="7">
        <v>265</v>
      </c>
      <c r="B86" s="7">
        <v>291.86599999999999</v>
      </c>
      <c r="C86" s="7">
        <v>150.286</v>
      </c>
      <c r="D86" s="7">
        <v>398.39699999999999</v>
      </c>
      <c r="E86" s="7">
        <v>429.60500000000002</v>
      </c>
      <c r="F86" s="14">
        <v>4.4442899999999996</v>
      </c>
      <c r="G86" s="14">
        <v>4.80192</v>
      </c>
      <c r="H86" s="7">
        <v>75.7209</v>
      </c>
      <c r="I86" s="7">
        <v>132.00399999999999</v>
      </c>
      <c r="J86" s="7"/>
      <c r="M86" s="14"/>
      <c r="N86" s="57"/>
      <c r="Q86" s="57"/>
      <c r="R86" s="57"/>
      <c r="W86">
        <f t="shared" si="1"/>
        <v>270</v>
      </c>
      <c r="X86" s="14">
        <f t="shared" si="2"/>
        <v>223</v>
      </c>
      <c r="Z86">
        <v>54</v>
      </c>
      <c r="AA86" s="58">
        <v>425.39965691480847</v>
      </c>
      <c r="AB86" s="59">
        <v>13.765038986194099</v>
      </c>
      <c r="AC86" s="59">
        <v>439.16469590100257</v>
      </c>
      <c r="AD86" s="60">
        <v>411.63461792861438</v>
      </c>
      <c r="AE86" s="61">
        <v>0.98168287143971289</v>
      </c>
      <c r="AF86" s="62">
        <v>1.1656664190531027E-2</v>
      </c>
      <c r="AG86" s="62">
        <v>0.99333953563024391</v>
      </c>
      <c r="AH86" s="63">
        <v>0.97002620724918187</v>
      </c>
      <c r="AI86" s="78">
        <v>15.120735618803236</v>
      </c>
    </row>
    <row r="87" spans="1:35" x14ac:dyDescent="0.25">
      <c r="A87" s="7">
        <v>270</v>
      </c>
      <c r="B87" s="7">
        <v>181.16399999999999</v>
      </c>
      <c r="C87" s="7">
        <v>145.893</v>
      </c>
      <c r="D87" s="7">
        <v>397.81900000000002</v>
      </c>
      <c r="E87" s="7">
        <v>429.60500000000002</v>
      </c>
      <c r="F87" s="14">
        <v>30.162700000000001</v>
      </c>
      <c r="G87" s="14">
        <v>4.9220199999999998</v>
      </c>
      <c r="H87" s="7">
        <v>74.722899999999996</v>
      </c>
      <c r="I87" s="7">
        <v>169.13499999999999</v>
      </c>
      <c r="J87" s="7"/>
      <c r="M87" s="14"/>
      <c r="N87" s="57"/>
      <c r="Q87" s="57"/>
      <c r="R87" s="57"/>
      <c r="W87">
        <f t="shared" si="1"/>
        <v>275</v>
      </c>
      <c r="X87" s="14">
        <f t="shared" si="2"/>
        <v>217.9</v>
      </c>
      <c r="Z87">
        <v>55</v>
      </c>
      <c r="AA87" s="58">
        <v>425.18684065650456</v>
      </c>
      <c r="AB87" s="59">
        <v>13.630458221246535</v>
      </c>
      <c r="AC87" s="59">
        <v>438.81729887775111</v>
      </c>
      <c r="AD87" s="60">
        <v>411.556382435258</v>
      </c>
      <c r="AE87" s="61">
        <v>0.98120059224457024</v>
      </c>
      <c r="AF87" s="62">
        <v>1.1969831134642029E-2</v>
      </c>
      <c r="AG87" s="62">
        <v>0.99317042337921224</v>
      </c>
      <c r="AH87" s="63">
        <v>0.96923076110992823</v>
      </c>
      <c r="AI87" s="78">
        <v>14.986578120125664</v>
      </c>
    </row>
    <row r="88" spans="1:35" x14ac:dyDescent="0.25">
      <c r="A88" s="7">
        <v>275</v>
      </c>
      <c r="B88" s="7">
        <v>252.673</v>
      </c>
      <c r="C88" s="7">
        <v>142.072</v>
      </c>
      <c r="D88" s="7">
        <v>396.40800000000002</v>
      </c>
      <c r="E88" s="7">
        <v>429.60500000000002</v>
      </c>
      <c r="F88" s="14">
        <v>6.98604</v>
      </c>
      <c r="G88" s="14">
        <v>5.0400600000000004</v>
      </c>
      <c r="H88" s="7">
        <v>73.9345</v>
      </c>
      <c r="I88" s="7">
        <v>132.26400000000001</v>
      </c>
      <c r="J88" s="7"/>
      <c r="M88" s="14"/>
      <c r="N88" s="57"/>
      <c r="Q88" s="57"/>
      <c r="R88" s="57"/>
      <c r="W88">
        <f t="shared" si="1"/>
        <v>280</v>
      </c>
      <c r="X88" s="14">
        <f t="shared" si="2"/>
        <v>213.5</v>
      </c>
      <c r="Z88">
        <v>56</v>
      </c>
      <c r="AA88" s="58">
        <v>424.9740243982007</v>
      </c>
      <c r="AB88" s="59">
        <v>13.496104579952229</v>
      </c>
      <c r="AC88" s="59">
        <v>438.4701289781529</v>
      </c>
      <c r="AD88" s="60">
        <v>411.47791981824849</v>
      </c>
      <c r="AE88" s="61">
        <v>0.98071831304942769</v>
      </c>
      <c r="AF88" s="62">
        <v>1.2283209609984873E-2</v>
      </c>
      <c r="AG88" s="62">
        <v>0.99300152265941255</v>
      </c>
      <c r="AH88" s="63">
        <v>0.96843510343944283</v>
      </c>
      <c r="AI88" s="78">
        <v>14.852420621448093</v>
      </c>
    </row>
    <row r="89" spans="1:35" x14ac:dyDescent="0.25">
      <c r="A89" s="7">
        <v>280</v>
      </c>
      <c r="B89" s="7">
        <v>180.62799999999999</v>
      </c>
      <c r="C89" s="7">
        <v>137.46600000000001</v>
      </c>
      <c r="D89" s="7">
        <v>381.83699999999999</v>
      </c>
      <c r="E89" s="7">
        <v>429.60500000000002</v>
      </c>
      <c r="F89" s="14">
        <v>29.779599999999999</v>
      </c>
      <c r="G89" s="14">
        <v>5.1644300000000003</v>
      </c>
      <c r="H89" s="7">
        <v>72.976799999999997</v>
      </c>
      <c r="I89" s="7">
        <v>129.55799999999999</v>
      </c>
      <c r="J89" s="7"/>
      <c r="M89" s="14"/>
      <c r="N89" s="57"/>
      <c r="Q89" s="57"/>
      <c r="R89" s="57"/>
      <c r="W89">
        <f t="shared" si="1"/>
        <v>285</v>
      </c>
      <c r="X89" s="14">
        <f t="shared" si="2"/>
        <v>208.5</v>
      </c>
      <c r="Z89">
        <v>57</v>
      </c>
      <c r="AA89" s="58">
        <v>424.76120813989684</v>
      </c>
      <c r="AB89" s="59">
        <v>13.361984913441043</v>
      </c>
      <c r="AC89" s="59">
        <v>438.1231930533379</v>
      </c>
      <c r="AD89" s="60">
        <v>411.39922322645577</v>
      </c>
      <c r="AE89" s="61">
        <v>0.98023603385428526</v>
      </c>
      <c r="AF89" s="62">
        <v>1.2596783829364921E-2</v>
      </c>
      <c r="AG89" s="62">
        <v>0.99283281768365017</v>
      </c>
      <c r="AH89" s="63">
        <v>0.96763925002492035</v>
      </c>
      <c r="AI89" s="78">
        <v>14.718263122770521</v>
      </c>
    </row>
    <row r="90" spans="1:35" x14ac:dyDescent="0.25">
      <c r="A90" s="7">
        <v>285</v>
      </c>
      <c r="B90" s="7">
        <v>238.35599999999999</v>
      </c>
      <c r="C90" s="7">
        <v>133.86199999999999</v>
      </c>
      <c r="D90" s="7">
        <v>368.06</v>
      </c>
      <c r="E90" s="7">
        <v>429.60500000000002</v>
      </c>
      <c r="F90" s="14">
        <v>8.2614199999999993</v>
      </c>
      <c r="G90" s="14">
        <v>5.2779199999999999</v>
      </c>
      <c r="H90" s="7">
        <v>72.226100000000002</v>
      </c>
      <c r="I90" s="7">
        <v>126.932</v>
      </c>
      <c r="J90" s="7"/>
      <c r="M90" s="14"/>
      <c r="N90" s="57"/>
      <c r="Q90" s="57"/>
      <c r="R90" s="57"/>
      <c r="W90">
        <f t="shared" si="1"/>
        <v>290</v>
      </c>
      <c r="X90" s="14">
        <f t="shared" si="2"/>
        <v>203.6</v>
      </c>
      <c r="Z90">
        <v>58</v>
      </c>
      <c r="AA90" s="58">
        <v>424.54839188159298</v>
      </c>
      <c r="AB90" s="59">
        <v>13.228106338520423</v>
      </c>
      <c r="AC90" s="59">
        <v>437.77649822011341</v>
      </c>
      <c r="AD90" s="60">
        <v>411.32028554307254</v>
      </c>
      <c r="AE90" s="61">
        <v>0.9797537546591425</v>
      </c>
      <c r="AF90" s="62">
        <v>1.291053952995834E-2</v>
      </c>
      <c r="AG90" s="62">
        <v>0.99266429418910085</v>
      </c>
      <c r="AH90" s="63">
        <v>0.96684321512918414</v>
      </c>
      <c r="AI90" s="78">
        <v>14.584105624092949</v>
      </c>
    </row>
    <row r="91" spans="1:35" x14ac:dyDescent="0.25">
      <c r="A91" s="7">
        <v>290</v>
      </c>
      <c r="B91" s="7">
        <v>180.59100000000001</v>
      </c>
      <c r="C91" s="7">
        <v>130.57300000000001</v>
      </c>
      <c r="D91" s="7">
        <v>354.90899999999999</v>
      </c>
      <c r="E91" s="7">
        <v>429.60500000000002</v>
      </c>
      <c r="F91" s="14">
        <v>28.8108</v>
      </c>
      <c r="G91" s="14">
        <v>5.3972699999999998</v>
      </c>
      <c r="H91" s="7">
        <v>71.526700000000005</v>
      </c>
      <c r="I91" s="7">
        <v>124.40600000000001</v>
      </c>
      <c r="J91" s="7"/>
      <c r="M91" s="14"/>
      <c r="N91" s="57"/>
      <c r="Q91" s="57"/>
      <c r="R91" s="57"/>
      <c r="W91">
        <f t="shared" si="1"/>
        <v>295</v>
      </c>
      <c r="X91" s="14">
        <f t="shared" si="2"/>
        <v>198.7</v>
      </c>
      <c r="Z91">
        <v>59</v>
      </c>
      <c r="AA91" s="58">
        <v>424.33557562328923</v>
      </c>
      <c r="AB91" s="59">
        <v>13.09447624998948</v>
      </c>
      <c r="AC91" s="59">
        <v>437.43005187327873</v>
      </c>
      <c r="AD91" s="60">
        <v>411.24109937329973</v>
      </c>
      <c r="AE91" s="61">
        <v>0.97927147546400006</v>
      </c>
      <c r="AF91" s="62">
        <v>1.322446379462819E-2</v>
      </c>
      <c r="AG91" s="62">
        <v>0.99249593925862822</v>
      </c>
      <c r="AH91" s="63">
        <v>0.9660470116693719</v>
      </c>
      <c r="AI91" s="78">
        <v>14.449948125415379</v>
      </c>
    </row>
    <row r="92" spans="1:35" x14ac:dyDescent="0.25">
      <c r="A92" s="7">
        <v>295</v>
      </c>
      <c r="B92" s="7">
        <v>241.369</v>
      </c>
      <c r="C92" s="7">
        <v>127.358</v>
      </c>
      <c r="D92" s="7">
        <v>342.36</v>
      </c>
      <c r="E92" s="7">
        <v>429.60500000000002</v>
      </c>
      <c r="F92" s="14">
        <v>7.7748900000000001</v>
      </c>
      <c r="G92" s="14">
        <v>5.5106999999999999</v>
      </c>
      <c r="H92" s="7">
        <v>70.839399999999998</v>
      </c>
      <c r="I92" s="7">
        <v>121.973</v>
      </c>
      <c r="J92" s="7"/>
      <c r="M92" s="14"/>
      <c r="N92" s="57"/>
      <c r="Q92" s="57"/>
      <c r="R92" s="57"/>
      <c r="W92">
        <f t="shared" si="1"/>
        <v>300</v>
      </c>
      <c r="X92" s="14">
        <f t="shared" si="2"/>
        <v>194.1</v>
      </c>
      <c r="Z92">
        <v>60</v>
      </c>
      <c r="AA92" s="58">
        <v>424.12275936498531</v>
      </c>
      <c r="AB92" s="59">
        <v>12.961102333599232</v>
      </c>
      <c r="AC92" s="59">
        <v>437.08386169858454</v>
      </c>
      <c r="AD92" s="60">
        <v>411.16165703138608</v>
      </c>
      <c r="AE92" s="61">
        <v>0.97878919626885763</v>
      </c>
      <c r="AF92" s="62">
        <v>1.3538544897668509E-2</v>
      </c>
      <c r="AG92" s="62">
        <v>0.99232774116652611</v>
      </c>
      <c r="AH92" s="63">
        <v>0.96525065137118915</v>
      </c>
      <c r="AI92" s="78">
        <v>14.315790626737806</v>
      </c>
    </row>
    <row r="93" spans="1:35" x14ac:dyDescent="0.25">
      <c r="A93" s="7">
        <v>300</v>
      </c>
      <c r="B93" s="7">
        <v>408.05799999999999</v>
      </c>
      <c r="C93" s="7">
        <v>124.337</v>
      </c>
      <c r="D93" s="7">
        <v>330.38400000000001</v>
      </c>
      <c r="E93" s="7">
        <v>429.60500000000002</v>
      </c>
      <c r="F93" s="14">
        <v>0.990734</v>
      </c>
      <c r="G93" s="14">
        <v>5.6734200000000001</v>
      </c>
      <c r="H93" s="7">
        <v>70.183199999999999</v>
      </c>
      <c r="I93" s="7">
        <v>119.629</v>
      </c>
      <c r="J93" s="7"/>
      <c r="M93" s="14"/>
      <c r="N93" s="57"/>
      <c r="Q93" s="57"/>
      <c r="R93" s="57"/>
      <c r="W93">
        <f t="shared" si="1"/>
        <v>305</v>
      </c>
      <c r="X93" s="14">
        <f t="shared" si="2"/>
        <v>190.7</v>
      </c>
      <c r="Z93">
        <v>61</v>
      </c>
      <c r="AA93" s="58">
        <v>423.9099431066814</v>
      </c>
      <c r="AB93" s="59">
        <v>12.827992579693941</v>
      </c>
      <c r="AC93" s="59">
        <v>436.73793568637535</v>
      </c>
      <c r="AD93" s="60">
        <v>411.08195052698744</v>
      </c>
      <c r="AE93" s="61">
        <v>0.97830691707371509</v>
      </c>
      <c r="AF93" s="62">
        <v>1.3852772171189692E-2</v>
      </c>
      <c r="AG93" s="62">
        <v>0.99215968924490483</v>
      </c>
      <c r="AH93" s="63">
        <v>0.96445414490252535</v>
      </c>
      <c r="AI93" s="78">
        <v>14.245514879624048</v>
      </c>
    </row>
    <row r="94" spans="1:35" x14ac:dyDescent="0.25">
      <c r="A94" s="7">
        <v>305</v>
      </c>
      <c r="B94" s="7">
        <v>329.82</v>
      </c>
      <c r="C94" s="7">
        <v>121.35</v>
      </c>
      <c r="D94" s="7">
        <v>318.95100000000002</v>
      </c>
      <c r="E94" s="7">
        <v>429.60500000000002</v>
      </c>
      <c r="F94" s="14">
        <v>2.94014</v>
      </c>
      <c r="G94" s="14">
        <v>5.8802700000000003</v>
      </c>
      <c r="H94" s="7">
        <v>69.531999999999996</v>
      </c>
      <c r="I94" s="7">
        <v>117.371</v>
      </c>
      <c r="J94" s="7"/>
      <c r="M94" s="14"/>
      <c r="N94" s="57"/>
      <c r="Q94" s="57"/>
      <c r="R94" s="57"/>
      <c r="W94">
        <f t="shared" si="1"/>
        <v>310</v>
      </c>
      <c r="X94" s="14">
        <f t="shared" si="2"/>
        <v>187.4</v>
      </c>
      <c r="Z94">
        <v>62</v>
      </c>
      <c r="AA94" s="58">
        <v>423.69712684837759</v>
      </c>
      <c r="AB94" s="59">
        <v>12.695155297572757</v>
      </c>
      <c r="AC94" s="59">
        <v>436.39228214595033</v>
      </c>
      <c r="AD94" s="60">
        <v>411.00197155080485</v>
      </c>
      <c r="AE94" s="61">
        <v>0.97782463787857254</v>
      </c>
      <c r="AF94" s="62">
        <v>1.4167135889005127E-2</v>
      </c>
      <c r="AG94" s="62">
        <v>0.99199177376757763</v>
      </c>
      <c r="AH94" s="63">
        <v>0.96365750198956746</v>
      </c>
      <c r="AI94" s="78">
        <v>14.454232904646132</v>
      </c>
    </row>
    <row r="95" spans="1:35" x14ac:dyDescent="0.25">
      <c r="A95" s="7">
        <v>310</v>
      </c>
      <c r="B95" s="7">
        <v>216.73500000000001</v>
      </c>
      <c r="C95" s="7">
        <v>118.55800000000001</v>
      </c>
      <c r="D95" s="7">
        <v>308.03800000000001</v>
      </c>
      <c r="E95" s="7">
        <v>429.60500000000002</v>
      </c>
      <c r="F95" s="14">
        <v>10.703200000000001</v>
      </c>
      <c r="G95" s="14">
        <v>6.0648499999999999</v>
      </c>
      <c r="H95" s="7">
        <v>68.912000000000006</v>
      </c>
      <c r="I95" s="7">
        <v>115.19499999999999</v>
      </c>
      <c r="J95" s="7"/>
      <c r="M95" s="14"/>
      <c r="N95" s="57"/>
      <c r="Q95" s="57"/>
      <c r="R95" s="57"/>
      <c r="W95">
        <f t="shared" si="1"/>
        <v>315</v>
      </c>
      <c r="X95" s="14">
        <f t="shared" si="2"/>
        <v>184.3</v>
      </c>
      <c r="Z95">
        <v>63</v>
      </c>
      <c r="AA95" s="58">
        <v>423.48431059007368</v>
      </c>
      <c r="AB95" s="59">
        <v>12.562599130612174</v>
      </c>
      <c r="AC95" s="59">
        <v>436.04690972068585</v>
      </c>
      <c r="AD95" s="60">
        <v>410.92171145946151</v>
      </c>
      <c r="AE95" s="61">
        <v>0.97734235868342989</v>
      </c>
      <c r="AF95" s="62">
        <v>1.448162716541627E-2</v>
      </c>
      <c r="AG95" s="62">
        <v>0.99182398584884612</v>
      </c>
      <c r="AH95" s="63">
        <v>0.96286073151801366</v>
      </c>
      <c r="AI95" s="78">
        <v>14.695543660057915</v>
      </c>
    </row>
    <row r="96" spans="1:35" x14ac:dyDescent="0.25">
      <c r="A96" s="7">
        <v>315</v>
      </c>
      <c r="B96" s="7">
        <v>213.03100000000001</v>
      </c>
      <c r="C96" s="7">
        <v>115.67</v>
      </c>
      <c r="D96" s="7">
        <v>297.61799999999999</v>
      </c>
      <c r="E96" s="7">
        <v>429.60500000000002</v>
      </c>
      <c r="F96" s="14">
        <v>11.0403</v>
      </c>
      <c r="G96" s="14">
        <v>6.2307199999999998</v>
      </c>
      <c r="H96" s="7">
        <v>68.272099999999995</v>
      </c>
      <c r="I96" s="7">
        <v>113.09699999999999</v>
      </c>
      <c r="J96" s="7"/>
      <c r="M96" s="14"/>
      <c r="N96" s="57"/>
      <c r="Q96" s="57"/>
      <c r="R96" s="57"/>
      <c r="W96">
        <f t="shared" si="1"/>
        <v>320</v>
      </c>
      <c r="X96" s="14">
        <f t="shared" si="2"/>
        <v>181.2</v>
      </c>
      <c r="Z96">
        <v>64</v>
      </c>
      <c r="AA96" s="58">
        <v>423.27149433176987</v>
      </c>
      <c r="AB96" s="59">
        <v>12.430333072190074</v>
      </c>
      <c r="AC96" s="59">
        <v>435.70182740395995</v>
      </c>
      <c r="AD96" s="60">
        <v>410.84116125957979</v>
      </c>
      <c r="AE96" s="61">
        <v>0.97686007948828735</v>
      </c>
      <c r="AF96" s="62">
        <v>1.479623786672337E-2</v>
      </c>
      <c r="AG96" s="62">
        <v>0.9916563173550107</v>
      </c>
      <c r="AH96" s="63">
        <v>0.962063841621564</v>
      </c>
      <c r="AI96" s="78">
        <v>14.9368544154697</v>
      </c>
    </row>
    <row r="97" spans="1:35" x14ac:dyDescent="0.25">
      <c r="A97" s="7">
        <v>320</v>
      </c>
      <c r="B97" s="7">
        <v>200.64699999999999</v>
      </c>
      <c r="C97" s="7">
        <v>112.627</v>
      </c>
      <c r="D97" s="7">
        <v>287.66399999999999</v>
      </c>
      <c r="E97" s="7">
        <v>429.60500000000002</v>
      </c>
      <c r="F97" s="14">
        <v>14.1112</v>
      </c>
      <c r="G97" s="14">
        <v>6.3848900000000004</v>
      </c>
      <c r="H97" s="7">
        <v>67.674700000000001</v>
      </c>
      <c r="I97" s="7">
        <v>111.075</v>
      </c>
      <c r="J97" s="7"/>
      <c r="M97" s="14"/>
      <c r="N97" s="57"/>
      <c r="Q97" s="57"/>
      <c r="R97" s="57"/>
      <c r="W97">
        <f t="shared" si="1"/>
        <v>325</v>
      </c>
      <c r="X97" s="14">
        <f t="shared" si="2"/>
        <v>178.4</v>
      </c>
      <c r="Z97">
        <v>65</v>
      </c>
      <c r="AA97" s="58">
        <v>423.05867807346607</v>
      </c>
      <c r="AB97" s="59">
        <v>12.298366482458722</v>
      </c>
      <c r="AC97" s="59">
        <v>435.3570445559248</v>
      </c>
      <c r="AD97" s="60">
        <v>410.76031159100734</v>
      </c>
      <c r="AE97" s="61">
        <v>0.97637780029314492</v>
      </c>
      <c r="AF97" s="62">
        <v>1.5110960533637056E-2</v>
      </c>
      <c r="AG97" s="62">
        <v>0.99148876082678195</v>
      </c>
      <c r="AH97" s="63">
        <v>0.96126683975950789</v>
      </c>
      <c r="AI97" s="78">
        <v>15.175971531612365</v>
      </c>
    </row>
    <row r="98" spans="1:35" x14ac:dyDescent="0.25">
      <c r="A98" s="7">
        <v>325</v>
      </c>
      <c r="B98" s="7">
        <v>241.23599999999999</v>
      </c>
      <c r="C98" s="7">
        <v>110.163</v>
      </c>
      <c r="D98" s="7">
        <v>278.16000000000003</v>
      </c>
      <c r="E98" s="7">
        <v>429.60500000000002</v>
      </c>
      <c r="F98" s="14">
        <v>6.9864899999999999</v>
      </c>
      <c r="G98" s="14">
        <v>6.5364800000000001</v>
      </c>
      <c r="H98" s="7">
        <v>67.118899999999996</v>
      </c>
      <c r="I98" s="7">
        <v>109.124</v>
      </c>
      <c r="J98" s="7"/>
      <c r="M98" s="14"/>
      <c r="N98" s="57"/>
      <c r="Q98" s="57"/>
      <c r="R98" s="57"/>
      <c r="W98">
        <f t="shared" ref="W98:W132" si="3">W97+5</f>
        <v>330</v>
      </c>
      <c r="X98" s="14">
        <f t="shared" ref="X98:X132" si="4">TRUNC(VLOOKUP(W98,$Z$32:$AA$631,2,FALSE),1)</f>
        <v>175.5</v>
      </c>
      <c r="Z98">
        <v>66</v>
      </c>
      <c r="AA98" s="58">
        <v>422.84586181516215</v>
      </c>
      <c r="AB98" s="59">
        <v>12.166709106011581</v>
      </c>
      <c r="AC98" s="59">
        <v>435.01257092117373</v>
      </c>
      <c r="AD98" s="60">
        <v>410.67915270915057</v>
      </c>
      <c r="AE98" s="61">
        <v>0.97589552109800237</v>
      </c>
      <c r="AF98" s="62">
        <v>1.5425788313067E-2</v>
      </c>
      <c r="AG98" s="62">
        <v>0.99132130941106933</v>
      </c>
      <c r="AH98" s="63">
        <v>0.96046973278493541</v>
      </c>
      <c r="AI98" s="78">
        <v>15.050944529081647</v>
      </c>
    </row>
    <row r="99" spans="1:35" x14ac:dyDescent="0.25">
      <c r="A99" s="7">
        <v>330</v>
      </c>
      <c r="B99" s="7">
        <v>195.667</v>
      </c>
      <c r="C99" s="7">
        <v>107.84399999999999</v>
      </c>
      <c r="D99" s="7">
        <v>269.077</v>
      </c>
      <c r="E99" s="7">
        <v>429.60500000000002</v>
      </c>
      <c r="F99" s="14">
        <v>15.006500000000001</v>
      </c>
      <c r="G99" s="14">
        <v>6.6948100000000004</v>
      </c>
      <c r="H99" s="7">
        <v>66.572900000000004</v>
      </c>
      <c r="I99" s="7">
        <v>107.244</v>
      </c>
      <c r="J99" s="7"/>
      <c r="M99" s="14"/>
      <c r="N99" s="57"/>
      <c r="Q99" s="57"/>
      <c r="R99" s="57"/>
      <c r="W99">
        <f t="shared" si="3"/>
        <v>335</v>
      </c>
      <c r="X99" s="14">
        <f t="shared" si="4"/>
        <v>172.7</v>
      </c>
      <c r="Z99">
        <v>67</v>
      </c>
      <c r="AA99" s="58">
        <v>422.63304555685835</v>
      </c>
      <c r="AB99" s="59">
        <v>12.035371090494202</v>
      </c>
      <c r="AC99" s="59">
        <v>434.66841664735256</v>
      </c>
      <c r="AD99" s="60">
        <v>410.59767446636414</v>
      </c>
      <c r="AE99" s="61">
        <v>0.97541324190285972</v>
      </c>
      <c r="AF99" s="62">
        <v>1.5740714897993821E-2</v>
      </c>
      <c r="AG99" s="62">
        <v>0.9911539568008535</v>
      </c>
      <c r="AH99" s="63">
        <v>0.95967252700486594</v>
      </c>
      <c r="AI99" s="78">
        <v>14.660487174987793</v>
      </c>
    </row>
    <row r="100" spans="1:35" x14ac:dyDescent="0.25">
      <c r="A100" s="7">
        <v>335</v>
      </c>
      <c r="B100" s="7">
        <v>285.77100000000002</v>
      </c>
      <c r="C100" s="7">
        <v>105.578</v>
      </c>
      <c r="D100" s="7">
        <v>260.40100000000001</v>
      </c>
      <c r="E100" s="7">
        <v>429.60500000000002</v>
      </c>
      <c r="F100" s="14">
        <v>4.1127900000000004</v>
      </c>
      <c r="G100" s="14">
        <v>6.87385</v>
      </c>
      <c r="H100" s="7">
        <v>66.051699999999997</v>
      </c>
      <c r="I100" s="7">
        <v>105.429</v>
      </c>
      <c r="J100" s="7"/>
      <c r="M100" s="14"/>
      <c r="N100" s="57"/>
      <c r="Q100" s="57"/>
      <c r="R100" s="57"/>
      <c r="W100">
        <f t="shared" si="3"/>
        <v>340</v>
      </c>
      <c r="X100" s="14">
        <f t="shared" si="4"/>
        <v>169.9</v>
      </c>
      <c r="Z100">
        <v>68</v>
      </c>
      <c r="AA100" s="58">
        <v>422.42022929855449</v>
      </c>
      <c r="AB100" s="59">
        <v>11.90436300621165</v>
      </c>
      <c r="AC100" s="59">
        <v>434.32459230476616</v>
      </c>
      <c r="AD100" s="60">
        <v>410.51586629234282</v>
      </c>
      <c r="AE100" s="61">
        <v>0.97493096270771729</v>
      </c>
      <c r="AF100" s="62">
        <v>1.6055734474331344E-2</v>
      </c>
      <c r="AG100" s="62">
        <v>0.99098669718204868</v>
      </c>
      <c r="AH100" s="63">
        <v>0.95887522823338589</v>
      </c>
      <c r="AI100" s="78">
        <v>14.270029820893939</v>
      </c>
    </row>
    <row r="101" spans="1:35" x14ac:dyDescent="0.25">
      <c r="A101" s="7">
        <v>340</v>
      </c>
      <c r="B101" s="7">
        <v>265.24400000000003</v>
      </c>
      <c r="C101" s="7">
        <v>103.441</v>
      </c>
      <c r="D101" s="7">
        <v>252.107</v>
      </c>
      <c r="E101" s="7">
        <v>429.60500000000002</v>
      </c>
      <c r="F101" s="14">
        <v>4.8492600000000001</v>
      </c>
      <c r="G101" s="14">
        <v>7.0679999999999996</v>
      </c>
      <c r="H101" s="7">
        <v>65.540300000000002</v>
      </c>
      <c r="I101" s="7">
        <v>103.679</v>
      </c>
      <c r="J101" s="7"/>
      <c r="M101" s="14"/>
      <c r="N101" s="57"/>
      <c r="Q101" s="57"/>
      <c r="R101" s="57"/>
      <c r="W101">
        <f t="shared" si="3"/>
        <v>345</v>
      </c>
      <c r="X101" s="14">
        <f t="shared" si="4"/>
        <v>166.8</v>
      </c>
      <c r="Z101">
        <v>69</v>
      </c>
      <c r="AA101" s="58">
        <v>422.20741304025063</v>
      </c>
      <c r="AB101" s="59">
        <v>11.773695866785989</v>
      </c>
      <c r="AC101" s="59">
        <v>433.98110890703663</v>
      </c>
      <c r="AD101" s="60">
        <v>410.43371717346463</v>
      </c>
      <c r="AE101" s="61">
        <v>0.97444868351257485</v>
      </c>
      <c r="AF101" s="62">
        <v>1.6370841673856894E-2</v>
      </c>
      <c r="AG101" s="62">
        <v>0.99081952518643179</v>
      </c>
      <c r="AH101" s="63">
        <v>0.95807784183871791</v>
      </c>
      <c r="AI101" s="78">
        <v>14.160902725529201</v>
      </c>
    </row>
    <row r="102" spans="1:35" x14ac:dyDescent="0.25">
      <c r="A102" s="7">
        <v>345</v>
      </c>
      <c r="B102" s="7">
        <v>202.55799999999999</v>
      </c>
      <c r="C102" s="7">
        <v>101.352</v>
      </c>
      <c r="D102" s="7">
        <v>244.179</v>
      </c>
      <c r="E102" s="7">
        <v>429.54</v>
      </c>
      <c r="F102" s="14">
        <v>11.852499999999999</v>
      </c>
      <c r="G102" s="14">
        <v>7.2450400000000004</v>
      </c>
      <c r="H102" s="7">
        <v>65.051000000000002</v>
      </c>
      <c r="I102" s="7">
        <v>101.99</v>
      </c>
      <c r="J102" s="7"/>
      <c r="M102" s="14"/>
      <c r="N102" s="57"/>
      <c r="Q102" s="57"/>
      <c r="R102" s="57"/>
      <c r="W102">
        <f t="shared" si="3"/>
        <v>350</v>
      </c>
      <c r="X102" s="14">
        <f t="shared" si="4"/>
        <v>163.6</v>
      </c>
      <c r="Z102">
        <v>70</v>
      </c>
      <c r="AA102" s="58">
        <v>421.99459678194677</v>
      </c>
      <c r="AB102" s="59">
        <v>11.643381150922002</v>
      </c>
      <c r="AC102" s="59">
        <v>433.63797793286875</v>
      </c>
      <c r="AD102" s="60">
        <v>410.35121563102479</v>
      </c>
      <c r="AE102" s="61">
        <v>0.9739664043174322</v>
      </c>
      <c r="AF102" s="62">
        <v>1.6686031532413308E-2</v>
      </c>
      <c r="AG102" s="62">
        <v>0.99065243584984553</v>
      </c>
      <c r="AH102" s="63">
        <v>0.95728037278501887</v>
      </c>
      <c r="AI102" s="78">
        <v>14.437732844619275</v>
      </c>
    </row>
    <row r="103" spans="1:35" x14ac:dyDescent="0.25">
      <c r="A103" s="7">
        <v>350</v>
      </c>
      <c r="B103" s="7">
        <v>428.94600000000003</v>
      </c>
      <c r="C103" s="7">
        <v>99.386700000000005</v>
      </c>
      <c r="D103" s="7">
        <v>236.59800000000001</v>
      </c>
      <c r="E103" s="7">
        <v>429.53899999999999</v>
      </c>
      <c r="F103" s="14">
        <v>0.16783000000000001</v>
      </c>
      <c r="G103" s="14">
        <v>7.4144399999999999</v>
      </c>
      <c r="H103" s="7">
        <v>64.569999999999993</v>
      </c>
      <c r="I103" s="7">
        <v>100.361</v>
      </c>
      <c r="J103" s="7"/>
      <c r="M103" s="14"/>
      <c r="N103" s="57"/>
      <c r="Q103" s="57"/>
      <c r="R103" s="57"/>
      <c r="W103">
        <f t="shared" si="3"/>
        <v>355</v>
      </c>
      <c r="X103" s="14">
        <f t="shared" si="4"/>
        <v>160.69999999999999</v>
      </c>
      <c r="Z103">
        <v>71</v>
      </c>
      <c r="AA103" s="58">
        <v>421.78178052364291</v>
      </c>
      <c r="AB103" s="59">
        <v>11.513430825339441</v>
      </c>
      <c r="AC103" s="59">
        <v>433.29521134898232</v>
      </c>
      <c r="AD103" s="60">
        <v>410.2683496983035</v>
      </c>
      <c r="AE103" s="61">
        <v>0.97348412512228977</v>
      </c>
      <c r="AF103" s="62">
        <v>1.700129945271333E-2</v>
      </c>
      <c r="AG103" s="62">
        <v>0.9904854245750031</v>
      </c>
      <c r="AH103" s="63">
        <v>0.95648282566957643</v>
      </c>
      <c r="AI103" s="78">
        <v>14.766849205013758</v>
      </c>
    </row>
    <row r="104" spans="1:35" x14ac:dyDescent="0.25">
      <c r="A104" s="7">
        <v>355</v>
      </c>
      <c r="B104" s="7">
        <v>209.16900000000001</v>
      </c>
      <c r="C104" s="7">
        <v>97.462699999999998</v>
      </c>
      <c r="D104" s="7">
        <v>229.34899999999999</v>
      </c>
      <c r="E104" s="7">
        <v>429.53899999999999</v>
      </c>
      <c r="F104" s="14">
        <v>9.8878699999999995</v>
      </c>
      <c r="G104" s="14">
        <v>7.6143000000000001</v>
      </c>
      <c r="H104" s="7">
        <v>64.111199999999997</v>
      </c>
      <c r="I104" s="7">
        <v>98.788200000000003</v>
      </c>
      <c r="J104" s="7"/>
      <c r="M104" s="14"/>
      <c r="N104" s="57"/>
      <c r="Q104" s="57"/>
      <c r="R104" s="57"/>
      <c r="W104">
        <f t="shared" si="3"/>
        <v>360</v>
      </c>
      <c r="X104" s="14">
        <f t="shared" si="4"/>
        <v>157.80000000000001</v>
      </c>
      <c r="Z104">
        <v>72</v>
      </c>
      <c r="AA104" s="58">
        <v>421.56896426533905</v>
      </c>
      <c r="AB104" s="59">
        <v>11.383857368935388</v>
      </c>
      <c r="AC104" s="59">
        <v>432.95282163427441</v>
      </c>
      <c r="AD104" s="60">
        <v>410.18510689640368</v>
      </c>
      <c r="AE104" s="61">
        <v>0.97300184592714711</v>
      </c>
      <c r="AF104" s="62">
        <v>1.7316641171165881E-2</v>
      </c>
      <c r="AG104" s="62">
        <v>0.99031848709831305</v>
      </c>
      <c r="AH104" s="63">
        <v>0.95568520475598118</v>
      </c>
      <c r="AI104" s="78">
        <v>16.341936662656451</v>
      </c>
    </row>
    <row r="105" spans="1:35" x14ac:dyDescent="0.25">
      <c r="A105" s="7">
        <v>360</v>
      </c>
      <c r="B105" s="7">
        <v>233.346</v>
      </c>
      <c r="C105" s="7">
        <v>95.65</v>
      </c>
      <c r="D105" s="7">
        <v>222.41499999999999</v>
      </c>
      <c r="E105" s="7">
        <v>429.53899999999999</v>
      </c>
      <c r="F105" s="14">
        <v>6.67401</v>
      </c>
      <c r="G105" s="14">
        <v>7.7879100000000001</v>
      </c>
      <c r="H105" s="7">
        <v>63.661099999999998</v>
      </c>
      <c r="I105" s="7">
        <v>97.27</v>
      </c>
      <c r="J105" s="7"/>
      <c r="M105" s="14"/>
      <c r="N105" s="57"/>
      <c r="Q105" s="57"/>
      <c r="R105" s="57"/>
      <c r="W105">
        <f t="shared" si="3"/>
        <v>365</v>
      </c>
      <c r="X105" s="14">
        <f t="shared" si="4"/>
        <v>154.9</v>
      </c>
      <c r="Z105">
        <v>73</v>
      </c>
      <c r="AA105" s="58">
        <v>421.35614800703524</v>
      </c>
      <c r="AB105" s="59">
        <v>11.254673798240917</v>
      </c>
      <c r="AC105" s="59">
        <v>432.61082180527615</v>
      </c>
      <c r="AD105" s="60">
        <v>410.10147420879434</v>
      </c>
      <c r="AE105" s="61">
        <v>0.97251956673200457</v>
      </c>
      <c r="AF105" s="62">
        <v>1.7632052728226273E-2</v>
      </c>
      <c r="AG105" s="62">
        <v>0.99015161946023089</v>
      </c>
      <c r="AH105" s="63">
        <v>0.95488751400377825</v>
      </c>
      <c r="AI105" s="78">
        <v>18.254427520454897</v>
      </c>
    </row>
    <row r="106" spans="1:35" x14ac:dyDescent="0.25">
      <c r="A106" s="7">
        <v>365</v>
      </c>
      <c r="B106" s="7">
        <v>188.214</v>
      </c>
      <c r="C106" s="7">
        <v>93.882499999999993</v>
      </c>
      <c r="D106" s="7">
        <v>215.78200000000001</v>
      </c>
      <c r="E106" s="7">
        <v>429.53899999999999</v>
      </c>
      <c r="F106" s="14">
        <v>15.1401</v>
      </c>
      <c r="G106" s="14">
        <v>7.9486600000000003</v>
      </c>
      <c r="H106" s="7">
        <v>63.2303</v>
      </c>
      <c r="I106" s="7">
        <v>95.804400000000001</v>
      </c>
      <c r="J106" s="7"/>
      <c r="M106" s="14"/>
      <c r="N106" s="57"/>
      <c r="Q106" s="57"/>
      <c r="R106" s="57"/>
      <c r="W106">
        <f t="shared" si="3"/>
        <v>370</v>
      </c>
      <c r="X106" s="14">
        <f t="shared" si="4"/>
        <v>152</v>
      </c>
      <c r="Z106">
        <v>74</v>
      </c>
      <c r="AA106" s="58">
        <v>421.12918986673259</v>
      </c>
      <c r="AB106" s="59">
        <v>11.101710096026981</v>
      </c>
      <c r="AC106" s="59">
        <v>432.23089996275957</v>
      </c>
      <c r="AD106" s="60">
        <v>410.02747977070561</v>
      </c>
      <c r="AE106" s="61">
        <v>0.97200607547488671</v>
      </c>
      <c r="AF106" s="62">
        <v>1.7985529576432124E-2</v>
      </c>
      <c r="AG106" s="62">
        <v>0.98999160505131889</v>
      </c>
      <c r="AH106" s="63">
        <v>0.95402054589845453</v>
      </c>
      <c r="AI106" s="78">
        <v>18.438024248395649</v>
      </c>
    </row>
    <row r="107" spans="1:35" x14ac:dyDescent="0.25">
      <c r="A107" s="7">
        <v>370</v>
      </c>
      <c r="B107" s="7">
        <v>218.68100000000001</v>
      </c>
      <c r="C107" s="7">
        <v>92.208399999999997</v>
      </c>
      <c r="D107" s="7">
        <v>209.43600000000001</v>
      </c>
      <c r="E107" s="7">
        <v>429.53899999999999</v>
      </c>
      <c r="F107" s="14">
        <v>7.9083199999999998</v>
      </c>
      <c r="G107" s="14">
        <v>8.1359899999999996</v>
      </c>
      <c r="H107" s="7">
        <v>62.808999999999997</v>
      </c>
      <c r="I107" s="7">
        <v>94.388900000000007</v>
      </c>
      <c r="J107" s="7"/>
      <c r="M107" s="14"/>
      <c r="N107" s="57"/>
      <c r="Q107" s="57"/>
      <c r="R107" s="57"/>
      <c r="W107">
        <f t="shared" si="3"/>
        <v>375</v>
      </c>
      <c r="X107" s="14">
        <f t="shared" si="4"/>
        <v>149.1</v>
      </c>
      <c r="Z107">
        <v>75</v>
      </c>
      <c r="AA107" s="58">
        <v>420.77141931794182</v>
      </c>
      <c r="AB107" s="59">
        <v>10.725274729172849</v>
      </c>
      <c r="AC107" s="59">
        <v>431.49669404711466</v>
      </c>
      <c r="AD107" s="60">
        <v>410.04614458876898</v>
      </c>
      <c r="AE107" s="61">
        <v>0.97120387264449715</v>
      </c>
      <c r="AF107" s="62">
        <v>1.8695890449258748E-2</v>
      </c>
      <c r="AG107" s="62">
        <v>0.98989976309375594</v>
      </c>
      <c r="AH107" s="63">
        <v>0.95250798219523836</v>
      </c>
      <c r="AI107" s="78">
        <v>18.225752694266184</v>
      </c>
    </row>
    <row r="108" spans="1:35" x14ac:dyDescent="0.25">
      <c r="A108" s="7">
        <v>375</v>
      </c>
      <c r="B108" s="7">
        <v>206.05</v>
      </c>
      <c r="C108" s="7">
        <v>90.585899999999995</v>
      </c>
      <c r="D108" s="7">
        <v>203.36099999999999</v>
      </c>
      <c r="E108" s="7">
        <v>429.53899999999999</v>
      </c>
      <c r="F108" s="14">
        <v>9.5009800000000002</v>
      </c>
      <c r="G108" s="14">
        <v>8.3078900000000004</v>
      </c>
      <c r="H108" s="7">
        <v>62.404400000000003</v>
      </c>
      <c r="I108" s="7">
        <v>93.022199999999998</v>
      </c>
      <c r="J108" s="7"/>
      <c r="M108" s="14"/>
      <c r="N108" s="57"/>
      <c r="Q108" s="57"/>
      <c r="R108" s="57"/>
      <c r="W108">
        <f t="shared" si="3"/>
        <v>380</v>
      </c>
      <c r="X108" s="14">
        <f t="shared" si="4"/>
        <v>146.19999999999999</v>
      </c>
      <c r="Z108">
        <v>76</v>
      </c>
      <c r="AA108" s="58">
        <v>420.38182953465383</v>
      </c>
      <c r="AB108" s="59">
        <v>10.294463881279206</v>
      </c>
      <c r="AC108" s="59">
        <v>430.67629341593306</v>
      </c>
      <c r="AD108" s="60">
        <v>410.0873656533746</v>
      </c>
      <c r="AE108" s="61">
        <v>0.97033144267466265</v>
      </c>
      <c r="AF108" s="62">
        <v>1.9504752647105092E-2</v>
      </c>
      <c r="AG108" s="62">
        <v>0.9898361953217677</v>
      </c>
      <c r="AH108" s="63">
        <v>0.9508266900275576</v>
      </c>
      <c r="AI108" s="78">
        <v>18.013481140136719</v>
      </c>
    </row>
    <row r="109" spans="1:35" x14ac:dyDescent="0.25">
      <c r="A109" s="7">
        <v>380</v>
      </c>
      <c r="B109" s="7">
        <v>195.12700000000001</v>
      </c>
      <c r="C109" s="7">
        <v>89.038499999999999</v>
      </c>
      <c r="D109" s="7">
        <v>197.54599999999999</v>
      </c>
      <c r="E109" s="7">
        <v>429.53899999999999</v>
      </c>
      <c r="F109" s="14">
        <v>11.506399999999999</v>
      </c>
      <c r="G109" s="14">
        <v>8.4658700000000007</v>
      </c>
      <c r="H109" s="7">
        <v>62.010300000000001</v>
      </c>
      <c r="I109" s="7">
        <v>91.702100000000002</v>
      </c>
      <c r="J109" s="7"/>
      <c r="M109" s="14"/>
      <c r="N109" s="57"/>
      <c r="Q109" s="57"/>
      <c r="R109" s="57"/>
      <c r="W109">
        <f t="shared" si="3"/>
        <v>385</v>
      </c>
      <c r="X109" s="14">
        <f t="shared" si="4"/>
        <v>143.30000000000001</v>
      </c>
      <c r="Z109">
        <v>77</v>
      </c>
      <c r="AA109" s="58">
        <v>419.99223975136584</v>
      </c>
      <c r="AB109" s="59">
        <v>9.8636977343326677</v>
      </c>
      <c r="AC109" s="59">
        <v>429.85593748569852</v>
      </c>
      <c r="AD109" s="60">
        <v>410.12854201703317</v>
      </c>
      <c r="AE109" s="61">
        <v>0.96945901270482848</v>
      </c>
      <c r="AF109" s="62">
        <v>2.0325168034613126E-2</v>
      </c>
      <c r="AG109" s="62">
        <v>0.98978418073944163</v>
      </c>
      <c r="AH109" s="63">
        <v>0.94913384467021533</v>
      </c>
      <c r="AI109" s="78">
        <v>17.57377600291419</v>
      </c>
    </row>
    <row r="110" spans="1:35" x14ac:dyDescent="0.25">
      <c r="A110" s="7">
        <v>385</v>
      </c>
      <c r="B110" s="7">
        <v>178.78800000000001</v>
      </c>
      <c r="C110" s="7">
        <v>87.546199999999999</v>
      </c>
      <c r="D110" s="7">
        <v>191.97900000000001</v>
      </c>
      <c r="E110" s="7">
        <v>429.53899999999999</v>
      </c>
      <c r="F110" s="14">
        <v>17.430499999999999</v>
      </c>
      <c r="G110" s="14">
        <v>8.6104199999999995</v>
      </c>
      <c r="H110" s="7">
        <v>61.629899999999999</v>
      </c>
      <c r="I110" s="7">
        <v>90.426699999999997</v>
      </c>
      <c r="J110" s="7"/>
      <c r="M110" s="14"/>
      <c r="N110" s="57"/>
      <c r="Q110" s="57"/>
      <c r="R110" s="57"/>
      <c r="W110">
        <f t="shared" si="3"/>
        <v>390</v>
      </c>
      <c r="X110" s="14">
        <f t="shared" si="4"/>
        <v>140.4</v>
      </c>
      <c r="Z110">
        <v>78</v>
      </c>
      <c r="AA110" s="58">
        <v>419.60264996807791</v>
      </c>
      <c r="AB110" s="59">
        <v>9.4329824122696007</v>
      </c>
      <c r="AC110" s="59">
        <v>429.03563238034752</v>
      </c>
      <c r="AD110" s="60">
        <v>410.1696675558083</v>
      </c>
      <c r="AE110" s="61">
        <v>0.96858658273499432</v>
      </c>
      <c r="AF110" s="62">
        <v>2.1155792566627959E-2</v>
      </c>
      <c r="AG110" s="62">
        <v>0.98974237530162223</v>
      </c>
      <c r="AH110" s="63">
        <v>0.9474307901683664</v>
      </c>
      <c r="AI110" s="78">
        <v>16.822054545084637</v>
      </c>
    </row>
    <row r="111" spans="1:35" x14ac:dyDescent="0.25">
      <c r="A111" s="7">
        <v>390</v>
      </c>
      <c r="B111" s="7">
        <v>178.536</v>
      </c>
      <c r="C111" s="7">
        <v>86.116399999999999</v>
      </c>
      <c r="D111" s="7">
        <v>186.64699999999999</v>
      </c>
      <c r="E111" s="7">
        <v>429.49</v>
      </c>
      <c r="F111" s="14">
        <v>17.559000000000001</v>
      </c>
      <c r="G111" s="14">
        <v>8.7388700000000004</v>
      </c>
      <c r="H111" s="7">
        <v>61.261000000000003</v>
      </c>
      <c r="I111" s="7">
        <v>89.195300000000003</v>
      </c>
      <c r="J111" s="7"/>
      <c r="M111" s="14"/>
      <c r="N111" s="57"/>
      <c r="Q111" s="57"/>
      <c r="R111" s="57"/>
      <c r="W111">
        <f t="shared" si="3"/>
        <v>395</v>
      </c>
      <c r="X111" s="14">
        <f t="shared" si="4"/>
        <v>137.4</v>
      </c>
      <c r="Z111">
        <v>79</v>
      </c>
      <c r="AA111" s="58">
        <v>419.21146759585139</v>
      </c>
      <c r="AB111" s="59">
        <v>9.0033377341440648</v>
      </c>
      <c r="AC111" s="59">
        <v>428.21480532999544</v>
      </c>
      <c r="AD111" s="60">
        <v>410.20812986170733</v>
      </c>
      <c r="AE111" s="61">
        <v>0.96771045757683449</v>
      </c>
      <c r="AF111" s="62">
        <v>2.1996450665302821E-2</v>
      </c>
      <c r="AG111" s="62">
        <v>0.98970690824213736</v>
      </c>
      <c r="AH111" s="63">
        <v>0.94571400691153162</v>
      </c>
      <c r="AI111" s="78">
        <v>16.120947067617468</v>
      </c>
    </row>
    <row r="112" spans="1:35" x14ac:dyDescent="0.25">
      <c r="A112" s="7">
        <v>395</v>
      </c>
      <c r="B112" s="7">
        <v>179.708</v>
      </c>
      <c r="C112" s="7">
        <v>84.889399999999995</v>
      </c>
      <c r="D112" s="7">
        <v>182.30699999999999</v>
      </c>
      <c r="E112" s="7">
        <v>429.48399999999998</v>
      </c>
      <c r="F112" s="14">
        <v>15.1173</v>
      </c>
      <c r="G112" s="14">
        <v>9.0866699999999998</v>
      </c>
      <c r="H112" s="7">
        <v>59.170699999999997</v>
      </c>
      <c r="I112" s="7">
        <v>83.930999999999997</v>
      </c>
      <c r="J112" s="7"/>
      <c r="M112" s="14"/>
      <c r="N112" s="57"/>
      <c r="Q112" s="57"/>
      <c r="R112" s="57"/>
      <c r="W112">
        <f t="shared" si="3"/>
        <v>400</v>
      </c>
      <c r="X112" s="14">
        <f t="shared" si="4"/>
        <v>134.30000000000001</v>
      </c>
      <c r="Z112">
        <v>80</v>
      </c>
      <c r="AA112" s="58">
        <v>418.81133954715216</v>
      </c>
      <c r="AB112" s="59">
        <v>8.579522633480968</v>
      </c>
      <c r="AC112" s="59">
        <v>427.39086218063312</v>
      </c>
      <c r="AD112" s="60">
        <v>410.2318169136712</v>
      </c>
      <c r="AE112" s="61">
        <v>0.96681357630360587</v>
      </c>
      <c r="AF112" s="62">
        <v>2.2849829170969931E-2</v>
      </c>
      <c r="AG112" s="62">
        <v>0.98966340547457576</v>
      </c>
      <c r="AH112" s="63">
        <v>0.94396374713263598</v>
      </c>
      <c r="AI112" s="78">
        <v>15.869184778343817</v>
      </c>
    </row>
    <row r="113" spans="1:35" x14ac:dyDescent="0.25">
      <c r="A113" s="7">
        <v>400</v>
      </c>
      <c r="B113" s="7">
        <v>161.05500000000001</v>
      </c>
      <c r="C113" s="7">
        <v>83.543199999999999</v>
      </c>
      <c r="D113" s="7">
        <v>177.16399999999999</v>
      </c>
      <c r="E113" s="7">
        <v>429.48399999999998</v>
      </c>
      <c r="F113" s="14">
        <v>35.492800000000003</v>
      </c>
      <c r="G113" s="14">
        <v>9.7271599999999996</v>
      </c>
      <c r="H113" s="7">
        <v>58.842799999999997</v>
      </c>
      <c r="I113" s="7">
        <v>82.881</v>
      </c>
      <c r="J113" s="7"/>
      <c r="M113" s="14"/>
      <c r="N113" s="57"/>
      <c r="Q113" s="57"/>
      <c r="R113" s="57"/>
      <c r="W113">
        <f t="shared" si="3"/>
        <v>405</v>
      </c>
      <c r="X113" s="14">
        <f t="shared" si="4"/>
        <v>131.30000000000001</v>
      </c>
      <c r="Z113">
        <v>81</v>
      </c>
      <c r="AA113" s="58">
        <v>418.34926865322615</v>
      </c>
      <c r="AB113" s="59">
        <v>8.0529629851171496</v>
      </c>
      <c r="AC113" s="59">
        <v>426.40223163834332</v>
      </c>
      <c r="AD113" s="60">
        <v>410.29630566810897</v>
      </c>
      <c r="AE113" s="61">
        <v>0.96577982537102747</v>
      </c>
      <c r="AF113" s="62">
        <v>2.3894970249544015E-2</v>
      </c>
      <c r="AG113" s="62">
        <v>0.98967479562057148</v>
      </c>
      <c r="AH113" s="63">
        <v>0.94188485512148346</v>
      </c>
      <c r="AI113" s="78">
        <v>15.720309938703265</v>
      </c>
    </row>
    <row r="114" spans="1:35" x14ac:dyDescent="0.25">
      <c r="A114" s="7">
        <v>405</v>
      </c>
      <c r="B114" s="7">
        <v>159.35300000000001</v>
      </c>
      <c r="C114" s="7">
        <v>82.250500000000002</v>
      </c>
      <c r="D114" s="7">
        <v>172.20699999999999</v>
      </c>
      <c r="E114" s="7">
        <v>429.48399999999998</v>
      </c>
      <c r="F114" s="14">
        <v>33.246699999999997</v>
      </c>
      <c r="G114" s="14">
        <v>10.2349</v>
      </c>
      <c r="H114" s="7">
        <v>58.527500000000003</v>
      </c>
      <c r="I114" s="7">
        <v>81.875500000000002</v>
      </c>
      <c r="J114" s="7"/>
      <c r="M114" s="14"/>
      <c r="N114" s="57"/>
      <c r="Q114" s="57"/>
      <c r="R114" s="57"/>
      <c r="W114">
        <f t="shared" si="3"/>
        <v>410</v>
      </c>
      <c r="X114" s="14">
        <f t="shared" si="4"/>
        <v>128.9</v>
      </c>
      <c r="Z114">
        <v>82</v>
      </c>
      <c r="AA114" s="58">
        <v>417.72143266499182</v>
      </c>
      <c r="AB114" s="59">
        <v>7.2421219861292512</v>
      </c>
      <c r="AC114" s="59">
        <v>424.96355465112106</v>
      </c>
      <c r="AD114" s="60">
        <v>410.47931067886259</v>
      </c>
      <c r="AE114" s="61">
        <v>0.96438021999295442</v>
      </c>
      <c r="AF114" s="62">
        <v>2.5467849011911008E-2</v>
      </c>
      <c r="AG114" s="62">
        <v>0.98984806900486544</v>
      </c>
      <c r="AH114" s="63">
        <v>0.93891237098104341</v>
      </c>
      <c r="AI114" s="78">
        <v>15.469772265897237</v>
      </c>
    </row>
    <row r="115" spans="1:35" x14ac:dyDescent="0.25">
      <c r="A115" s="7">
        <v>410</v>
      </c>
      <c r="B115" s="7">
        <v>426.73</v>
      </c>
      <c r="C115" s="7">
        <v>81.010800000000003</v>
      </c>
      <c r="D115" s="7">
        <v>166.81899999999999</v>
      </c>
      <c r="E115" s="7">
        <v>429.48399999999998</v>
      </c>
      <c r="F115" s="14">
        <v>0.19401299999999999</v>
      </c>
      <c r="G115" s="14">
        <v>10.8406</v>
      </c>
      <c r="H115" s="7">
        <v>58.223599999999998</v>
      </c>
      <c r="I115" s="7">
        <v>80.896199999999993</v>
      </c>
      <c r="J115" s="7"/>
      <c r="M115" s="14"/>
      <c r="N115" s="57"/>
      <c r="Q115" s="57"/>
      <c r="R115" s="57"/>
      <c r="W115">
        <f t="shared" si="3"/>
        <v>415</v>
      </c>
      <c r="X115" s="14">
        <f t="shared" si="4"/>
        <v>126.4</v>
      </c>
      <c r="Z115">
        <v>83</v>
      </c>
      <c r="AA115" s="58">
        <v>417.0841328063002</v>
      </c>
      <c r="AB115" s="59">
        <v>6.415060044241983</v>
      </c>
      <c r="AC115" s="59">
        <v>423.49919285054216</v>
      </c>
      <c r="AD115" s="60">
        <v>410.66907276205825</v>
      </c>
      <c r="AE115" s="61">
        <v>0.96295972723148582</v>
      </c>
      <c r="AF115" s="62">
        <v>2.7096597423074509E-2</v>
      </c>
      <c r="AG115" s="62">
        <v>0.99005632465456028</v>
      </c>
      <c r="AH115" s="63">
        <v>0.93586312980841135</v>
      </c>
      <c r="AI115" s="78">
        <v>14.956255528787132</v>
      </c>
    </row>
    <row r="116" spans="1:35" x14ac:dyDescent="0.25">
      <c r="A116" s="7">
        <v>415</v>
      </c>
      <c r="B116" s="7">
        <v>163.75299999999999</v>
      </c>
      <c r="C116" s="7">
        <v>79.821899999999999</v>
      </c>
      <c r="D116" s="7">
        <v>162.21899999999999</v>
      </c>
      <c r="E116" s="7">
        <v>429.483</v>
      </c>
      <c r="F116" s="14">
        <v>24.248200000000001</v>
      </c>
      <c r="G116" s="14">
        <v>11.4245</v>
      </c>
      <c r="H116" s="7">
        <v>57.930599999999998</v>
      </c>
      <c r="I116" s="7">
        <v>79.807299999999998</v>
      </c>
      <c r="J116" s="7"/>
      <c r="M116" s="14"/>
      <c r="N116" s="57"/>
      <c r="Q116" s="57"/>
      <c r="R116" s="57"/>
      <c r="W116">
        <f t="shared" si="3"/>
        <v>420</v>
      </c>
      <c r="X116" s="14">
        <f t="shared" si="4"/>
        <v>124</v>
      </c>
      <c r="Z116">
        <v>84</v>
      </c>
      <c r="AA116" s="58">
        <v>416.44683294760847</v>
      </c>
      <c r="AB116" s="59">
        <v>5.5880174361933737</v>
      </c>
      <c r="AC116" s="59">
        <v>422.03485038380182</v>
      </c>
      <c r="AD116" s="60">
        <v>410.85881551141512</v>
      </c>
      <c r="AE116" s="61">
        <v>0.96153923447001721</v>
      </c>
      <c r="AF116" s="62">
        <v>2.8747642684370411E-2</v>
      </c>
      <c r="AG116" s="62">
        <v>0.99028687715438757</v>
      </c>
      <c r="AH116" s="63">
        <v>0.93279159178564686</v>
      </c>
      <c r="AI116" s="78">
        <v>14.429295772415479</v>
      </c>
    </row>
    <row r="117" spans="1:35" x14ac:dyDescent="0.25">
      <c r="A117" s="7">
        <v>420</v>
      </c>
      <c r="B117" s="7">
        <v>247.096</v>
      </c>
      <c r="C117" s="7">
        <v>78.681399999999996</v>
      </c>
      <c r="D117" s="7">
        <v>158.03</v>
      </c>
      <c r="E117" s="7">
        <v>429.476</v>
      </c>
      <c r="F117" s="14">
        <v>3.7267700000000001</v>
      </c>
      <c r="G117" s="14">
        <v>11.9443</v>
      </c>
      <c r="H117" s="7">
        <v>57.648099999999999</v>
      </c>
      <c r="I117" s="7">
        <v>78.931200000000004</v>
      </c>
      <c r="J117" s="7"/>
      <c r="M117" s="14"/>
      <c r="N117" s="57"/>
      <c r="Q117" s="57"/>
      <c r="R117" s="57"/>
      <c r="W117">
        <f t="shared" si="3"/>
        <v>425</v>
      </c>
      <c r="X117" s="14">
        <f t="shared" si="4"/>
        <v>121.5</v>
      </c>
      <c r="Z117">
        <v>85</v>
      </c>
      <c r="AA117" s="58">
        <v>415.83267753374821</v>
      </c>
      <c r="AB117" s="59">
        <v>4.8006686185908078</v>
      </c>
      <c r="AC117" s="59">
        <v>420.63334615233902</v>
      </c>
      <c r="AD117" s="60">
        <v>411.03200891515741</v>
      </c>
      <c r="AE117" s="61">
        <v>0.96016982301770704</v>
      </c>
      <c r="AF117" s="62">
        <v>3.0340819736202403E-2</v>
      </c>
      <c r="AG117" s="62">
        <v>0.99051064275390943</v>
      </c>
      <c r="AH117" s="63">
        <v>0.92982900328150464</v>
      </c>
      <c r="AI117" s="78">
        <v>13.902336016043822</v>
      </c>
    </row>
    <row r="118" spans="1:35" x14ac:dyDescent="0.25">
      <c r="A118" s="7">
        <v>425</v>
      </c>
      <c r="B118" s="7">
        <v>428.23599999999999</v>
      </c>
      <c r="C118" s="7">
        <v>77.587100000000007</v>
      </c>
      <c r="D118" s="7">
        <v>153.958</v>
      </c>
      <c r="E118" s="7">
        <v>429.476</v>
      </c>
      <c r="F118" s="14">
        <v>0.14938199999999999</v>
      </c>
      <c r="G118" s="14">
        <v>12.4381</v>
      </c>
      <c r="H118" s="7">
        <v>57.375799999999998</v>
      </c>
      <c r="I118" s="7">
        <v>78.057900000000004</v>
      </c>
      <c r="J118" s="7"/>
      <c r="M118" s="14"/>
      <c r="N118" s="57"/>
      <c r="Q118" s="57"/>
      <c r="R118" s="57"/>
      <c r="W118">
        <f t="shared" si="3"/>
        <v>430</v>
      </c>
      <c r="X118" s="14">
        <f t="shared" si="4"/>
        <v>119.7</v>
      </c>
      <c r="Z118">
        <v>86</v>
      </c>
      <c r="AA118" s="58">
        <v>415.43245282168868</v>
      </c>
      <c r="AB118" s="59">
        <v>4.3806536794536051</v>
      </c>
      <c r="AC118" s="59">
        <v>419.81310650114227</v>
      </c>
      <c r="AD118" s="60">
        <v>411.0517991422351</v>
      </c>
      <c r="AE118" s="61">
        <v>0.95927254038108722</v>
      </c>
      <c r="AF118" s="62">
        <v>3.1234034580736245E-2</v>
      </c>
      <c r="AG118" s="62">
        <v>0.99050657496182348</v>
      </c>
      <c r="AH118" s="63">
        <v>0.92803850580035097</v>
      </c>
      <c r="AI118" s="78">
        <v>13.375376259672169</v>
      </c>
    </row>
    <row r="119" spans="1:35" x14ac:dyDescent="0.25">
      <c r="A119" s="7">
        <v>430</v>
      </c>
      <c r="B119" s="7">
        <v>172.76599999999999</v>
      </c>
      <c r="C119" s="7">
        <v>76.536900000000003</v>
      </c>
      <c r="D119" s="7">
        <v>150.096</v>
      </c>
      <c r="E119" s="7">
        <v>429.476</v>
      </c>
      <c r="F119" s="14">
        <v>15.297000000000001</v>
      </c>
      <c r="G119" s="14">
        <v>12.8607</v>
      </c>
      <c r="H119" s="7">
        <v>57.113300000000002</v>
      </c>
      <c r="I119" s="7">
        <v>77.231700000000004</v>
      </c>
      <c r="J119" s="7"/>
      <c r="M119" s="14"/>
      <c r="N119" s="57"/>
      <c r="Q119" s="57"/>
      <c r="R119" s="57"/>
      <c r="W119">
        <f t="shared" si="3"/>
        <v>435</v>
      </c>
      <c r="X119" s="14">
        <f t="shared" si="4"/>
        <v>117.8</v>
      </c>
      <c r="Z119">
        <v>87</v>
      </c>
      <c r="AA119" s="58">
        <v>415.07829466838206</v>
      </c>
      <c r="AB119" s="59">
        <v>4.0569926718067606</v>
      </c>
      <c r="AC119" s="59">
        <v>419.13528734018882</v>
      </c>
      <c r="AD119" s="60">
        <v>411.02130199657529</v>
      </c>
      <c r="AE119" s="61">
        <v>0.95847575871108948</v>
      </c>
      <c r="AF119" s="62">
        <v>3.1933991188552974E-2</v>
      </c>
      <c r="AG119" s="62">
        <v>0.99040974989964248</v>
      </c>
      <c r="AH119" s="63">
        <v>0.92654176752253647</v>
      </c>
      <c r="AI119" s="78">
        <v>12.848416503300513</v>
      </c>
    </row>
    <row r="120" spans="1:35" x14ac:dyDescent="0.25">
      <c r="A120" s="7">
        <v>435</v>
      </c>
      <c r="B120" s="7">
        <v>428.78100000000001</v>
      </c>
      <c r="C120" s="7">
        <v>75.528999999999996</v>
      </c>
      <c r="D120" s="7">
        <v>146.363</v>
      </c>
      <c r="E120" s="7">
        <v>429.476</v>
      </c>
      <c r="F120" s="14">
        <v>0.122082</v>
      </c>
      <c r="G120" s="14">
        <v>13.254899999999999</v>
      </c>
      <c r="H120" s="7">
        <v>56.860199999999999</v>
      </c>
      <c r="I120" s="7">
        <v>76.418599999999998</v>
      </c>
      <c r="J120" s="7"/>
      <c r="M120" s="14"/>
      <c r="N120" s="57"/>
      <c r="Q120" s="57"/>
      <c r="R120" s="57"/>
      <c r="W120">
        <f t="shared" si="3"/>
        <v>440</v>
      </c>
      <c r="X120" s="14">
        <f t="shared" si="4"/>
        <v>116.2</v>
      </c>
      <c r="Z120">
        <v>88</v>
      </c>
      <c r="AA120" s="58">
        <v>414.72105266096588</v>
      </c>
      <c r="AB120" s="59">
        <v>3.7373031240200132</v>
      </c>
      <c r="AC120" s="59">
        <v>418.45835578498588</v>
      </c>
      <c r="AD120" s="60">
        <v>410.98374953694588</v>
      </c>
      <c r="AE120" s="61">
        <v>0.95767156977697454</v>
      </c>
      <c r="AF120" s="62">
        <v>3.2623562322275881E-2</v>
      </c>
      <c r="AG120" s="62">
        <v>0.99029513209925046</v>
      </c>
      <c r="AH120" s="63">
        <v>0.92504800745469862</v>
      </c>
      <c r="AI120" s="78">
        <v>12.321456746928861</v>
      </c>
    </row>
    <row r="121" spans="1:35" x14ac:dyDescent="0.25">
      <c r="A121" s="7">
        <v>440</v>
      </c>
      <c r="B121" s="7">
        <v>170.80199999999999</v>
      </c>
      <c r="C121" s="7">
        <v>74.561700000000002</v>
      </c>
      <c r="D121" s="7">
        <v>142.797</v>
      </c>
      <c r="E121" s="7">
        <v>429.476</v>
      </c>
      <c r="F121" s="14">
        <v>16.833500000000001</v>
      </c>
      <c r="G121" s="14">
        <v>13.6249</v>
      </c>
      <c r="H121" s="7">
        <v>56.616100000000003</v>
      </c>
      <c r="I121" s="7">
        <v>75.6387</v>
      </c>
      <c r="J121" s="7"/>
      <c r="M121" s="14"/>
      <c r="N121" s="57"/>
      <c r="Q121" s="57"/>
      <c r="R121" s="57"/>
      <c r="W121">
        <f t="shared" si="3"/>
        <v>445</v>
      </c>
      <c r="X121" s="14">
        <f t="shared" si="4"/>
        <v>114.7</v>
      </c>
      <c r="Z121">
        <v>89</v>
      </c>
      <c r="AA121" s="58">
        <v>414.36381065354971</v>
      </c>
      <c r="AB121" s="59">
        <v>3.4185186142600577</v>
      </c>
      <c r="AC121" s="59">
        <v>417.78232926780976</v>
      </c>
      <c r="AD121" s="60">
        <v>410.94529203928965</v>
      </c>
      <c r="AE121" s="61">
        <v>0.95686738084285938</v>
      </c>
      <c r="AF121" s="62">
        <v>3.3313784678989607E-2</v>
      </c>
      <c r="AG121" s="62">
        <v>0.99018116552184898</v>
      </c>
      <c r="AH121" s="63">
        <v>0.92355359616386978</v>
      </c>
      <c r="AI121" s="78">
        <v>11.794496990557203</v>
      </c>
    </row>
    <row r="122" spans="1:35" x14ac:dyDescent="0.25">
      <c r="A122" s="7">
        <v>445</v>
      </c>
      <c r="B122" s="7">
        <v>429.10700000000003</v>
      </c>
      <c r="C122" s="7">
        <v>73.632900000000006</v>
      </c>
      <c r="D122" s="7">
        <v>139.364</v>
      </c>
      <c r="E122" s="7">
        <v>429.476</v>
      </c>
      <c r="F122" s="14">
        <v>9.7761899999999999E-2</v>
      </c>
      <c r="G122" s="14">
        <v>13.9307</v>
      </c>
      <c r="H122" s="7">
        <v>56.380800000000001</v>
      </c>
      <c r="I122" s="7">
        <v>74.878200000000007</v>
      </c>
      <c r="J122" s="7"/>
      <c r="M122" s="14"/>
      <c r="N122" s="57"/>
      <c r="Q122" s="57"/>
      <c r="R122" s="57"/>
      <c r="W122">
        <f t="shared" si="3"/>
        <v>450</v>
      </c>
      <c r="X122" s="14">
        <f t="shared" si="4"/>
        <v>113.4</v>
      </c>
      <c r="Z122">
        <v>90</v>
      </c>
      <c r="AA122" s="58">
        <v>414.00656864613347</v>
      </c>
      <c r="AB122" s="59">
        <v>3.1009182776706288</v>
      </c>
      <c r="AC122" s="59">
        <v>417.10748692380412</v>
      </c>
      <c r="AD122" s="60">
        <v>410.90565036846283</v>
      </c>
      <c r="AE122" s="61">
        <v>0.95606319190874423</v>
      </c>
      <c r="AF122" s="62">
        <v>3.4004618603339358E-2</v>
      </c>
      <c r="AG122" s="62">
        <v>0.99006781051208359</v>
      </c>
      <c r="AH122" s="63">
        <v>0.92205857330540486</v>
      </c>
      <c r="AI122" s="78">
        <v>11.267537234185548</v>
      </c>
    </row>
    <row r="123" spans="1:35" x14ac:dyDescent="0.25">
      <c r="A123" s="7">
        <v>450</v>
      </c>
      <c r="B123" s="7">
        <v>429.27100000000002</v>
      </c>
      <c r="C123" s="7">
        <v>72.741</v>
      </c>
      <c r="D123" s="7">
        <v>136.07499999999999</v>
      </c>
      <c r="E123" s="7">
        <v>429.476</v>
      </c>
      <c r="F123" s="14">
        <v>7.8696000000000002E-2</v>
      </c>
      <c r="G123" s="14">
        <v>14.2349</v>
      </c>
      <c r="H123" s="7">
        <v>56.1539</v>
      </c>
      <c r="I123" s="7">
        <v>74.144599999999997</v>
      </c>
      <c r="J123" s="7"/>
      <c r="M123" s="14"/>
      <c r="N123" s="57"/>
      <c r="Q123" s="57"/>
      <c r="R123" s="57"/>
      <c r="W123">
        <f t="shared" si="3"/>
        <v>455</v>
      </c>
      <c r="X123" s="14">
        <f t="shared" si="4"/>
        <v>112.2</v>
      </c>
      <c r="Z123">
        <v>91</v>
      </c>
      <c r="AA123" s="58">
        <v>413.64932663871724</v>
      </c>
      <c r="AB123" s="59">
        <v>2.7849072851815611</v>
      </c>
      <c r="AC123" s="59">
        <v>416.43423392389883</v>
      </c>
      <c r="AD123" s="60">
        <v>410.86441935353565</v>
      </c>
      <c r="AE123" s="61">
        <v>0.95525900297462896</v>
      </c>
      <c r="AF123" s="62">
        <v>3.4696027564505176E-2</v>
      </c>
      <c r="AG123" s="62">
        <v>0.98995503053913414</v>
      </c>
      <c r="AH123" s="63">
        <v>0.92056297541012377</v>
      </c>
      <c r="AI123" s="78">
        <v>10.967913220172116</v>
      </c>
    </row>
    <row r="124" spans="1:35" x14ac:dyDescent="0.25">
      <c r="A124" s="7">
        <v>455</v>
      </c>
      <c r="B124" s="7">
        <v>429.33600000000001</v>
      </c>
      <c r="C124" s="7">
        <v>71.884600000000006</v>
      </c>
      <c r="D124" s="7">
        <v>132.911</v>
      </c>
      <c r="E124" s="7">
        <v>429.476</v>
      </c>
      <c r="F124" s="14">
        <v>6.7811300000000005E-2</v>
      </c>
      <c r="G124" s="14">
        <v>14.4848</v>
      </c>
      <c r="H124" s="7">
        <v>55.935099999999998</v>
      </c>
      <c r="I124" s="7">
        <v>73.430899999999994</v>
      </c>
      <c r="J124" s="7"/>
      <c r="M124" s="14"/>
      <c r="N124" s="57"/>
      <c r="Q124" s="57"/>
      <c r="R124" s="57"/>
      <c r="W124">
        <f t="shared" si="3"/>
        <v>460</v>
      </c>
      <c r="X124" s="14">
        <f t="shared" si="4"/>
        <v>111</v>
      </c>
      <c r="Z124">
        <v>92</v>
      </c>
      <c r="AA124" s="58">
        <v>413.29208463130112</v>
      </c>
      <c r="AB124" s="59">
        <v>2.4710954621056591</v>
      </c>
      <c r="AC124" s="59">
        <v>415.76318009340679</v>
      </c>
      <c r="AD124" s="60">
        <v>410.82098916919546</v>
      </c>
      <c r="AE124" s="61">
        <v>0.9544548140405138</v>
      </c>
      <c r="AF124" s="62">
        <v>3.5387977857360878E-2</v>
      </c>
      <c r="AG124" s="62">
        <v>0.98984279189787472</v>
      </c>
      <c r="AH124" s="63">
        <v>0.91906683618315288</v>
      </c>
      <c r="AI124" s="78">
        <v>10.984543238681498</v>
      </c>
    </row>
    <row r="125" spans="1:35" x14ac:dyDescent="0.25">
      <c r="A125" s="7">
        <v>460</v>
      </c>
      <c r="B125" s="7">
        <v>429.38900000000001</v>
      </c>
      <c r="C125" s="7">
        <v>71.062100000000001</v>
      </c>
      <c r="D125" s="7">
        <v>129.874</v>
      </c>
      <c r="E125" s="7">
        <v>429.476</v>
      </c>
      <c r="F125" s="14">
        <v>5.5639399999999999E-2</v>
      </c>
      <c r="G125" s="14">
        <v>14.691700000000001</v>
      </c>
      <c r="H125" s="7">
        <v>55.724200000000003</v>
      </c>
      <c r="I125" s="7">
        <v>72.740300000000005</v>
      </c>
      <c r="J125" s="7"/>
      <c r="M125" s="14"/>
      <c r="N125" s="57"/>
      <c r="Q125" s="57"/>
      <c r="R125" s="57"/>
      <c r="W125">
        <f t="shared" si="3"/>
        <v>465</v>
      </c>
      <c r="X125" s="14">
        <f t="shared" si="4"/>
        <v>109.7</v>
      </c>
      <c r="Z125">
        <v>93</v>
      </c>
      <c r="AA125" s="58">
        <v>412.93484262388483</v>
      </c>
      <c r="AB125" s="59">
        <v>2.1604413327229048</v>
      </c>
      <c r="AC125" s="59">
        <v>415.09528395660772</v>
      </c>
      <c r="AD125" s="60">
        <v>410.77440129116195</v>
      </c>
      <c r="AE125" s="61">
        <v>0.95365062510639864</v>
      </c>
      <c r="AF125" s="62">
        <v>3.6080438336958266E-2</v>
      </c>
      <c r="AG125" s="62">
        <v>0.98973106344335693</v>
      </c>
      <c r="AH125" s="63">
        <v>0.91757018676944035</v>
      </c>
      <c r="AI125" s="78">
        <v>11.099234738396209</v>
      </c>
    </row>
    <row r="126" spans="1:35" x14ac:dyDescent="0.25">
      <c r="A126" s="7">
        <v>465</v>
      </c>
      <c r="B126" s="7">
        <v>429.43200000000002</v>
      </c>
      <c r="C126" s="7">
        <v>70.272099999999995</v>
      </c>
      <c r="D126" s="7">
        <v>126.95699999999999</v>
      </c>
      <c r="E126" s="7">
        <v>429.476</v>
      </c>
      <c r="F126" s="14">
        <v>4.1575399999999998E-2</v>
      </c>
      <c r="G126" s="14">
        <v>14.8583</v>
      </c>
      <c r="H126" s="7">
        <v>55.520800000000001</v>
      </c>
      <c r="I126" s="7">
        <v>72.0715</v>
      </c>
      <c r="J126" s="7"/>
      <c r="M126" s="14"/>
      <c r="N126" s="57"/>
      <c r="Q126" s="57"/>
      <c r="R126" s="57"/>
      <c r="W126">
        <f t="shared" si="3"/>
        <v>470</v>
      </c>
      <c r="X126" s="14">
        <f t="shared" si="4"/>
        <v>108.4</v>
      </c>
      <c r="Z126">
        <v>94</v>
      </c>
      <c r="AA126" s="58">
        <v>412.57760061646871</v>
      </c>
      <c r="AB126" s="59">
        <v>1.8545324194934247</v>
      </c>
      <c r="AC126" s="59">
        <v>414.43213303596212</v>
      </c>
      <c r="AD126" s="60">
        <v>410.7230681969753</v>
      </c>
      <c r="AE126" s="61">
        <v>0.9528464361722836</v>
      </c>
      <c r="AF126" s="62">
        <v>3.6773380182121888E-2</v>
      </c>
      <c r="AG126" s="62">
        <v>0.98961981635440543</v>
      </c>
      <c r="AH126" s="63">
        <v>0.91607305599016176</v>
      </c>
      <c r="AI126" s="78">
        <v>11.253273695417978</v>
      </c>
    </row>
    <row r="127" spans="1:35" x14ac:dyDescent="0.25">
      <c r="A127" s="7">
        <v>470</v>
      </c>
      <c r="B127" s="7">
        <v>429.41199999999998</v>
      </c>
      <c r="C127" s="7">
        <v>69.513000000000005</v>
      </c>
      <c r="D127" s="7">
        <v>124.15300000000001</v>
      </c>
      <c r="E127" s="7">
        <v>429.476</v>
      </c>
      <c r="F127" s="14">
        <v>4.86703E-2</v>
      </c>
      <c r="G127" s="14">
        <v>14.996700000000001</v>
      </c>
      <c r="H127" s="7">
        <v>55.3247</v>
      </c>
      <c r="I127" s="7">
        <v>71.421999999999997</v>
      </c>
      <c r="J127" s="7"/>
      <c r="M127" s="14"/>
      <c r="N127" s="57"/>
      <c r="Q127" s="57"/>
      <c r="R127" s="57"/>
      <c r="W127">
        <f t="shared" si="3"/>
        <v>475</v>
      </c>
      <c r="X127" s="14">
        <f t="shared" si="4"/>
        <v>106.9</v>
      </c>
      <c r="Z127">
        <v>95</v>
      </c>
      <c r="AA127" s="58">
        <v>412.22035860905248</v>
      </c>
      <c r="AB127" s="59">
        <v>1.5561696601859534</v>
      </c>
      <c r="AC127" s="59">
        <v>413.77652826923844</v>
      </c>
      <c r="AD127" s="60">
        <v>410.66418894886652</v>
      </c>
      <c r="AE127" s="61">
        <v>0.95204224723816833</v>
      </c>
      <c r="AF127" s="62">
        <v>3.7466776684531071E-2</v>
      </c>
      <c r="AG127" s="62">
        <v>0.98950902392269935</v>
      </c>
      <c r="AH127" s="63">
        <v>0.9145754705536373</v>
      </c>
      <c r="AI127" s="78">
        <v>11.407312652439746</v>
      </c>
    </row>
    <row r="128" spans="1:35" x14ac:dyDescent="0.25">
      <c r="A128" s="7">
        <v>475</v>
      </c>
      <c r="B128" s="7">
        <v>424.65600000000001</v>
      </c>
      <c r="C128" s="7">
        <v>68.783600000000007</v>
      </c>
      <c r="D128" s="7">
        <v>121.46</v>
      </c>
      <c r="E128" s="7">
        <v>429.47500000000002</v>
      </c>
      <c r="F128" s="14">
        <v>0.21074999999999999</v>
      </c>
      <c r="G128" s="14">
        <v>15.6616</v>
      </c>
      <c r="H128" s="7">
        <v>55.1355</v>
      </c>
      <c r="I128" s="7">
        <v>70.792900000000003</v>
      </c>
      <c r="J128" s="7"/>
      <c r="M128" s="14"/>
      <c r="N128" s="57"/>
      <c r="Q128" s="57"/>
      <c r="R128" s="57"/>
      <c r="W128">
        <f t="shared" si="3"/>
        <v>480</v>
      </c>
      <c r="X128" s="14">
        <f t="shared" si="4"/>
        <v>105.5</v>
      </c>
      <c r="Z128">
        <v>96</v>
      </c>
      <c r="AA128" s="58">
        <v>411.86311660163636</v>
      </c>
      <c r="AB128" s="59">
        <v>1.2706798578441116</v>
      </c>
      <c r="AC128" s="59">
        <v>413.13379645948049</v>
      </c>
      <c r="AD128" s="60">
        <v>410.59243674379223</v>
      </c>
      <c r="AE128" s="61">
        <v>0.95123805830405317</v>
      </c>
      <c r="AF128" s="62">
        <v>3.8160603060172028E-2</v>
      </c>
      <c r="AG128" s="62">
        <v>0.98939866136422516</v>
      </c>
      <c r="AH128" s="63">
        <v>0.91307745524388118</v>
      </c>
      <c r="AI128" s="78">
        <v>11.561351609461516</v>
      </c>
    </row>
    <row r="129" spans="1:35" x14ac:dyDescent="0.25">
      <c r="A129" s="7">
        <v>480</v>
      </c>
      <c r="B129" s="7">
        <v>399.31400000000002</v>
      </c>
      <c r="C129" s="7">
        <v>68.082800000000006</v>
      </c>
      <c r="D129" s="7">
        <v>118.872</v>
      </c>
      <c r="E129" s="7">
        <v>429.47500000000002</v>
      </c>
      <c r="F129" s="14">
        <v>0.2112</v>
      </c>
      <c r="G129" s="14">
        <v>16.3642</v>
      </c>
      <c r="H129" s="7">
        <v>54.953200000000002</v>
      </c>
      <c r="I129" s="7">
        <v>70.183499999999995</v>
      </c>
      <c r="J129" s="7"/>
      <c r="M129" s="14"/>
      <c r="N129" s="57"/>
      <c r="Q129" s="57"/>
      <c r="R129" s="57"/>
      <c r="W129">
        <f t="shared" si="3"/>
        <v>485</v>
      </c>
      <c r="X129" s="14">
        <f t="shared" si="4"/>
        <v>104</v>
      </c>
      <c r="Z129">
        <v>97</v>
      </c>
      <c r="AA129" s="58">
        <v>411.48534612543477</v>
      </c>
      <c r="AB129" s="59">
        <v>0.97693686054643114</v>
      </c>
      <c r="AC129" s="59">
        <v>412.46228298598123</v>
      </c>
      <c r="AD129" s="60">
        <v>410.50840926488831</v>
      </c>
      <c r="AE129" s="61">
        <v>0.95038856169164998</v>
      </c>
      <c r="AF129" s="62">
        <v>3.8924611992317691E-2</v>
      </c>
      <c r="AG129" s="62">
        <v>0.98931317368396765</v>
      </c>
      <c r="AH129" s="63">
        <v>0.91146394969933231</v>
      </c>
      <c r="AI129" s="78">
        <v>11.715916512440181</v>
      </c>
    </row>
    <row r="130" spans="1:35" x14ac:dyDescent="0.25">
      <c r="A130" s="7">
        <v>485</v>
      </c>
      <c r="B130" s="7">
        <v>416.59699999999998</v>
      </c>
      <c r="C130" s="7">
        <v>67.409300000000002</v>
      </c>
      <c r="D130" s="7">
        <v>116.38500000000001</v>
      </c>
      <c r="E130" s="7">
        <v>429.47500000000002</v>
      </c>
      <c r="F130" s="14">
        <v>0.211868</v>
      </c>
      <c r="G130" s="14">
        <v>17.0686</v>
      </c>
      <c r="H130" s="7">
        <v>54.777299999999997</v>
      </c>
      <c r="I130" s="7">
        <v>69.592500000000001</v>
      </c>
      <c r="J130" s="7"/>
      <c r="M130" s="14"/>
      <c r="N130" s="57"/>
      <c r="Q130" s="57"/>
      <c r="R130" s="57"/>
      <c r="W130">
        <f t="shared" si="3"/>
        <v>490</v>
      </c>
      <c r="X130" s="14">
        <f t="shared" si="4"/>
        <v>102.8</v>
      </c>
      <c r="Z130">
        <v>98</v>
      </c>
      <c r="AA130" s="58">
        <v>411.01792070392617</v>
      </c>
      <c r="AB130" s="59">
        <v>0.64061836214571732</v>
      </c>
      <c r="AC130" s="59">
        <v>411.65853906607191</v>
      </c>
      <c r="AD130" s="60">
        <v>410.37730234178042</v>
      </c>
      <c r="AE130" s="61">
        <v>0.94934119072917289</v>
      </c>
      <c r="AF130" s="62">
        <v>3.9994988374863191E-2</v>
      </c>
      <c r="AG130" s="62">
        <v>0.98933617910403604</v>
      </c>
      <c r="AH130" s="63">
        <v>0.90934620235430974</v>
      </c>
      <c r="AI130" s="78">
        <v>11.932543038332613</v>
      </c>
    </row>
    <row r="131" spans="1:35" x14ac:dyDescent="0.25">
      <c r="A131" s="7">
        <v>490</v>
      </c>
      <c r="B131" s="7">
        <v>97.782300000000006</v>
      </c>
      <c r="C131" s="7">
        <v>66.761899999999997</v>
      </c>
      <c r="D131" s="7">
        <v>113.99299999999999</v>
      </c>
      <c r="E131" s="7">
        <v>429.47300000000001</v>
      </c>
      <c r="F131" s="14">
        <v>0.21229000000000001</v>
      </c>
      <c r="G131" s="14">
        <v>17.774799999999999</v>
      </c>
      <c r="H131" s="7">
        <v>54.607700000000001</v>
      </c>
      <c r="I131" s="7">
        <v>69.018900000000002</v>
      </c>
      <c r="J131" s="7"/>
      <c r="M131" s="14"/>
      <c r="N131" s="57"/>
      <c r="Q131" s="57"/>
      <c r="R131" s="57"/>
      <c r="W131">
        <f t="shared" si="3"/>
        <v>495</v>
      </c>
      <c r="X131" s="14">
        <f t="shared" si="4"/>
        <v>101.7</v>
      </c>
      <c r="Z131">
        <v>99</v>
      </c>
      <c r="AA131" s="58">
        <v>410.54002157385349</v>
      </c>
      <c r="AB131" s="59">
        <v>0.62632838736376195</v>
      </c>
      <c r="AC131" s="59">
        <v>411.16634996121724</v>
      </c>
      <c r="AD131" s="60">
        <v>409.91369318648975</v>
      </c>
      <c r="AE131" s="61">
        <v>0.94827070360430366</v>
      </c>
      <c r="AF131" s="62">
        <v>4.1103593991606804E-2</v>
      </c>
      <c r="AG131" s="62">
        <v>0.98937429759591045</v>
      </c>
      <c r="AH131" s="63">
        <v>0.90716710961269686</v>
      </c>
      <c r="AI131" s="78">
        <v>12.191771186733643</v>
      </c>
    </row>
    <row r="132" spans="1:35" x14ac:dyDescent="0.25">
      <c r="A132" s="7">
        <v>495</v>
      </c>
      <c r="B132" s="7">
        <v>378.06200000000001</v>
      </c>
      <c r="C132" s="7">
        <v>66.139600000000002</v>
      </c>
      <c r="D132" s="7">
        <v>111.69499999999999</v>
      </c>
      <c r="E132" s="7">
        <v>429.46</v>
      </c>
      <c r="F132" s="14">
        <v>0.21293799999999999</v>
      </c>
      <c r="G132" s="14">
        <v>18.482900000000001</v>
      </c>
      <c r="H132" s="7">
        <v>54.444200000000002</v>
      </c>
      <c r="I132" s="7">
        <v>68.463800000000006</v>
      </c>
      <c r="J132" s="7"/>
      <c r="M132" s="14"/>
      <c r="N132" s="57"/>
      <c r="Q132" s="57"/>
      <c r="R132" s="57"/>
      <c r="W132">
        <f t="shared" si="3"/>
        <v>500</v>
      </c>
      <c r="X132" s="14">
        <f t="shared" si="4"/>
        <v>100.6</v>
      </c>
      <c r="Z132">
        <v>100</v>
      </c>
      <c r="AA132" s="58">
        <v>410.06212244378094</v>
      </c>
      <c r="AB132" s="59">
        <v>0.96556404055357514</v>
      </c>
      <c r="AC132" s="59">
        <v>411.02768648433454</v>
      </c>
      <c r="AD132" s="60">
        <v>409.09655840322733</v>
      </c>
      <c r="AE132" s="61">
        <v>0.94720021647943453</v>
      </c>
      <c r="AF132" s="62">
        <v>4.2214618020830368E-2</v>
      </c>
      <c r="AG132" s="62">
        <v>0.98941483450026491</v>
      </c>
      <c r="AH132" s="63">
        <v>0.90498559845860416</v>
      </c>
      <c r="AI132" s="78">
        <v>12.450999335134671</v>
      </c>
    </row>
    <row r="133" spans="1:35" x14ac:dyDescent="0.25">
      <c r="A133" s="7">
        <v>500</v>
      </c>
      <c r="B133" s="7">
        <v>104.78100000000001</v>
      </c>
      <c r="C133" s="7">
        <v>65.541499999999999</v>
      </c>
      <c r="D133" s="7">
        <v>109.486</v>
      </c>
      <c r="E133" s="7">
        <v>429.41500000000002</v>
      </c>
      <c r="F133" s="14">
        <v>0.207065</v>
      </c>
      <c r="G133" s="14">
        <v>19.192699999999999</v>
      </c>
      <c r="H133" s="7">
        <v>54.2864</v>
      </c>
      <c r="I133" s="7">
        <v>67.9255</v>
      </c>
      <c r="J133" s="7"/>
      <c r="M133" s="14"/>
      <c r="N133" s="57"/>
      <c r="Q133" s="57"/>
      <c r="R133" s="57"/>
      <c r="Z133">
        <v>101</v>
      </c>
      <c r="AA133" s="58">
        <v>409.58422331370838</v>
      </c>
      <c r="AB133" s="59">
        <v>1.424946275722526</v>
      </c>
      <c r="AC133" s="59">
        <v>411.00916958943088</v>
      </c>
      <c r="AD133" s="60">
        <v>408.15927703798587</v>
      </c>
      <c r="AE133" s="61">
        <v>0.94612972935456552</v>
      </c>
      <c r="AF133" s="62">
        <v>4.3327874422347416E-2</v>
      </c>
      <c r="AG133" s="62">
        <v>0.98945760377691294</v>
      </c>
      <c r="AH133" s="63">
        <v>0.9028018549322181</v>
      </c>
      <c r="AI133" s="78">
        <v>12.709237347367337</v>
      </c>
    </row>
    <row r="134" spans="1:35" x14ac:dyDescent="0.25">
      <c r="A134" s="7">
        <v>505</v>
      </c>
      <c r="B134" s="7">
        <v>143.179</v>
      </c>
      <c r="C134" s="7">
        <v>64.966300000000004</v>
      </c>
      <c r="D134" s="7">
        <v>107.361</v>
      </c>
      <c r="E134" s="7">
        <v>426.32400000000001</v>
      </c>
      <c r="F134" s="14">
        <v>0</v>
      </c>
      <c r="G134" s="14">
        <v>19.7577</v>
      </c>
      <c r="H134" s="7">
        <v>54.134300000000003</v>
      </c>
      <c r="I134" s="7">
        <v>67.402799999999999</v>
      </c>
      <c r="J134" s="7"/>
      <c r="M134" s="14"/>
      <c r="N134" s="57"/>
      <c r="Q134" s="57"/>
      <c r="R134" s="57"/>
      <c r="Z134">
        <v>102</v>
      </c>
      <c r="AA134" s="58">
        <v>409.10632418363576</v>
      </c>
      <c r="AB134" s="59">
        <v>1.9200940512574098</v>
      </c>
      <c r="AC134" s="59">
        <v>411.02641823489319</v>
      </c>
      <c r="AD134" s="60">
        <v>407.18623013237834</v>
      </c>
      <c r="AE134" s="61">
        <v>0.94505924222969639</v>
      </c>
      <c r="AF134" s="62">
        <v>4.4443195440575227E-2</v>
      </c>
      <c r="AG134" s="62">
        <v>0.98950243767027157</v>
      </c>
      <c r="AH134" s="63">
        <v>0.90061604678912122</v>
      </c>
      <c r="AI134" s="78">
        <v>12.80311275565106</v>
      </c>
    </row>
    <row r="135" spans="1:35" x14ac:dyDescent="0.25">
      <c r="A135" s="7">
        <v>514</v>
      </c>
      <c r="B135" s="7">
        <v>143.179</v>
      </c>
      <c r="C135" s="7">
        <v>63.985999999999997</v>
      </c>
      <c r="D135" s="7">
        <v>103.74</v>
      </c>
      <c r="E135" s="7">
        <v>403.22</v>
      </c>
      <c r="F135" s="14">
        <v>0.221054</v>
      </c>
      <c r="G135" s="14">
        <v>20.248000000000001</v>
      </c>
      <c r="H135" s="7">
        <v>53.874099999999999</v>
      </c>
      <c r="I135" s="7">
        <v>66.503</v>
      </c>
      <c r="J135" s="7"/>
      <c r="M135" s="14"/>
      <c r="N135" s="57"/>
      <c r="Q135" s="57"/>
      <c r="R135" s="57"/>
      <c r="Z135">
        <v>103</v>
      </c>
      <c r="AA135" s="58">
        <v>408.62842505356326</v>
      </c>
      <c r="AB135" s="59">
        <v>2.4292348069598484</v>
      </c>
      <c r="AC135" s="59">
        <v>411.05765986052313</v>
      </c>
      <c r="AD135" s="60">
        <v>406.19919024660339</v>
      </c>
      <c r="AE135" s="61">
        <v>0.94398875510482727</v>
      </c>
      <c r="AF135" s="62">
        <v>4.5560429450082512E-2</v>
      </c>
      <c r="AG135" s="62">
        <v>0.98954918455490981</v>
      </c>
      <c r="AH135" s="63">
        <v>0.89842832565474473</v>
      </c>
      <c r="AI135" s="78">
        <v>12.777181687562363</v>
      </c>
    </row>
    <row r="136" spans="1:35" x14ac:dyDescent="0.25">
      <c r="A136" s="7"/>
      <c r="B136" s="7"/>
      <c r="C136" s="7"/>
      <c r="D136" s="7"/>
      <c r="E136" s="7"/>
      <c r="F136" s="14"/>
      <c r="G136" s="14"/>
      <c r="H136" s="7"/>
      <c r="I136" s="7"/>
      <c r="J136" s="7"/>
      <c r="M136" s="14"/>
      <c r="N136" s="57"/>
      <c r="Q136" s="57"/>
      <c r="R136" s="57"/>
      <c r="Z136">
        <v>104</v>
      </c>
      <c r="AA136" s="58">
        <v>408.24129556232924</v>
      </c>
      <c r="AB136" s="59">
        <v>2.7991919112737134</v>
      </c>
      <c r="AC136" s="59">
        <v>411.04048747360298</v>
      </c>
      <c r="AD136" s="60">
        <v>405.4421036510555</v>
      </c>
      <c r="AE136" s="61">
        <v>0.94311860253183488</v>
      </c>
      <c r="AF136" s="62">
        <v>4.6363590747566616E-2</v>
      </c>
      <c r="AG136" s="62">
        <v>0.98948219327940146</v>
      </c>
      <c r="AH136" s="63">
        <v>0.89675501178426831</v>
      </c>
      <c r="AI136" s="78">
        <v>12.751250619473666</v>
      </c>
    </row>
    <row r="137" spans="1:35" x14ac:dyDescent="0.25">
      <c r="A137" s="7"/>
      <c r="B137" s="7"/>
      <c r="C137" s="7"/>
      <c r="D137" s="7"/>
      <c r="E137" s="7"/>
      <c r="F137" s="14"/>
      <c r="G137" s="14"/>
      <c r="H137" s="7"/>
      <c r="I137" s="7"/>
      <c r="J137" s="7"/>
      <c r="M137" s="14"/>
      <c r="N137" s="57"/>
      <c r="Q137" s="57"/>
      <c r="R137" s="57"/>
      <c r="Z137">
        <v>105</v>
      </c>
      <c r="AA137" s="58">
        <v>407.97869301363409</v>
      </c>
      <c r="AB137" s="59">
        <v>2.970520719007594</v>
      </c>
      <c r="AC137" s="59">
        <v>410.94921373264168</v>
      </c>
      <c r="AD137" s="60">
        <v>405.00817229462649</v>
      </c>
      <c r="AE137" s="61">
        <v>0.94252328909612804</v>
      </c>
      <c r="AF137" s="62">
        <v>4.6733990025497288E-2</v>
      </c>
      <c r="AG137" s="62">
        <v>0.98925727912162531</v>
      </c>
      <c r="AH137" s="63">
        <v>0.89578929907063076</v>
      </c>
      <c r="AI137" s="78">
        <v>12.725319551384967</v>
      </c>
    </row>
    <row r="138" spans="1:35" x14ac:dyDescent="0.25">
      <c r="A138" s="7" t="s">
        <v>75</v>
      </c>
      <c r="B138" s="7" t="s">
        <v>74</v>
      </c>
      <c r="C138" s="7" t="s">
        <v>76</v>
      </c>
      <c r="D138" s="7" t="s">
        <v>74</v>
      </c>
      <c r="E138" s="7" t="s">
        <v>77</v>
      </c>
      <c r="F138" s="14" t="s">
        <v>78</v>
      </c>
      <c r="G138" s="14" t="s">
        <v>13</v>
      </c>
      <c r="H138" s="7">
        <v>57.181100000000001</v>
      </c>
      <c r="I138" s="7"/>
      <c r="J138" s="7"/>
      <c r="M138" s="14"/>
      <c r="N138" s="57"/>
      <c r="Q138" s="57"/>
      <c r="R138" s="57"/>
      <c r="Z138">
        <v>106</v>
      </c>
      <c r="AA138" s="58">
        <v>407.71684062724353</v>
      </c>
      <c r="AB138" s="59">
        <v>3.1409022231589976</v>
      </c>
      <c r="AC138" s="59">
        <v>410.85774285040253</v>
      </c>
      <c r="AD138" s="60">
        <v>404.57593840408452</v>
      </c>
      <c r="AE138" s="61">
        <v>0.94192963131787488</v>
      </c>
      <c r="AF138" s="62">
        <v>4.7101862175021436E-2</v>
      </c>
      <c r="AG138" s="62">
        <v>0.98903149349289632</v>
      </c>
      <c r="AH138" s="63">
        <v>0.89482776914285345</v>
      </c>
      <c r="AI138" s="78">
        <v>12.699388483296271</v>
      </c>
    </row>
    <row r="139" spans="1:35" x14ac:dyDescent="0.25">
      <c r="A139" s="7" t="s">
        <v>79</v>
      </c>
      <c r="B139" s="7" t="s">
        <v>80</v>
      </c>
      <c r="C139" s="79" t="s">
        <v>81</v>
      </c>
      <c r="D139" s="7" t="s">
        <v>82</v>
      </c>
      <c r="E139" s="7" t="s">
        <v>13</v>
      </c>
      <c r="F139" s="14">
        <v>409233</v>
      </c>
      <c r="G139" s="14"/>
      <c r="H139" s="7"/>
      <c r="I139" s="7"/>
      <c r="J139" s="7"/>
      <c r="M139" s="14"/>
      <c r="N139" s="57"/>
      <c r="Q139" s="57"/>
      <c r="R139" s="57"/>
      <c r="Z139">
        <v>107</v>
      </c>
      <c r="AA139" s="58">
        <v>407.45498824085286</v>
      </c>
      <c r="AB139" s="59">
        <v>3.3114982746516142</v>
      </c>
      <c r="AC139" s="59">
        <v>410.76648651550448</v>
      </c>
      <c r="AD139" s="60">
        <v>404.14348996620123</v>
      </c>
      <c r="AE139" s="61">
        <v>0.9413359735396214</v>
      </c>
      <c r="AF139" s="62">
        <v>4.7469813797017361E-2</v>
      </c>
      <c r="AG139" s="62">
        <v>0.98880578733663871</v>
      </c>
      <c r="AH139" s="63">
        <v>0.89386615974260408</v>
      </c>
      <c r="AI139" s="78">
        <v>12.673457415207572</v>
      </c>
    </row>
    <row r="140" spans="1:35" x14ac:dyDescent="0.25">
      <c r="A140" s="7" t="s">
        <v>83</v>
      </c>
      <c r="B140" s="7" t="s">
        <v>80</v>
      </c>
      <c r="C140" s="79" t="s">
        <v>84</v>
      </c>
      <c r="D140" s="7" t="s">
        <v>82</v>
      </c>
      <c r="E140" s="7" t="s">
        <v>13</v>
      </c>
      <c r="F140" s="14">
        <v>65124</v>
      </c>
      <c r="G140" s="14"/>
      <c r="H140" s="7"/>
      <c r="I140" s="7"/>
      <c r="J140" s="7"/>
      <c r="M140" s="14"/>
      <c r="N140" s="57"/>
      <c r="Q140" s="57"/>
      <c r="R140" s="57"/>
      <c r="Z140">
        <v>108</v>
      </c>
      <c r="AA140" s="58">
        <v>407.19313585446224</v>
      </c>
      <c r="AB140" s="59">
        <v>3.4822773417378112</v>
      </c>
      <c r="AC140" s="59">
        <v>410.67541319620005</v>
      </c>
      <c r="AD140" s="60">
        <v>403.71085851272443</v>
      </c>
      <c r="AE140" s="61">
        <v>0.94074231576136802</v>
      </c>
      <c r="AF140" s="62">
        <v>4.7837843057663761E-2</v>
      </c>
      <c r="AG140" s="62">
        <v>0.98858015881903183</v>
      </c>
      <c r="AH140" s="63">
        <v>0.89290447270370421</v>
      </c>
      <c r="AI140" s="78">
        <v>12.647526347118877</v>
      </c>
    </row>
    <row r="141" spans="1:35" x14ac:dyDescent="0.25">
      <c r="A141" s="7" t="s">
        <v>79</v>
      </c>
      <c r="B141" s="7" t="s">
        <v>85</v>
      </c>
      <c r="C141" s="79" t="s">
        <v>86</v>
      </c>
      <c r="D141" s="7" t="s">
        <v>87</v>
      </c>
      <c r="E141" s="7" t="s">
        <v>82</v>
      </c>
      <c r="F141" s="14" t="s">
        <v>13</v>
      </c>
      <c r="G141" s="14">
        <v>284165</v>
      </c>
      <c r="H141" s="7"/>
      <c r="I141" s="7"/>
      <c r="J141" s="7"/>
      <c r="M141" s="14"/>
      <c r="N141" s="57"/>
      <c r="Q141" s="57"/>
      <c r="R141" s="57"/>
      <c r="Z141">
        <v>109</v>
      </c>
      <c r="AA141" s="58">
        <v>406.93128346807157</v>
      </c>
      <c r="AB141" s="59">
        <v>3.6532137578745632</v>
      </c>
      <c r="AC141" s="59">
        <v>410.58449722594611</v>
      </c>
      <c r="AD141" s="60">
        <v>403.27806971019703</v>
      </c>
      <c r="AE141" s="61">
        <v>0.94014865798311453</v>
      </c>
      <c r="AF141" s="62">
        <v>4.8205948178758909E-2</v>
      </c>
      <c r="AG141" s="62">
        <v>0.98835460616187343</v>
      </c>
      <c r="AH141" s="63">
        <v>0.89194270980435564</v>
      </c>
      <c r="AI141" s="78">
        <v>12.627733418682185</v>
      </c>
    </row>
    <row r="142" spans="1:35" x14ac:dyDescent="0.25">
      <c r="A142" s="7" t="s">
        <v>88</v>
      </c>
      <c r="B142" s="7" t="s">
        <v>82</v>
      </c>
      <c r="C142" s="79" t="s">
        <v>13</v>
      </c>
      <c r="D142" s="7">
        <v>59944.3</v>
      </c>
      <c r="E142" s="7"/>
      <c r="F142" s="14"/>
      <c r="G142" s="14"/>
      <c r="H142" s="7"/>
      <c r="I142" s="7"/>
      <c r="J142" s="7"/>
      <c r="M142" s="14"/>
      <c r="N142" s="57"/>
      <c r="Q142" s="57"/>
      <c r="R142" s="57"/>
      <c r="Z142">
        <v>110</v>
      </c>
      <c r="AA142" s="58">
        <v>406.6694310816809</v>
      </c>
      <c r="AB142" s="59">
        <v>3.8242864237465097</v>
      </c>
      <c r="AC142" s="59">
        <v>410.49371750542741</v>
      </c>
      <c r="AD142" s="60">
        <v>402.84514465793438</v>
      </c>
      <c r="AE142" s="61">
        <v>0.93955500020486127</v>
      </c>
      <c r="AF142" s="62">
        <v>4.8574127435642975E-2</v>
      </c>
      <c r="AG142" s="62">
        <v>0.9881291276405042</v>
      </c>
      <c r="AH142" s="63">
        <v>0.89098087276921833</v>
      </c>
      <c r="AI142" s="78">
        <v>12.660482965666672</v>
      </c>
    </row>
    <row r="143" spans="1:35" x14ac:dyDescent="0.25">
      <c r="A143" s="7" t="s">
        <v>89</v>
      </c>
      <c r="B143" s="7" t="s">
        <v>90</v>
      </c>
      <c r="C143" s="7" t="s">
        <v>13</v>
      </c>
      <c r="D143" s="7">
        <v>14.6479</v>
      </c>
      <c r="E143" s="7"/>
      <c r="F143" s="14"/>
      <c r="G143" s="14"/>
      <c r="H143" s="7"/>
      <c r="I143" s="7"/>
      <c r="J143" s="7"/>
      <c r="M143" s="14"/>
      <c r="N143" s="57"/>
      <c r="Q143" s="57"/>
      <c r="R143" s="57"/>
      <c r="Z143">
        <v>111</v>
      </c>
      <c r="AA143" s="58">
        <v>406.40757869529028</v>
      </c>
      <c r="AB143" s="59">
        <v>3.9954778381519827</v>
      </c>
      <c r="AC143" s="59">
        <v>410.40305653344228</v>
      </c>
      <c r="AD143" s="60">
        <v>402.41210085713828</v>
      </c>
      <c r="AE143" s="61">
        <v>0.93896134242660789</v>
      </c>
      <c r="AF143" s="62">
        <v>4.8942379155210131E-2</v>
      </c>
      <c r="AG143" s="62">
        <v>0.98790372158181805</v>
      </c>
      <c r="AH143" s="63">
        <v>0.89001896327139773</v>
      </c>
      <c r="AI143" s="78">
        <v>12.705263266369093</v>
      </c>
    </row>
    <row r="144" spans="1:35" x14ac:dyDescent="0.25">
      <c r="A144" s="7"/>
      <c r="B144" s="7"/>
      <c r="C144" s="7"/>
      <c r="D144" s="7"/>
      <c r="E144" s="7"/>
      <c r="F144" s="14"/>
      <c r="G144" s="14"/>
      <c r="H144" s="7"/>
      <c r="I144" s="7"/>
      <c r="J144" s="7"/>
      <c r="M144" s="14"/>
      <c r="N144" s="57"/>
      <c r="Q144" s="57"/>
      <c r="R144" s="57"/>
      <c r="Z144">
        <v>112</v>
      </c>
      <c r="AA144" s="58">
        <v>406.14572630889961</v>
      </c>
      <c r="AB144" s="59">
        <v>4.1667733648064136</v>
      </c>
      <c r="AC144" s="59">
        <v>410.31249967370604</v>
      </c>
      <c r="AD144" s="60">
        <v>401.97895294409318</v>
      </c>
      <c r="AE144" s="61">
        <v>0.93836768464835452</v>
      </c>
      <c r="AF144" s="62">
        <v>4.9310701714009253E-2</v>
      </c>
      <c r="AG144" s="62">
        <v>0.98767838636236371</v>
      </c>
      <c r="AH144" s="63">
        <v>0.88905698293434532</v>
      </c>
      <c r="AI144" s="78">
        <v>12.750043567071515</v>
      </c>
    </row>
    <row r="145" spans="1:35" x14ac:dyDescent="0.25">
      <c r="A145" s="7" t="s">
        <v>91</v>
      </c>
      <c r="B145" s="7">
        <v>464</v>
      </c>
      <c r="C145" s="7" t="s">
        <v>26</v>
      </c>
      <c r="D145" s="7"/>
      <c r="E145" s="7"/>
      <c r="F145" s="14"/>
      <c r="G145" s="14"/>
      <c r="H145" s="7"/>
      <c r="I145" s="7"/>
      <c r="J145" s="7"/>
      <c r="M145" s="14"/>
      <c r="N145" s="57"/>
      <c r="Q145" s="57"/>
      <c r="R145" s="57"/>
      <c r="Z145">
        <v>113</v>
      </c>
      <c r="AA145" s="58">
        <v>405.88387392250894</v>
      </c>
      <c r="AB145" s="59">
        <v>4.3381606708764915</v>
      </c>
      <c r="AC145" s="59">
        <v>410.22203459338544</v>
      </c>
      <c r="AD145" s="60">
        <v>401.54571325163244</v>
      </c>
      <c r="AE145" s="61">
        <v>0.93777402687010125</v>
      </c>
      <c r="AF145" s="62">
        <v>4.9679093536426203E-2</v>
      </c>
      <c r="AG145" s="62">
        <v>0.98745312040652744</v>
      </c>
      <c r="AH145" s="63">
        <v>0.88809493333367506</v>
      </c>
      <c r="AI145" s="78">
        <v>12.794823867773935</v>
      </c>
    </row>
    <row r="146" spans="1:35" x14ac:dyDescent="0.25">
      <c r="M146" s="14"/>
      <c r="N146" s="57"/>
      <c r="Q146" s="57"/>
      <c r="R146" s="57"/>
      <c r="Z146">
        <v>114</v>
      </c>
      <c r="AA146" s="58">
        <v>405.62202153611833</v>
      </c>
      <c r="AB146" s="59">
        <v>4.5096292922150489</v>
      </c>
      <c r="AC146" s="59">
        <v>410.13165082833336</v>
      </c>
      <c r="AD146" s="60">
        <v>401.11239224390329</v>
      </c>
      <c r="AE146" s="61">
        <v>0.93718036909184776</v>
      </c>
      <c r="AF146" s="62">
        <v>5.0047553092947131E-2</v>
      </c>
      <c r="AG146" s="62">
        <v>0.98722792218479494</v>
      </c>
      <c r="AH146" s="63">
        <v>0.88713281599890059</v>
      </c>
      <c r="AI146" s="78">
        <v>12.839310175997763</v>
      </c>
    </row>
    <row r="147" spans="1:35" x14ac:dyDescent="0.25">
      <c r="M147" s="14"/>
      <c r="N147" s="57"/>
      <c r="Q147" s="57"/>
      <c r="R147" s="57"/>
      <c r="Z147">
        <v>115</v>
      </c>
      <c r="AA147" s="58">
        <v>405.31032819839464</v>
      </c>
      <c r="AB147" s="59">
        <v>4.7586865900327</v>
      </c>
      <c r="AC147" s="59">
        <v>410.06901478842735</v>
      </c>
      <c r="AD147" s="60">
        <v>400.55164160836193</v>
      </c>
      <c r="AE147" s="61">
        <v>0.93647670906198066</v>
      </c>
      <c r="AF147" s="62">
        <v>5.0588365098316115E-2</v>
      </c>
      <c r="AG147" s="62">
        <v>0.98706507416029676</v>
      </c>
      <c r="AH147" s="63">
        <v>0.88588834396366456</v>
      </c>
      <c r="AI147" s="78">
        <v>12.849105371747697</v>
      </c>
    </row>
    <row r="148" spans="1:35" x14ac:dyDescent="0.25">
      <c r="M148" s="14"/>
      <c r="N148" s="57"/>
      <c r="Q148" s="57"/>
      <c r="R148" s="57"/>
      <c r="Z148">
        <v>116</v>
      </c>
      <c r="AA148" s="58">
        <v>404.93026349413458</v>
      </c>
      <c r="AB148" s="59">
        <v>5.1148245020731666</v>
      </c>
      <c r="AC148" s="59">
        <v>410.04508799620777</v>
      </c>
      <c r="AD148" s="60">
        <v>399.81543899206139</v>
      </c>
      <c r="AE148" s="61">
        <v>0.93562214955735568</v>
      </c>
      <c r="AF148" s="62">
        <v>5.1365810934239017E-2</v>
      </c>
      <c r="AG148" s="62">
        <v>0.98698796049159465</v>
      </c>
      <c r="AH148" s="63">
        <v>0.8842563386231167</v>
      </c>
      <c r="AI148" s="78">
        <v>12.835087176731655</v>
      </c>
    </row>
    <row r="149" spans="1:35" x14ac:dyDescent="0.25">
      <c r="M149" s="14"/>
      <c r="N149" s="57"/>
      <c r="Q149" s="57"/>
      <c r="R149" s="57"/>
      <c r="Z149">
        <v>117</v>
      </c>
      <c r="AA149" s="58">
        <v>404.57014586113615</v>
      </c>
      <c r="AB149" s="59">
        <v>5.4760137194439285</v>
      </c>
      <c r="AC149" s="59">
        <v>410.04615958058008</v>
      </c>
      <c r="AD149" s="60">
        <v>399.09413214169223</v>
      </c>
      <c r="AE149" s="61">
        <v>0.93481391865987151</v>
      </c>
      <c r="AF149" s="62">
        <v>5.2152316481258898E-2</v>
      </c>
      <c r="AG149" s="62">
        <v>0.98696623514113035</v>
      </c>
      <c r="AH149" s="63">
        <v>0.88266160217861267</v>
      </c>
      <c r="AI149" s="78">
        <v>12.821068981715614</v>
      </c>
    </row>
    <row r="150" spans="1:35" x14ac:dyDescent="0.25">
      <c r="M150" s="14"/>
      <c r="N150" s="57"/>
      <c r="Q150" s="57"/>
      <c r="R150" s="57"/>
      <c r="Z150">
        <v>118</v>
      </c>
      <c r="AA150" s="58">
        <v>404.22908944632172</v>
      </c>
      <c r="AB150" s="59">
        <v>5.8428945936286691</v>
      </c>
      <c r="AC150" s="59">
        <v>410.07198403995039</v>
      </c>
      <c r="AD150" s="60">
        <v>398.38619485269305</v>
      </c>
      <c r="AE150" s="61">
        <v>0.93404991436047491</v>
      </c>
      <c r="AF150" s="62">
        <v>5.2946925703391004E-2</v>
      </c>
      <c r="AG150" s="62">
        <v>0.9869968400638659</v>
      </c>
      <c r="AH150" s="63">
        <v>0.88110298865708392</v>
      </c>
      <c r="AI150" s="78">
        <v>12.807050786699566</v>
      </c>
    </row>
    <row r="151" spans="1:35" x14ac:dyDescent="0.25">
      <c r="M151" s="14"/>
      <c r="N151" s="57"/>
      <c r="Q151" s="57"/>
      <c r="R151" s="57"/>
      <c r="Z151">
        <v>119</v>
      </c>
      <c r="AA151" s="58">
        <v>403.88803303150729</v>
      </c>
      <c r="AB151" s="59">
        <v>6.2122211519509056</v>
      </c>
      <c r="AC151" s="59">
        <v>410.10025418345822</v>
      </c>
      <c r="AD151" s="60">
        <v>397.67581187955636</v>
      </c>
      <c r="AE151" s="61">
        <v>0.93328591006107819</v>
      </c>
      <c r="AF151" s="62">
        <v>5.374305622815171E-2</v>
      </c>
      <c r="AG151" s="62">
        <v>0.98702896628922987</v>
      </c>
      <c r="AH151" s="63">
        <v>0.87954285383292652</v>
      </c>
      <c r="AI151" s="78">
        <v>12.793032591683524</v>
      </c>
    </row>
    <row r="152" spans="1:35" x14ac:dyDescent="0.25">
      <c r="B152" s="7"/>
      <c r="M152" s="14"/>
      <c r="N152" s="57"/>
      <c r="Q152" s="57"/>
      <c r="R152" s="57"/>
      <c r="Z152">
        <v>120</v>
      </c>
      <c r="AA152" s="58">
        <v>403.5469766166928</v>
      </c>
      <c r="AB152" s="59">
        <v>6.583581812434014</v>
      </c>
      <c r="AC152" s="59">
        <v>410.13055842912684</v>
      </c>
      <c r="AD152" s="60">
        <v>396.96339480425877</v>
      </c>
      <c r="AE152" s="61">
        <v>0.93252190576168159</v>
      </c>
      <c r="AF152" s="62">
        <v>5.4540641436153163E-2</v>
      </c>
      <c r="AG152" s="62">
        <v>0.98706254719783471</v>
      </c>
      <c r="AH152" s="63">
        <v>0.87798126432552848</v>
      </c>
      <c r="AI152" s="78">
        <v>12.781542419839639</v>
      </c>
    </row>
    <row r="153" spans="1:35" x14ac:dyDescent="0.25">
      <c r="A153" s="79"/>
      <c r="M153" s="14"/>
      <c r="N153" s="57"/>
      <c r="Q153" s="57"/>
      <c r="R153" s="57"/>
      <c r="Z153">
        <v>121</v>
      </c>
      <c r="AA153" s="58">
        <v>403.20592020187843</v>
      </c>
      <c r="AB153" s="59">
        <v>6.9566508287431006</v>
      </c>
      <c r="AC153" s="59">
        <v>410.16257103062151</v>
      </c>
      <c r="AD153" s="60">
        <v>396.24926937313535</v>
      </c>
      <c r="AE153" s="61">
        <v>0.93175790146228488</v>
      </c>
      <c r="AF153" s="62">
        <v>5.5339618430331042E-2</v>
      </c>
      <c r="AG153" s="62">
        <v>0.98709751989261596</v>
      </c>
      <c r="AH153" s="63">
        <v>0.87641828303195379</v>
      </c>
      <c r="AI153" s="78">
        <v>12.819506701301126</v>
      </c>
    </row>
    <row r="154" spans="1:35" x14ac:dyDescent="0.25">
      <c r="Q154" s="57"/>
      <c r="R154" s="57"/>
      <c r="Z154">
        <v>122</v>
      </c>
      <c r="AA154" s="58">
        <v>402.86486378706394</v>
      </c>
      <c r="AB154" s="59">
        <v>7.3311674006850396</v>
      </c>
      <c r="AC154" s="59">
        <v>410.19603118774899</v>
      </c>
      <c r="AD154" s="60">
        <v>395.53369638637889</v>
      </c>
      <c r="AE154" s="61">
        <v>0.93099389716288805</v>
      </c>
      <c r="AF154" s="62">
        <v>5.6139927787494701E-2</v>
      </c>
      <c r="AG154" s="62">
        <v>0.98713382495038271</v>
      </c>
      <c r="AH154" s="63">
        <v>0.87485396937539339</v>
      </c>
      <c r="AI154" s="78">
        <v>12.876589158002069</v>
      </c>
    </row>
    <row r="155" spans="1:35" x14ac:dyDescent="0.25">
      <c r="A155" s="79"/>
      <c r="M155" s="7"/>
      <c r="N155" s="7"/>
      <c r="Q155" s="57"/>
      <c r="R155" s="57"/>
      <c r="Z155">
        <v>123</v>
      </c>
      <c r="AA155" s="58">
        <v>402.52380737224945</v>
      </c>
      <c r="AB155" s="59">
        <v>7.7069204999438723</v>
      </c>
      <c r="AC155" s="59">
        <v>410.23072787219331</v>
      </c>
      <c r="AD155" s="60">
        <v>394.81688687230559</v>
      </c>
      <c r="AE155" s="61">
        <v>0.93022989286349134</v>
      </c>
      <c r="AF155" s="62">
        <v>5.6941513328839739E-2</v>
      </c>
      <c r="AG155" s="62">
        <v>0.98717140619233112</v>
      </c>
      <c r="AH155" s="63">
        <v>0.87328837953465155</v>
      </c>
      <c r="AI155" s="78">
        <v>12.933671614703009</v>
      </c>
    </row>
    <row r="156" spans="1:35" x14ac:dyDescent="0.25">
      <c r="Q156" s="57"/>
      <c r="R156" s="57"/>
      <c r="Z156">
        <v>124</v>
      </c>
      <c r="AA156" s="58">
        <v>402.18275095743508</v>
      </c>
      <c r="AB156" s="59">
        <v>8.0837376973661286</v>
      </c>
      <c r="AC156" s="59">
        <v>410.26648865480121</v>
      </c>
      <c r="AD156" s="60">
        <v>394.09901326006894</v>
      </c>
      <c r="AE156" s="61">
        <v>0.92946588856409473</v>
      </c>
      <c r="AF156" s="62">
        <v>5.7744321907826017E-2</v>
      </c>
      <c r="AG156" s="62">
        <v>0.9872102104719207</v>
      </c>
      <c r="AH156" s="63">
        <v>0.87172156665626876</v>
      </c>
      <c r="AI156" s="78">
        <v>12.990754071403952</v>
      </c>
    </row>
    <row r="157" spans="1:35" x14ac:dyDescent="0.25">
      <c r="Q157" s="57"/>
      <c r="R157" s="57"/>
      <c r="Z157">
        <v>125</v>
      </c>
      <c r="AA157" s="58">
        <v>401.84169454262064</v>
      </c>
      <c r="AB157" s="59">
        <v>8.4614768308467525</v>
      </c>
      <c r="AC157" s="59">
        <v>410.30317137346742</v>
      </c>
      <c r="AD157" s="60">
        <v>393.38021771177387</v>
      </c>
      <c r="AE157" s="61">
        <v>0.92870188426469802</v>
      </c>
      <c r="AF157" s="62">
        <v>5.8548303213959187E-2</v>
      </c>
      <c r="AG157" s="62">
        <v>0.98725018747865723</v>
      </c>
      <c r="AH157" s="63">
        <v>0.87015358105073881</v>
      </c>
      <c r="AI157" s="78">
        <v>13.047836528104897</v>
      </c>
    </row>
    <row r="158" spans="1:35" x14ac:dyDescent="0.25">
      <c r="M158" s="7"/>
      <c r="Q158" s="57"/>
      <c r="R158" s="57"/>
      <c r="Z158">
        <v>126</v>
      </c>
      <c r="AA158" s="58">
        <v>401.50063812780621</v>
      </c>
      <c r="AB158" s="59">
        <v>8.840019716599496</v>
      </c>
      <c r="AC158" s="59">
        <v>410.34065784440571</v>
      </c>
      <c r="AD158" s="60">
        <v>392.66061841120671</v>
      </c>
      <c r="AE158" s="61">
        <v>0.92793787996530142</v>
      </c>
      <c r="AF158" s="62">
        <v>5.9353409591156703E-2</v>
      </c>
      <c r="AG158" s="62">
        <v>0.98729128955645806</v>
      </c>
      <c r="AH158" s="63">
        <v>0.86858447037414477</v>
      </c>
      <c r="AI158" s="78">
        <v>13.039028450460993</v>
      </c>
    </row>
    <row r="159" spans="1:35" x14ac:dyDescent="0.25">
      <c r="B159" s="7"/>
      <c r="Q159" s="57"/>
      <c r="R159" s="57"/>
      <c r="Z159">
        <v>127</v>
      </c>
      <c r="AA159" s="58">
        <v>401.15958171299172</v>
      </c>
      <c r="AB159" s="59">
        <v>9.2192673490117532</v>
      </c>
      <c r="AC159" s="59">
        <v>410.3788490620035</v>
      </c>
      <c r="AD159" s="60">
        <v>391.94031436397995</v>
      </c>
      <c r="AE159" s="61">
        <v>0.92717387566590459</v>
      </c>
      <c r="AF159" s="62">
        <v>6.0159595869490386E-2</v>
      </c>
      <c r="AG159" s="62">
        <v>0.98733347153539497</v>
      </c>
      <c r="AH159" s="63">
        <v>0.86701427979641421</v>
      </c>
      <c r="AI159" s="78">
        <v>12.75933706495497</v>
      </c>
    </row>
    <row r="160" spans="1:35" x14ac:dyDescent="0.25">
      <c r="B160" s="7"/>
      <c r="Q160" s="57"/>
      <c r="R160" s="57"/>
      <c r="Z160">
        <v>128</v>
      </c>
      <c r="AA160" s="58">
        <v>400.81716525450247</v>
      </c>
      <c r="AB160" s="59">
        <v>9.6014046149753245</v>
      </c>
      <c r="AC160" s="59">
        <v>410.41856986947778</v>
      </c>
      <c r="AD160" s="60">
        <v>391.21576063952716</v>
      </c>
      <c r="AE160" s="61">
        <v>0.92640686966083174</v>
      </c>
      <c r="AF160" s="62">
        <v>6.0971644340251846E-2</v>
      </c>
      <c r="AG160" s="62">
        <v>0.98737851400108356</v>
      </c>
      <c r="AH160" s="63">
        <v>0.86543522532057993</v>
      </c>
      <c r="AI160" s="78">
        <v>12.450360997517903</v>
      </c>
    </row>
    <row r="161" spans="2:35" x14ac:dyDescent="0.25">
      <c r="B161" s="56"/>
      <c r="Q161" s="57"/>
      <c r="R161" s="57"/>
      <c r="Z161">
        <v>129</v>
      </c>
      <c r="AA161" s="58">
        <v>400.46843329908717</v>
      </c>
      <c r="AB161" s="59">
        <v>9.9946567947934941</v>
      </c>
      <c r="AC161" s="59">
        <v>410.46309009388068</v>
      </c>
      <c r="AD161" s="60">
        <v>390.47377650429365</v>
      </c>
      <c r="AE161" s="61">
        <v>0.92562592493943541</v>
      </c>
      <c r="AF161" s="62">
        <v>6.1807147362302528E-2</v>
      </c>
      <c r="AG161" s="62">
        <v>0.98743307230173794</v>
      </c>
      <c r="AH161" s="63">
        <v>0.86381877757713288</v>
      </c>
      <c r="AI161" s="78">
        <v>12.141384930080838</v>
      </c>
    </row>
    <row r="162" spans="2:35" x14ac:dyDescent="0.25">
      <c r="Q162" s="57"/>
      <c r="R162" s="57"/>
      <c r="Z162">
        <v>130</v>
      </c>
      <c r="AA162" s="58">
        <v>400.11890602401428</v>
      </c>
      <c r="AB162" s="59">
        <v>10.389777508861645</v>
      </c>
      <c r="AC162" s="59">
        <v>410.50868353287592</v>
      </c>
      <c r="AD162" s="60">
        <v>389.72912851515264</v>
      </c>
      <c r="AE162" s="61">
        <v>0.92484322489534254</v>
      </c>
      <c r="AF162" s="62">
        <v>6.26465241949795E-2</v>
      </c>
      <c r="AG162" s="62">
        <v>0.98748974909032206</v>
      </c>
      <c r="AH162" s="63">
        <v>0.86219670070036303</v>
      </c>
      <c r="AI162" s="78">
        <v>11.831459747382572</v>
      </c>
    </row>
    <row r="163" spans="2:35" x14ac:dyDescent="0.25">
      <c r="Q163" s="57"/>
      <c r="R163" s="57"/>
      <c r="Z163">
        <v>131</v>
      </c>
      <c r="AA163" s="58">
        <v>399.76937874894139</v>
      </c>
      <c r="AB163" s="59">
        <v>10.785380668542468</v>
      </c>
      <c r="AC163" s="59">
        <v>410.55475941748387</v>
      </c>
      <c r="AD163" s="60">
        <v>388.98399808039892</v>
      </c>
      <c r="AE163" s="61">
        <v>0.92406052485124979</v>
      </c>
      <c r="AF163" s="62">
        <v>6.3486911480710645E-2</v>
      </c>
      <c r="AG163" s="62">
        <v>0.9875474363319604</v>
      </c>
      <c r="AH163" s="63">
        <v>0.86057361337053917</v>
      </c>
      <c r="AI163" s="78">
        <v>11.409538963862831</v>
      </c>
    </row>
    <row r="164" spans="2:35" x14ac:dyDescent="0.25">
      <c r="Q164" s="57"/>
      <c r="R164" s="57"/>
      <c r="Z164">
        <v>132</v>
      </c>
      <c r="AA164" s="58">
        <v>399.4198514738685</v>
      </c>
      <c r="AB164" s="59">
        <v>11.181415066568078</v>
      </c>
      <c r="AC164" s="59">
        <v>410.6012665404366</v>
      </c>
      <c r="AD164" s="60">
        <v>388.23843640730041</v>
      </c>
      <c r="AE164" s="61">
        <v>0.92327782480715692</v>
      </c>
      <c r="AF164" s="62">
        <v>6.432826961770105E-2</v>
      </c>
      <c r="AG164" s="62">
        <v>0.98760609442485792</v>
      </c>
      <c r="AH164" s="63">
        <v>0.85894955518945593</v>
      </c>
      <c r="AI164" s="78">
        <v>10.910739844185965</v>
      </c>
    </row>
    <row r="165" spans="2:35" x14ac:dyDescent="0.25">
      <c r="Q165" s="57"/>
      <c r="R165" s="57"/>
      <c r="Z165">
        <v>133</v>
      </c>
      <c r="AA165" s="58">
        <v>399.07032419879562</v>
      </c>
      <c r="AB165" s="59">
        <v>11.577836449879946</v>
      </c>
      <c r="AC165" s="59">
        <v>410.64816064867557</v>
      </c>
      <c r="AD165" s="60">
        <v>387.49248774891566</v>
      </c>
      <c r="AE165" s="61">
        <v>0.92249512476306428</v>
      </c>
      <c r="AF165" s="62">
        <v>6.5170561004615948E-2</v>
      </c>
      <c r="AG165" s="62">
        <v>0.98766568576768021</v>
      </c>
      <c r="AH165" s="63">
        <v>0.85732456375844834</v>
      </c>
      <c r="AI165" s="78">
        <v>10.411940724509103</v>
      </c>
    </row>
    <row r="166" spans="2:35" x14ac:dyDescent="0.25">
      <c r="Q166" s="57"/>
      <c r="R166" s="57"/>
      <c r="Z166">
        <v>134</v>
      </c>
      <c r="AA166" s="58">
        <v>398.72079692372273</v>
      </c>
      <c r="AB166" s="59">
        <v>11.974606384898191</v>
      </c>
      <c r="AC166" s="59">
        <v>410.69540330862094</v>
      </c>
      <c r="AD166" s="60">
        <v>386.74619053882452</v>
      </c>
      <c r="AE166" s="61">
        <v>0.92171242471897141</v>
      </c>
      <c r="AF166" s="62">
        <v>6.6013749918526085E-2</v>
      </c>
      <c r="AG166" s="62">
        <v>0.98772617463749746</v>
      </c>
      <c r="AH166" s="63">
        <v>0.85569867480044537</v>
      </c>
      <c r="AI166" s="78">
        <v>9.9131416048322407</v>
      </c>
    </row>
    <row r="167" spans="2:35" x14ac:dyDescent="0.25">
      <c r="Q167" s="57"/>
      <c r="R167" s="57"/>
      <c r="Z167">
        <v>135</v>
      </c>
      <c r="AA167" s="58">
        <v>398.37126964864984</v>
      </c>
      <c r="AB167" s="59">
        <v>12.371691336681018</v>
      </c>
      <c r="AC167" s="59">
        <v>410.74296098533085</v>
      </c>
      <c r="AD167" s="60">
        <v>385.99957831196883</v>
      </c>
      <c r="AE167" s="61">
        <v>0.92092972467487855</v>
      </c>
      <c r="AF167" s="62">
        <v>6.6857802401482674E-2</v>
      </c>
      <c r="AG167" s="62">
        <v>0.98778752707636119</v>
      </c>
      <c r="AH167" s="63">
        <v>0.8540719222733959</v>
      </c>
      <c r="AI167" s="78">
        <v>9.2731739741673405</v>
      </c>
    </row>
    <row r="168" spans="2:35" x14ac:dyDescent="0.25">
      <c r="Q168" s="57"/>
      <c r="R168" s="57"/>
      <c r="Z168">
        <v>136</v>
      </c>
      <c r="AA168" s="58">
        <v>398.02174237357696</v>
      </c>
      <c r="AB168" s="59">
        <v>12.769061916630955</v>
      </c>
      <c r="AC168" s="59">
        <v>410.79080429020792</v>
      </c>
      <c r="AD168" s="60">
        <v>385.252680456946</v>
      </c>
      <c r="AE168" s="61">
        <v>0.92014702463078579</v>
      </c>
      <c r="AF168" s="62">
        <v>6.7702686155028766E-2</v>
      </c>
      <c r="AG168" s="62">
        <v>0.98784971078581452</v>
      </c>
      <c r="AH168" s="63">
        <v>0.85244433847575707</v>
      </c>
      <c r="AI168" s="78">
        <v>7.5122114219287841</v>
      </c>
    </row>
    <row r="169" spans="2:35" x14ac:dyDescent="0.25">
      <c r="Q169" s="57"/>
      <c r="R169" s="57"/>
      <c r="Z169">
        <v>137</v>
      </c>
      <c r="AA169" s="58">
        <v>397.67221509850418</v>
      </c>
      <c r="AB169" s="59">
        <v>13.166692264011733</v>
      </c>
      <c r="AC169" s="59">
        <v>410.8389073625159</v>
      </c>
      <c r="AD169" s="60">
        <v>384.50552283449247</v>
      </c>
      <c r="AE169" s="61">
        <v>0.91936432458669304</v>
      </c>
      <c r="AF169" s="62">
        <v>6.8548370442028578E-2</v>
      </c>
      <c r="AG169" s="62">
        <v>0.98791269502872159</v>
      </c>
      <c r="AH169" s="63">
        <v>0.85081595414466449</v>
      </c>
      <c r="AI169" s="78">
        <v>4.7366950318135306</v>
      </c>
    </row>
    <row r="170" spans="2:35" x14ac:dyDescent="0.25">
      <c r="Q170" s="57"/>
      <c r="R170" s="57"/>
      <c r="Z170">
        <v>138</v>
      </c>
      <c r="AA170" s="58">
        <v>397.32268782343118</v>
      </c>
      <c r="AB170" s="59">
        <v>13.56455953444137</v>
      </c>
      <c r="AC170" s="59">
        <v>410.88724735787252</v>
      </c>
      <c r="AD170" s="60">
        <v>383.75812828898984</v>
      </c>
      <c r="AE170" s="61">
        <v>0.91858162454260006</v>
      </c>
      <c r="AF170" s="62">
        <v>6.9394825995238885E-2</v>
      </c>
      <c r="AG170" s="62">
        <v>0.987976450537839</v>
      </c>
      <c r="AH170" s="63">
        <v>0.84918679854736112</v>
      </c>
      <c r="AI170" s="78">
        <v>5.002068748204116</v>
      </c>
    </row>
    <row r="171" spans="2:35" x14ac:dyDescent="0.25">
      <c r="Q171" s="57"/>
      <c r="R171" s="57"/>
      <c r="Z171">
        <v>139</v>
      </c>
      <c r="AA171" s="58">
        <v>396.94674646796261</v>
      </c>
      <c r="AB171" s="59">
        <v>14.007366692753122</v>
      </c>
      <c r="AC171" s="59">
        <v>410.95411316071574</v>
      </c>
      <c r="AD171" s="60">
        <v>382.93937977520949</v>
      </c>
      <c r="AE171" s="61">
        <v>0.91774062688900904</v>
      </c>
      <c r="AF171" s="62">
        <v>7.033718963267821E-2</v>
      </c>
      <c r="AG171" s="62">
        <v>0.98807781652168725</v>
      </c>
      <c r="AH171" s="63">
        <v>0.84740343725633083</v>
      </c>
      <c r="AI171" s="78">
        <v>4.3064607117458804</v>
      </c>
    </row>
    <row r="172" spans="2:35" x14ac:dyDescent="0.25">
      <c r="Q172" s="57"/>
      <c r="R172" s="57"/>
      <c r="Z172">
        <v>140</v>
      </c>
      <c r="AA172" s="58">
        <v>396.50247778056126</v>
      </c>
      <c r="AB172" s="59">
        <v>14.566272275220438</v>
      </c>
      <c r="AC172" s="59">
        <v>411.06875005578172</v>
      </c>
      <c r="AD172" s="60">
        <v>381.93620550534081</v>
      </c>
      <c r="AE172" s="61">
        <v>0.9167488263282032</v>
      </c>
      <c r="AF172" s="62">
        <v>7.152705439678933E-2</v>
      </c>
      <c r="AG172" s="62">
        <v>0.98827588072499251</v>
      </c>
      <c r="AH172" s="63">
        <v>0.8452217719314139</v>
      </c>
      <c r="AI172" s="78">
        <v>2.3956979538855099</v>
      </c>
    </row>
    <row r="173" spans="2:35" x14ac:dyDescent="0.25">
      <c r="Q173" s="57"/>
      <c r="R173" s="57"/>
      <c r="Z173">
        <v>141</v>
      </c>
      <c r="AA173" s="58">
        <v>396.05471632219843</v>
      </c>
      <c r="AB173" s="59">
        <v>15.131586440963817</v>
      </c>
      <c r="AC173" s="59">
        <v>411.18630276316225</v>
      </c>
      <c r="AD173" s="60">
        <v>380.92312988123462</v>
      </c>
      <c r="AE173" s="61">
        <v>0.91574931699258777</v>
      </c>
      <c r="AF173" s="62">
        <v>7.2731155099195616E-2</v>
      </c>
      <c r="AG173" s="62">
        <v>0.98848047209178336</v>
      </c>
      <c r="AH173" s="63">
        <v>0.84301816189339218</v>
      </c>
      <c r="AI173" s="78">
        <v>7.8261807377679</v>
      </c>
    </row>
    <row r="174" spans="2:35" x14ac:dyDescent="0.25">
      <c r="Q174" s="57"/>
      <c r="R174" s="57"/>
      <c r="Z174">
        <v>142</v>
      </c>
      <c r="AA174" s="58">
        <v>395.60695486383565</v>
      </c>
      <c r="AB174" s="59">
        <v>15.697341581451855</v>
      </c>
      <c r="AC174" s="59">
        <v>411.30429644528749</v>
      </c>
      <c r="AD174" s="60">
        <v>379.90961328238382</v>
      </c>
      <c r="AE174" s="61">
        <v>0.91474980765697211</v>
      </c>
      <c r="AF174" s="62">
        <v>7.3936826373931425E-2</v>
      </c>
      <c r="AG174" s="62">
        <v>0.98868663403090351</v>
      </c>
      <c r="AH174" s="63">
        <v>0.84081298128304072</v>
      </c>
      <c r="AI174" s="78">
        <v>10.409013061523439</v>
      </c>
    </row>
    <row r="175" spans="2:35" x14ac:dyDescent="0.25">
      <c r="Q175" s="57"/>
      <c r="R175" s="57"/>
      <c r="Z175">
        <v>143</v>
      </c>
      <c r="AA175" s="58">
        <v>395.14507234115098</v>
      </c>
      <c r="AB175" s="59">
        <v>16.287508903553082</v>
      </c>
      <c r="AC175" s="59">
        <v>411.43258124470407</v>
      </c>
      <c r="AD175" s="60">
        <v>378.85756343759789</v>
      </c>
      <c r="AE175" s="61">
        <v>0.91371913220536083</v>
      </c>
      <c r="AF175" s="62">
        <v>7.519519991449912E-2</v>
      </c>
      <c r="AG175" s="62">
        <v>0.98891433211985991</v>
      </c>
      <c r="AH175" s="63">
        <v>0.83852393229086175</v>
      </c>
      <c r="AI175" s="78">
        <v>11.815843658447266</v>
      </c>
    </row>
    <row r="176" spans="2:35" x14ac:dyDescent="0.25">
      <c r="Q176" s="57"/>
      <c r="R176" s="57"/>
      <c r="Z176">
        <v>144</v>
      </c>
      <c r="AA176" s="58">
        <v>394.37252640338346</v>
      </c>
      <c r="AB176" s="59">
        <v>17.407227841762353</v>
      </c>
      <c r="AC176" s="59">
        <v>411.7797542451458</v>
      </c>
      <c r="AD176" s="60">
        <v>376.96529856162113</v>
      </c>
      <c r="AE176" s="61">
        <v>0.91200280220183716</v>
      </c>
      <c r="AF176" s="62">
        <v>7.7584313145164188E-2</v>
      </c>
      <c r="AG176" s="62">
        <v>0.98958711534700139</v>
      </c>
      <c r="AH176" s="63">
        <v>0.83441848905667293</v>
      </c>
      <c r="AI176" s="78">
        <v>13.985812908409544</v>
      </c>
    </row>
    <row r="177" spans="17:35" x14ac:dyDescent="0.25">
      <c r="Q177" s="57"/>
      <c r="R177" s="57"/>
      <c r="Z177">
        <v>145</v>
      </c>
      <c r="AA177" s="58">
        <v>393.47289088671852</v>
      </c>
      <c r="AB177" s="59">
        <v>18.745594719540613</v>
      </c>
      <c r="AC177" s="59">
        <v>412.21848560625915</v>
      </c>
      <c r="AD177" s="60">
        <v>374.72729616717788</v>
      </c>
      <c r="AE177" s="61">
        <v>0.91000597715434972</v>
      </c>
      <c r="AF177" s="62">
        <v>8.0443406282861327E-2</v>
      </c>
      <c r="AG177" s="62">
        <v>0.99044938343721101</v>
      </c>
      <c r="AH177" s="63">
        <v>0.82956257087148844</v>
      </c>
      <c r="AI177" s="78">
        <v>16.507476072133699</v>
      </c>
    </row>
    <row r="178" spans="17:35" x14ac:dyDescent="0.25">
      <c r="Q178" s="57"/>
      <c r="R178" s="57"/>
      <c r="Z178">
        <v>146</v>
      </c>
      <c r="AA178" s="58">
        <v>392.57325537005357</v>
      </c>
      <c r="AB178" s="59">
        <v>20.085994509632073</v>
      </c>
      <c r="AC178" s="59">
        <v>412.65924987968566</v>
      </c>
      <c r="AD178" s="60">
        <v>372.48726086042149</v>
      </c>
      <c r="AE178" s="61">
        <v>0.90800915210686206</v>
      </c>
      <c r="AF178" s="62">
        <v>8.3310801429497761E-2</v>
      </c>
      <c r="AG178" s="62">
        <v>0.99131995353635982</v>
      </c>
      <c r="AH178" s="63">
        <v>0.8246983506773643</v>
      </c>
      <c r="AI178" s="78">
        <v>17.397971419814212</v>
      </c>
    </row>
    <row r="179" spans="17:35" x14ac:dyDescent="0.25">
      <c r="Q179" s="57"/>
      <c r="R179" s="57"/>
      <c r="Z179">
        <v>147</v>
      </c>
      <c r="AA179" s="58">
        <v>391.67361985338863</v>
      </c>
      <c r="AB179" s="59">
        <v>21.428045717939991</v>
      </c>
      <c r="AC179" s="59">
        <v>413.10166557132862</v>
      </c>
      <c r="AD179" s="60">
        <v>370.24557413544863</v>
      </c>
      <c r="AE179" s="61">
        <v>0.90601232705937462</v>
      </c>
      <c r="AF179" s="62">
        <v>8.6185669966149403E-2</v>
      </c>
      <c r="AG179" s="62">
        <v>0.99219799702552403</v>
      </c>
      <c r="AH179" s="63">
        <v>0.81982665709322522</v>
      </c>
      <c r="AI179" s="78">
        <v>18.055937056956086</v>
      </c>
    </row>
    <row r="180" spans="17:35" x14ac:dyDescent="0.25">
      <c r="Q180" s="57"/>
      <c r="R180" s="57"/>
      <c r="Z180">
        <v>148</v>
      </c>
      <c r="AA180" s="58">
        <v>390.77398433672369</v>
      </c>
      <c r="AB180" s="59">
        <v>22.77145636398215</v>
      </c>
      <c r="AC180" s="59">
        <v>413.54544070070585</v>
      </c>
      <c r="AD180" s="60">
        <v>368.00252797274152</v>
      </c>
      <c r="AE180" s="61">
        <v>0.90401550201188696</v>
      </c>
      <c r="AF180" s="62">
        <v>8.9067288228933783E-2</v>
      </c>
      <c r="AG180" s="62">
        <v>0.9930827902408208</v>
      </c>
      <c r="AH180" s="63">
        <v>0.81494821378295312</v>
      </c>
      <c r="AI180" s="78">
        <v>16.723448371887208</v>
      </c>
    </row>
    <row r="181" spans="17:35" x14ac:dyDescent="0.25">
      <c r="Q181" s="57"/>
      <c r="R181" s="57"/>
      <c r="Z181">
        <v>149</v>
      </c>
      <c r="AA181" s="58">
        <v>389.87434882005874</v>
      </c>
      <c r="AB181" s="59">
        <v>24.115999261503067</v>
      </c>
      <c r="AC181" s="59">
        <v>413.99034808156182</v>
      </c>
      <c r="AD181" s="60">
        <v>365.75834955855566</v>
      </c>
      <c r="AE181" s="61">
        <v>0.9020186769643993</v>
      </c>
      <c r="AF181" s="62">
        <v>9.1955021666307118E-2</v>
      </c>
      <c r="AG181" s="62">
        <v>0.99397369863070639</v>
      </c>
      <c r="AH181" s="63">
        <v>0.81006365529809221</v>
      </c>
      <c r="AI181" s="78">
        <v>15.911646794421333</v>
      </c>
    </row>
    <row r="182" spans="17:35" x14ac:dyDescent="0.25">
      <c r="Q182" s="57"/>
      <c r="R182" s="57"/>
      <c r="Z182">
        <v>150</v>
      </c>
      <c r="AA182" s="58">
        <v>388.74228220218373</v>
      </c>
      <c r="AB182" s="59">
        <v>25.860723517853057</v>
      </c>
      <c r="AC182" s="59">
        <v>414.60300572003678</v>
      </c>
      <c r="AD182" s="60">
        <v>362.88155868433068</v>
      </c>
      <c r="AE182" s="61">
        <v>0.89950886121761042</v>
      </c>
      <c r="AF182" s="62">
        <v>9.5707474018302624E-2</v>
      </c>
      <c r="AG182" s="62">
        <v>0.99521633523591302</v>
      </c>
      <c r="AH182" s="63">
        <v>0.80380138719930783</v>
      </c>
      <c r="AI182" s="78">
        <v>17.486711604254587</v>
      </c>
    </row>
    <row r="183" spans="17:35" x14ac:dyDescent="0.25">
      <c r="Q183" s="57"/>
      <c r="R183" s="57"/>
      <c r="Z183">
        <v>151</v>
      </c>
      <c r="AA183" s="58">
        <v>387.27161225168157</v>
      </c>
      <c r="AB183" s="59">
        <v>28.189145699539814</v>
      </c>
      <c r="AC183" s="59">
        <v>415.46075795122141</v>
      </c>
      <c r="AD183" s="60">
        <v>359.08246655214174</v>
      </c>
      <c r="AE183" s="61">
        <v>0.8962517256866539</v>
      </c>
      <c r="AF183" s="62">
        <v>0.10072408277241934</v>
      </c>
      <c r="AG183" s="62">
        <v>0.99697580845907319</v>
      </c>
      <c r="AH183" s="63">
        <v>0.79552764291423461</v>
      </c>
      <c r="AI183" s="78">
        <v>19.170270340783254</v>
      </c>
    </row>
    <row r="184" spans="17:35" x14ac:dyDescent="0.25">
      <c r="Q184" s="57"/>
      <c r="R184" s="57"/>
      <c r="Z184">
        <v>152</v>
      </c>
      <c r="AA184" s="58">
        <v>385.79807278141152</v>
      </c>
      <c r="AB184" s="59">
        <v>30.524651522361076</v>
      </c>
      <c r="AC184" s="59">
        <v>416.32272430377259</v>
      </c>
      <c r="AD184" s="60">
        <v>355.27342125905045</v>
      </c>
      <c r="AE184" s="61">
        <v>0.89298825693718753</v>
      </c>
      <c r="AF184" s="62">
        <v>0.1057651770591584</v>
      </c>
      <c r="AG184" s="62">
        <v>0.99875343399634597</v>
      </c>
      <c r="AH184" s="63">
        <v>0.78722307987802909</v>
      </c>
      <c r="AI184" s="78">
        <v>20.18124128199759</v>
      </c>
    </row>
    <row r="185" spans="17:35" x14ac:dyDescent="0.25">
      <c r="Q185" s="57"/>
      <c r="R185" s="57"/>
      <c r="Z185">
        <v>153</v>
      </c>
      <c r="AA185" s="58">
        <v>384.32453331114135</v>
      </c>
      <c r="AB185" s="59">
        <v>32.861852296158652</v>
      </c>
      <c r="AC185" s="59">
        <v>417.1863856073</v>
      </c>
      <c r="AD185" s="60">
        <v>351.46268101498271</v>
      </c>
      <c r="AE185" s="61">
        <v>0.88972478818772138</v>
      </c>
      <c r="AF185" s="62">
        <v>0.11081825312896092</v>
      </c>
      <c r="AG185" s="62">
        <v>1.0005430413166823</v>
      </c>
      <c r="AH185" s="63">
        <v>0.77890653505876051</v>
      </c>
      <c r="AI185" s="78">
        <v>20.376163873218353</v>
      </c>
    </row>
    <row r="186" spans="17:35" x14ac:dyDescent="0.25">
      <c r="Q186" s="57"/>
      <c r="R186" s="57"/>
      <c r="Z186">
        <v>154</v>
      </c>
      <c r="AA186" s="58">
        <v>382.85099384087124</v>
      </c>
      <c r="AB186" s="59">
        <v>35.200410403698115</v>
      </c>
      <c r="AC186" s="59">
        <v>418.05140424456937</v>
      </c>
      <c r="AD186" s="60">
        <v>347.65058343717311</v>
      </c>
      <c r="AE186" s="61">
        <v>0.88646131943825501</v>
      </c>
      <c r="AF186" s="62">
        <v>0.11588174357914935</v>
      </c>
      <c r="AG186" s="62">
        <v>1.0023430630174044</v>
      </c>
      <c r="AH186" s="63">
        <v>0.77057957585910564</v>
      </c>
      <c r="AI186" s="78">
        <v>20.569223340352377</v>
      </c>
    </row>
    <row r="187" spans="17:35" x14ac:dyDescent="0.25">
      <c r="Q187" s="57"/>
      <c r="R187" s="57"/>
      <c r="Z187">
        <v>155</v>
      </c>
      <c r="AA187" s="58">
        <v>381.34467253311033</v>
      </c>
      <c r="AB187" s="59">
        <v>37.516382230849729</v>
      </c>
      <c r="AC187" s="59">
        <v>418.86105476396006</v>
      </c>
      <c r="AD187" s="60">
        <v>343.8282903022606</v>
      </c>
      <c r="AE187" s="61">
        <v>0.88312178896297044</v>
      </c>
      <c r="AF187" s="62">
        <v>0.12091316996025697</v>
      </c>
      <c r="AG187" s="62">
        <v>1.0040349589232274</v>
      </c>
      <c r="AH187" s="63">
        <v>0.76220861900271353</v>
      </c>
      <c r="AI187" s="78">
        <v>20.762282807486404</v>
      </c>
    </row>
    <row r="188" spans="17:35" x14ac:dyDescent="0.25">
      <c r="Q188" s="57"/>
      <c r="R188" s="57"/>
      <c r="Z188">
        <v>156</v>
      </c>
      <c r="AA188" s="58">
        <v>379.73776305296542</v>
      </c>
      <c r="AB188" s="59">
        <v>39.760041492004333</v>
      </c>
      <c r="AC188" s="59">
        <v>419.49780454496977</v>
      </c>
      <c r="AD188" s="60">
        <v>339.97772156096107</v>
      </c>
      <c r="AE188" s="61">
        <v>0.87954886980132585</v>
      </c>
      <c r="AF188" s="62">
        <v>0.12582259580017854</v>
      </c>
      <c r="AG188" s="62">
        <v>1.0053714656015045</v>
      </c>
      <c r="AH188" s="63">
        <v>0.75372627400114733</v>
      </c>
      <c r="AI188" s="78">
        <v>20.955342274620421</v>
      </c>
    </row>
    <row r="189" spans="17:35" x14ac:dyDescent="0.25">
      <c r="Q189" s="57"/>
      <c r="R189" s="57"/>
      <c r="Z189">
        <v>157</v>
      </c>
      <c r="AA189" s="58">
        <v>378.06800693142822</v>
      </c>
      <c r="AB189" s="59">
        <v>42.094868417841475</v>
      </c>
      <c r="AC189" s="59">
        <v>420.16287534926971</v>
      </c>
      <c r="AD189" s="60">
        <v>335.97313851358672</v>
      </c>
      <c r="AE189" s="61">
        <v>0.87583644722967013</v>
      </c>
      <c r="AF189" s="62">
        <v>0.13093381321022926</v>
      </c>
      <c r="AG189" s="62">
        <v>1.0067702604398994</v>
      </c>
      <c r="AH189" s="63">
        <v>0.7449026340194409</v>
      </c>
      <c r="AI189" s="78">
        <v>21.148401741754437</v>
      </c>
    </row>
    <row r="190" spans="17:35" x14ac:dyDescent="0.25">
      <c r="Q190" s="57"/>
      <c r="R190" s="57"/>
      <c r="Z190">
        <v>158</v>
      </c>
      <c r="AA190" s="58">
        <v>376.16882351454342</v>
      </c>
      <c r="AB190" s="59">
        <v>44.825291746435546</v>
      </c>
      <c r="AC190" s="59">
        <v>420.99411526097896</v>
      </c>
      <c r="AD190" s="60">
        <v>331.34353176810788</v>
      </c>
      <c r="AE190" s="61">
        <v>0.87161766355544945</v>
      </c>
      <c r="AF190" s="62">
        <v>0.13690708260887419</v>
      </c>
      <c r="AG190" s="62">
        <v>1.0085247461643236</v>
      </c>
      <c r="AH190" s="63">
        <v>0.73471058094657526</v>
      </c>
      <c r="AI190" s="78">
        <v>21.341461208888461</v>
      </c>
    </row>
    <row r="191" spans="17:35" x14ac:dyDescent="0.25">
      <c r="Q191" s="57"/>
      <c r="R191" s="57"/>
      <c r="Z191">
        <v>159</v>
      </c>
      <c r="AA191" s="58">
        <v>374.24483714681037</v>
      </c>
      <c r="AB191" s="59">
        <v>47.598489178453065</v>
      </c>
      <c r="AC191" s="59">
        <v>421.84332632526343</v>
      </c>
      <c r="AD191" s="60">
        <v>326.6463479683573</v>
      </c>
      <c r="AE191" s="61">
        <v>0.86734413814041089</v>
      </c>
      <c r="AF191" s="62">
        <v>0.14297612967044385</v>
      </c>
      <c r="AG191" s="62">
        <v>1.0103202678108547</v>
      </c>
      <c r="AH191" s="63">
        <v>0.72436800846996707</v>
      </c>
      <c r="AI191" s="78">
        <v>21.534520676022485</v>
      </c>
    </row>
    <row r="192" spans="17:35" x14ac:dyDescent="0.25">
      <c r="Q192" s="57"/>
      <c r="R192" s="57"/>
      <c r="Z192">
        <v>160</v>
      </c>
      <c r="AA192" s="58">
        <v>372.32085077907726</v>
      </c>
      <c r="AB192" s="59">
        <v>50.371693350217534</v>
      </c>
      <c r="AC192" s="59">
        <v>422.69254412929479</v>
      </c>
      <c r="AD192" s="60">
        <v>321.94915742885973</v>
      </c>
      <c r="AE192" s="61">
        <v>0.86307061272537233</v>
      </c>
      <c r="AF192" s="62">
        <v>0.14904766248397569</v>
      </c>
      <c r="AG192" s="62">
        <v>1.0121182752093481</v>
      </c>
      <c r="AH192" s="63">
        <v>0.71402295024139661</v>
      </c>
      <c r="AI192" s="78">
        <v>21.727580143156505</v>
      </c>
    </row>
    <row r="193" spans="17:35" x14ac:dyDescent="0.25">
      <c r="Q193" s="57"/>
      <c r="R193" s="57"/>
      <c r="Z193">
        <v>161</v>
      </c>
      <c r="AA193" s="58">
        <v>370.3968644113441</v>
      </c>
      <c r="AB193" s="59">
        <v>53.144903206649268</v>
      </c>
      <c r="AC193" s="59">
        <v>423.54176761799334</v>
      </c>
      <c r="AD193" s="60">
        <v>317.25196120469485</v>
      </c>
      <c r="AE193" s="61">
        <v>0.85879708731033377</v>
      </c>
      <c r="AF193" s="62">
        <v>0.15512138916882481</v>
      </c>
      <c r="AG193" s="62">
        <v>1.0139184764791587</v>
      </c>
      <c r="AH193" s="63">
        <v>0.70367569814150899</v>
      </c>
      <c r="AI193" s="78">
        <v>21.920639610290529</v>
      </c>
    </row>
    <row r="194" spans="17:35" x14ac:dyDescent="0.25">
      <c r="Q194" s="57"/>
      <c r="R194" s="57"/>
      <c r="Z194">
        <v>162</v>
      </c>
      <c r="AA194" s="58">
        <v>368.47287804361099</v>
      </c>
      <c r="AB194" s="59">
        <v>55.918117901969019</v>
      </c>
      <c r="AC194" s="59">
        <v>424.39099594558002</v>
      </c>
      <c r="AD194" s="60">
        <v>312.55476014164196</v>
      </c>
      <c r="AE194" s="61">
        <v>0.85452356189529544</v>
      </c>
      <c r="AF194" s="62">
        <v>0.16119706173725776</v>
      </c>
      <c r="AG194" s="62">
        <v>1.0157206236325531</v>
      </c>
      <c r="AH194" s="63">
        <v>0.69332650015803765</v>
      </c>
      <c r="AI194" s="78">
        <v>22.081469338801501</v>
      </c>
    </row>
    <row r="195" spans="17:35" x14ac:dyDescent="0.25">
      <c r="Q195" s="57"/>
      <c r="R195" s="57"/>
      <c r="Z195">
        <v>163</v>
      </c>
      <c r="AA195" s="58">
        <v>366.54889167587788</v>
      </c>
      <c r="AB195" s="59">
        <v>58.691336750253768</v>
      </c>
      <c r="AC195" s="59">
        <v>425.24022842613164</v>
      </c>
      <c r="AD195" s="60">
        <v>307.85755492562413</v>
      </c>
      <c r="AE195" s="61">
        <v>0.85025003648025688</v>
      </c>
      <c r="AF195" s="62">
        <v>0.16727446815672839</v>
      </c>
      <c r="AG195" s="62">
        <v>1.0175245046369852</v>
      </c>
      <c r="AH195" s="63">
        <v>0.68297556832352846</v>
      </c>
      <c r="AI195" s="78">
        <v>22.004356058712663</v>
      </c>
    </row>
    <row r="196" spans="17:35" x14ac:dyDescent="0.25">
      <c r="Q196" s="57"/>
      <c r="R196" s="57"/>
      <c r="Z196">
        <v>164</v>
      </c>
      <c r="AA196" s="58">
        <v>364.62490530814466</v>
      </c>
      <c r="AB196" s="59">
        <v>61.464559189369588</v>
      </c>
      <c r="AC196" s="59">
        <v>426.08946449751426</v>
      </c>
      <c r="AD196" s="60">
        <v>303.16034611877507</v>
      </c>
      <c r="AE196" s="61">
        <v>0.84597651106521832</v>
      </c>
      <c r="AF196" s="62">
        <v>0.17335342607181953</v>
      </c>
      <c r="AG196" s="62">
        <v>1.0193299371370379</v>
      </c>
      <c r="AH196" s="63">
        <v>0.67262308499339873</v>
      </c>
      <c r="AI196" s="78">
        <v>21.8790971196931</v>
      </c>
    </row>
    <row r="197" spans="17:35" x14ac:dyDescent="0.25">
      <c r="Q197" s="57"/>
      <c r="R197" s="57"/>
      <c r="Z197">
        <v>165</v>
      </c>
      <c r="AA197" s="58">
        <v>362.70091894041167</v>
      </c>
      <c r="AB197" s="59">
        <v>64.237784754254974</v>
      </c>
      <c r="AC197" s="59">
        <v>426.93870369466663</v>
      </c>
      <c r="AD197" s="60">
        <v>298.46313418615671</v>
      </c>
      <c r="AE197" s="61">
        <v>0.84170298565017976</v>
      </c>
      <c r="AF197" s="62">
        <v>0.17943377779529485</v>
      </c>
      <c r="AG197" s="62">
        <v>1.0211367634454747</v>
      </c>
      <c r="AH197" s="63">
        <v>0.66226920785488486</v>
      </c>
      <c r="AI197" s="78">
        <v>21.753838180673533</v>
      </c>
    </row>
    <row r="198" spans="17:35" x14ac:dyDescent="0.25">
      <c r="Q198" s="57"/>
      <c r="R198" s="57"/>
      <c r="Z198">
        <v>166</v>
      </c>
      <c r="AA198" s="58">
        <v>360.80681466175889</v>
      </c>
      <c r="AB198" s="59">
        <v>66.959476655106826</v>
      </c>
      <c r="AC198" s="59">
        <v>427.7662913168657</v>
      </c>
      <c r="AD198" s="60">
        <v>293.84733800665208</v>
      </c>
      <c r="AE198" s="61">
        <v>0.83749541196747879</v>
      </c>
      <c r="AF198" s="62">
        <v>0.18540275227745584</v>
      </c>
      <c r="AG198" s="62">
        <v>1.0228981642449346</v>
      </c>
      <c r="AH198" s="63">
        <v>0.65209265969002295</v>
      </c>
      <c r="AI198" s="78">
        <v>21.62857924165397</v>
      </c>
    </row>
    <row r="199" spans="17:35" x14ac:dyDescent="0.25">
      <c r="Q199" s="57"/>
      <c r="R199" s="57"/>
      <c r="Z199">
        <v>167</v>
      </c>
      <c r="AA199" s="58">
        <v>359.14999892479801</v>
      </c>
      <c r="AB199" s="59">
        <v>69.271935120427273</v>
      </c>
      <c r="AC199" s="59">
        <v>428.42193404522527</v>
      </c>
      <c r="AD199" s="60">
        <v>289.87806380437075</v>
      </c>
      <c r="AE199" s="61">
        <v>0.83381154967410975</v>
      </c>
      <c r="AF199" s="62">
        <v>0.19047808808487102</v>
      </c>
      <c r="AG199" s="62">
        <v>1.0242896377589807</v>
      </c>
      <c r="AH199" s="63">
        <v>0.64333346158923876</v>
      </c>
      <c r="AI199" s="78">
        <v>21.503320302634403</v>
      </c>
    </row>
    <row r="200" spans="17:35" x14ac:dyDescent="0.25">
      <c r="Q200" s="57"/>
      <c r="R200" s="57"/>
      <c r="Z200">
        <v>168</v>
      </c>
      <c r="AA200" s="58">
        <v>357.54428332833555</v>
      </c>
      <c r="AB200" s="59">
        <v>71.496282908276086</v>
      </c>
      <c r="AC200" s="59">
        <v>429.04056623661165</v>
      </c>
      <c r="AD200" s="60">
        <v>286.04800042005945</v>
      </c>
      <c r="AE200" s="61">
        <v>0.83024046874550728</v>
      </c>
      <c r="AF200" s="62">
        <v>0.19536113868271385</v>
      </c>
      <c r="AG200" s="62">
        <v>1.025601607428221</v>
      </c>
      <c r="AH200" s="63">
        <v>0.6348793300627934</v>
      </c>
      <c r="AI200" s="78">
        <v>21.37806136361484</v>
      </c>
    </row>
    <row r="201" spans="17:35" x14ac:dyDescent="0.25">
      <c r="Q201" s="57"/>
      <c r="R201" s="57"/>
      <c r="Z201">
        <v>169</v>
      </c>
      <c r="AA201" s="58">
        <v>355.93856773187309</v>
      </c>
      <c r="AB201" s="59">
        <v>73.72064872713861</v>
      </c>
      <c r="AC201" s="59">
        <v>429.6592164590117</v>
      </c>
      <c r="AD201" s="60">
        <v>282.21791900473448</v>
      </c>
      <c r="AE201" s="61">
        <v>0.82666938781690502</v>
      </c>
      <c r="AF201" s="62">
        <v>0.2002444921579295</v>
      </c>
      <c r="AG201" s="62">
        <v>1.0269138799748345</v>
      </c>
      <c r="AH201" s="63">
        <v>0.62642489565897552</v>
      </c>
      <c r="AI201" s="78">
        <v>21.25280242459527</v>
      </c>
    </row>
    <row r="202" spans="17:35" x14ac:dyDescent="0.25">
      <c r="Q202" s="57"/>
      <c r="R202" s="57"/>
      <c r="Z202">
        <v>170</v>
      </c>
      <c r="AA202" s="58">
        <v>354.2771059418676</v>
      </c>
      <c r="AB202" s="59">
        <v>75.904896792591344</v>
      </c>
      <c r="AC202" s="59">
        <v>430.18200273445893</v>
      </c>
      <c r="AD202" s="60">
        <v>278.37220914927627</v>
      </c>
      <c r="AE202" s="61">
        <v>0.82296896234836103</v>
      </c>
      <c r="AF202" s="62">
        <v>0.20504904834673737</v>
      </c>
      <c r="AG202" s="62">
        <v>1.0280180106950985</v>
      </c>
      <c r="AH202" s="63">
        <v>0.6179199140016236</v>
      </c>
      <c r="AI202" s="78">
        <v>21.127543485575707</v>
      </c>
    </row>
    <row r="203" spans="17:35" x14ac:dyDescent="0.25">
      <c r="Q203" s="57"/>
      <c r="R203" s="57"/>
      <c r="Z203">
        <v>171</v>
      </c>
      <c r="AA203" s="58">
        <v>352.32210560148752</v>
      </c>
      <c r="AB203" s="59">
        <v>77.880348515434676</v>
      </c>
      <c r="AC203" s="59">
        <v>430.20245411692218</v>
      </c>
      <c r="AD203" s="60">
        <v>274.44175708605286</v>
      </c>
      <c r="AE203" s="61">
        <v>0.81858745703668812</v>
      </c>
      <c r="AF203" s="62">
        <v>0.20944054176373178</v>
      </c>
      <c r="AG203" s="62">
        <v>1.02802799880042</v>
      </c>
      <c r="AH203" s="63">
        <v>0.60914691527295628</v>
      </c>
      <c r="AI203" s="78">
        <v>21.002284546556144</v>
      </c>
    </row>
    <row r="204" spans="17:35" x14ac:dyDescent="0.25">
      <c r="Q204" s="57"/>
      <c r="R204" s="57"/>
      <c r="Z204">
        <v>172</v>
      </c>
      <c r="AA204" s="58">
        <v>350.32442458167611</v>
      </c>
      <c r="AB204" s="59">
        <v>79.830251274818934</v>
      </c>
      <c r="AC204" s="59">
        <v>430.15467585649503</v>
      </c>
      <c r="AD204" s="60">
        <v>270.49417330685719</v>
      </c>
      <c r="AE204" s="61">
        <v>0.81410692231162252</v>
      </c>
      <c r="AF204" s="62">
        <v>0.21377856416341809</v>
      </c>
      <c r="AG204" s="62">
        <v>1.0278854864750406</v>
      </c>
      <c r="AH204" s="63">
        <v>0.6003283581482044</v>
      </c>
      <c r="AI204" s="78">
        <v>20.877025607536584</v>
      </c>
    </row>
    <row r="205" spans="17:35" x14ac:dyDescent="0.25">
      <c r="Q205" s="57"/>
      <c r="R205" s="57"/>
      <c r="Z205">
        <v>173</v>
      </c>
      <c r="AA205" s="58">
        <v>348.3267435618647</v>
      </c>
      <c r="AB205" s="59">
        <v>81.784953942996623</v>
      </c>
      <c r="AC205" s="59">
        <v>430.11169750486135</v>
      </c>
      <c r="AD205" s="60">
        <v>266.54178961886805</v>
      </c>
      <c r="AE205" s="61">
        <v>0.80962638758655714</v>
      </c>
      <c r="AF205" s="62">
        <v>0.21812321994390133</v>
      </c>
      <c r="AG205" s="62">
        <v>1.0277496075304584</v>
      </c>
      <c r="AH205" s="63">
        <v>0.59150316764265587</v>
      </c>
      <c r="AI205" s="78">
        <v>20.751766668517014</v>
      </c>
    </row>
    <row r="206" spans="17:35" x14ac:dyDescent="0.25">
      <c r="Q206" s="57"/>
      <c r="R206" s="57"/>
      <c r="Z206">
        <v>174</v>
      </c>
      <c r="AA206" s="58">
        <v>346.32906254205324</v>
      </c>
      <c r="AB206" s="59">
        <v>83.744120411271965</v>
      </c>
      <c r="AC206" s="59">
        <v>430.07318295332522</v>
      </c>
      <c r="AD206" s="60">
        <v>262.58494213078126</v>
      </c>
      <c r="AE206" s="61">
        <v>0.80514585286149154</v>
      </c>
      <c r="AF206" s="62">
        <v>0.22247412047933565</v>
      </c>
      <c r="AG206" s="62">
        <v>1.0276199733408271</v>
      </c>
      <c r="AH206" s="63">
        <v>0.58267173238215586</v>
      </c>
      <c r="AI206" s="78">
        <v>20.626507729497447</v>
      </c>
    </row>
    <row r="207" spans="17:35" x14ac:dyDescent="0.25">
      <c r="Q207" s="57"/>
      <c r="R207" s="57"/>
      <c r="Z207">
        <v>175</v>
      </c>
      <c r="AA207" s="58">
        <v>344.35853329221874</v>
      </c>
      <c r="AB207" s="59">
        <v>85.660829293043307</v>
      </c>
      <c r="AC207" s="59">
        <v>430.01936258526206</v>
      </c>
      <c r="AD207" s="60">
        <v>258.69770399917542</v>
      </c>
      <c r="AE207" s="61">
        <v>0.8007252438752589</v>
      </c>
      <c r="AF207" s="62">
        <v>0.22672897933069855</v>
      </c>
      <c r="AG207" s="62">
        <v>1.0274542232059574</v>
      </c>
      <c r="AH207" s="63">
        <v>0.57399626454456032</v>
      </c>
      <c r="AI207" s="78">
        <v>20.501248790477884</v>
      </c>
    </row>
    <row r="208" spans="17:35" x14ac:dyDescent="0.25">
      <c r="Q208" s="57"/>
      <c r="R208" s="57"/>
      <c r="Z208">
        <v>176</v>
      </c>
      <c r="AA208" s="58">
        <v>342.53628460704164</v>
      </c>
      <c r="AB208" s="59">
        <v>87.168103499292897</v>
      </c>
      <c r="AC208" s="59">
        <v>429.70438810633453</v>
      </c>
      <c r="AD208" s="60">
        <v>255.36818110774874</v>
      </c>
      <c r="AE208" s="61">
        <v>0.79662428015217157</v>
      </c>
      <c r="AF208" s="62">
        <v>0.23009403200266956</v>
      </c>
      <c r="AG208" s="62">
        <v>1.0267183121548411</v>
      </c>
      <c r="AH208" s="63">
        <v>0.56653024814950204</v>
      </c>
      <c r="AI208" s="78">
        <v>20.375989851458321</v>
      </c>
    </row>
    <row r="209" spans="17:35" x14ac:dyDescent="0.25">
      <c r="Q209" s="57"/>
      <c r="R209" s="57"/>
      <c r="Z209">
        <v>177</v>
      </c>
      <c r="AA209" s="58">
        <v>340.56535621064575</v>
      </c>
      <c r="AB209" s="59">
        <v>88.478971819108381</v>
      </c>
      <c r="AC209" s="59">
        <v>429.04432802975413</v>
      </c>
      <c r="AD209" s="60">
        <v>252.08638439153736</v>
      </c>
      <c r="AE209" s="61">
        <v>0.79217308903114014</v>
      </c>
      <c r="AF209" s="62">
        <v>0.23304986326100571</v>
      </c>
      <c r="AG209" s="62">
        <v>1.0252229522921459</v>
      </c>
      <c r="AH209" s="63">
        <v>0.5591232257701344</v>
      </c>
      <c r="AI209" s="78">
        <v>20.250730912438755</v>
      </c>
    </row>
    <row r="210" spans="17:35" x14ac:dyDescent="0.25">
      <c r="Q210" s="57"/>
      <c r="R210" s="57"/>
      <c r="Z210">
        <v>178</v>
      </c>
      <c r="AA210" s="58">
        <v>338.58206163396511</v>
      </c>
      <c r="AB210" s="59">
        <v>89.794452887278368</v>
      </c>
      <c r="AC210" s="59">
        <v>428.37651452124351</v>
      </c>
      <c r="AD210" s="60">
        <v>248.78760874668674</v>
      </c>
      <c r="AE210" s="61">
        <v>0.78769320540577603</v>
      </c>
      <c r="AF210" s="62">
        <v>0.23601293668811124</v>
      </c>
      <c r="AG210" s="62">
        <v>1.0237061420938873</v>
      </c>
      <c r="AH210" s="63">
        <v>0.55168026871766473</v>
      </c>
      <c r="AI210" s="78">
        <v>20.125471973419188</v>
      </c>
    </row>
    <row r="211" spans="17:35" x14ac:dyDescent="0.25">
      <c r="Q211" s="57"/>
      <c r="R211" s="57"/>
      <c r="Z211">
        <v>179</v>
      </c>
      <c r="AA211" s="58">
        <v>336.59876705728442</v>
      </c>
      <c r="AB211" s="59">
        <v>91.12199641213104</v>
      </c>
      <c r="AC211" s="59">
        <v>427.72076346941549</v>
      </c>
      <c r="AD211" s="60">
        <v>245.47677064515338</v>
      </c>
      <c r="AE211" s="61">
        <v>0.78321332178041203</v>
      </c>
      <c r="AF211" s="62">
        <v>0.23899834915614407</v>
      </c>
      <c r="AG211" s="62">
        <v>1.0222116709365561</v>
      </c>
      <c r="AH211" s="63">
        <v>0.54421497262426799</v>
      </c>
      <c r="AI211" s="78">
        <v>20.000213034399625</v>
      </c>
    </row>
    <row r="212" spans="17:35" x14ac:dyDescent="0.25">
      <c r="Q212" s="57"/>
      <c r="R212" s="57"/>
      <c r="Z212">
        <v>180</v>
      </c>
      <c r="AA212" s="58">
        <v>334.61547248060378</v>
      </c>
      <c r="AB212" s="59">
        <v>92.461082821838332</v>
      </c>
      <c r="AC212" s="59">
        <v>427.0765553024421</v>
      </c>
      <c r="AD212" s="60">
        <v>242.15438965876547</v>
      </c>
      <c r="AE212" s="61">
        <v>0.77873343815504781</v>
      </c>
      <c r="AF212" s="62">
        <v>0.2420052739334855</v>
      </c>
      <c r="AG212" s="62">
        <v>1.0207387120885334</v>
      </c>
      <c r="AH212" s="63">
        <v>0.53672816422156233</v>
      </c>
      <c r="AI212" s="78">
        <v>19.874954095380062</v>
      </c>
    </row>
    <row r="213" spans="17:35" x14ac:dyDescent="0.25">
      <c r="Q213" s="57"/>
      <c r="R213" s="57"/>
      <c r="Z213">
        <v>181</v>
      </c>
      <c r="AA213" s="58">
        <v>332.63217790392309</v>
      </c>
      <c r="AB213" s="59">
        <v>93.811217819027192</v>
      </c>
      <c r="AC213" s="59">
        <v>426.4433957229503</v>
      </c>
      <c r="AD213" s="60">
        <v>238.82096008489589</v>
      </c>
      <c r="AE213" s="61">
        <v>0.7742535545296837</v>
      </c>
      <c r="AF213" s="62">
        <v>0.2450329190556316</v>
      </c>
      <c r="AG213" s="62">
        <v>1.0192864735853153</v>
      </c>
      <c r="AH213" s="63">
        <v>0.52922063547405207</v>
      </c>
      <c r="AI213" s="78">
        <v>19.749695156360495</v>
      </c>
    </row>
    <row r="214" spans="17:35" x14ac:dyDescent="0.25">
      <c r="Q214" s="57"/>
      <c r="R214" s="57"/>
      <c r="Z214">
        <v>182</v>
      </c>
      <c r="AA214" s="58">
        <v>330.64888332724246</v>
      </c>
      <c r="AB214" s="59">
        <v>95.171931190024409</v>
      </c>
      <c r="AC214" s="59">
        <v>425.82081451726685</v>
      </c>
      <c r="AD214" s="60">
        <v>235.47695213721806</v>
      </c>
      <c r="AE214" s="61">
        <v>0.76977367090431947</v>
      </c>
      <c r="AF214" s="62">
        <v>0.24808052589284185</v>
      </c>
      <c r="AG214" s="62">
        <v>1.0178541967971613</v>
      </c>
      <c r="AH214" s="63">
        <v>0.52169314501147768</v>
      </c>
      <c r="AI214" s="78">
        <v>19.624436217340929</v>
      </c>
    </row>
    <row r="215" spans="17:35" x14ac:dyDescent="0.25">
      <c r="Q215" s="57"/>
      <c r="R215" s="57"/>
      <c r="Z215">
        <v>183</v>
      </c>
      <c r="AA215" s="58">
        <v>328.66558875056177</v>
      </c>
      <c r="AB215" s="59">
        <v>96.542775648083918</v>
      </c>
      <c r="AC215" s="59">
        <v>425.2083643986457</v>
      </c>
      <c r="AD215" s="60">
        <v>232.12281310247783</v>
      </c>
      <c r="AE215" s="61">
        <v>0.76529378727895547</v>
      </c>
      <c r="AF215" s="62">
        <v>0.25114736775578078</v>
      </c>
      <c r="AG215" s="62">
        <v>1.0164411550347363</v>
      </c>
      <c r="AH215" s="63">
        <v>0.51414641952317464</v>
      </c>
      <c r="AI215" s="78">
        <v>19.499177278321365</v>
      </c>
    </row>
    <row r="216" spans="17:35" x14ac:dyDescent="0.25">
      <c r="Q216" s="57"/>
      <c r="R216" s="57"/>
      <c r="Z216">
        <v>184</v>
      </c>
      <c r="AA216" s="58">
        <v>326.68229417388113</v>
      </c>
      <c r="AB216" s="59">
        <v>97.923325713955506</v>
      </c>
      <c r="AC216" s="59">
        <v>424.60561988783661</v>
      </c>
      <c r="AD216" s="60">
        <v>228.75896845992563</v>
      </c>
      <c r="AE216" s="61">
        <v>0.76081390365359125</v>
      </c>
      <c r="AF216" s="62">
        <v>0.25423274854174194</v>
      </c>
      <c r="AG216" s="62">
        <v>1.0150466521953332</v>
      </c>
      <c r="AH216" s="63">
        <v>0.50658115511184931</v>
      </c>
      <c r="AI216" s="78">
        <v>19.373918339301799</v>
      </c>
    </row>
    <row r="217" spans="17:35" x14ac:dyDescent="0.25">
      <c r="Q217" s="57"/>
      <c r="R217" s="57"/>
      <c r="Z217">
        <v>185</v>
      </c>
      <c r="AA217" s="58">
        <v>324.6989995972005</v>
      </c>
      <c r="AB217" s="59">
        <v>99.313176636205895</v>
      </c>
      <c r="AC217" s="59">
        <v>424.01217623340642</v>
      </c>
      <c r="AD217" s="60">
        <v>225.3858229609946</v>
      </c>
      <c r="AE217" s="61">
        <v>0.75633402002822703</v>
      </c>
      <c r="AF217" s="62">
        <v>0.25733600142335927</v>
      </c>
      <c r="AG217" s="62">
        <v>1.0136700214515864</v>
      </c>
      <c r="AH217" s="63">
        <v>0.49899801860486775</v>
      </c>
      <c r="AI217" s="78">
        <v>19.248659400282236</v>
      </c>
    </row>
    <row r="218" spans="17:35" x14ac:dyDescent="0.25">
      <c r="Q218" s="57"/>
      <c r="R218" s="57"/>
      <c r="Z218">
        <v>186</v>
      </c>
      <c r="AA218" s="58">
        <v>322.72371871882223</v>
      </c>
      <c r="AB218" s="59">
        <v>100.69848640341358</v>
      </c>
      <c r="AC218" s="59">
        <v>423.42220512223582</v>
      </c>
      <c r="AD218" s="60">
        <v>222.02523231540863</v>
      </c>
      <c r="AE218" s="61">
        <v>0.7518718231611099</v>
      </c>
      <c r="AF218" s="62">
        <v>0.26042710723021978</v>
      </c>
      <c r="AG218" s="62">
        <v>1.0122989303913297</v>
      </c>
      <c r="AH218" s="63">
        <v>0.49144471593089012</v>
      </c>
      <c r="AI218" s="78">
        <v>19.123400461262669</v>
      </c>
    </row>
    <row r="219" spans="17:35" x14ac:dyDescent="0.25">
      <c r="Q219" s="57"/>
      <c r="R219" s="57"/>
      <c r="Z219">
        <v>187</v>
      </c>
      <c r="AA219" s="58">
        <v>320.90520581348471</v>
      </c>
      <c r="AB219" s="59">
        <v>101.82979940517336</v>
      </c>
      <c r="AC219" s="59">
        <v>422.7350052186581</v>
      </c>
      <c r="AD219" s="60">
        <v>219.07540640831135</v>
      </c>
      <c r="AE219" s="61">
        <v>0.74775562350219538</v>
      </c>
      <c r="AF219" s="62">
        <v>0.26296164426439761</v>
      </c>
      <c r="AG219" s="62">
        <v>1.010717267766593</v>
      </c>
      <c r="AH219" s="63">
        <v>0.48479397923779777</v>
      </c>
      <c r="AI219" s="78">
        <v>18.998141522243106</v>
      </c>
    </row>
    <row r="220" spans="17:35" x14ac:dyDescent="0.25">
      <c r="Q220" s="57"/>
      <c r="R220" s="57"/>
      <c r="Z220">
        <v>188</v>
      </c>
      <c r="AA220" s="58">
        <v>319.1472965015592</v>
      </c>
      <c r="AB220" s="59">
        <v>102.86942677315606</v>
      </c>
      <c r="AC220" s="59">
        <v>422.01672327471528</v>
      </c>
      <c r="AD220" s="60">
        <v>216.27786972840312</v>
      </c>
      <c r="AE220" s="61">
        <v>0.74377317995252257</v>
      </c>
      <c r="AF220" s="62">
        <v>0.26529418313434416</v>
      </c>
      <c r="AG220" s="62">
        <v>1.0090673630868667</v>
      </c>
      <c r="AH220" s="63">
        <v>0.4784789968181784</v>
      </c>
      <c r="AI220" s="78">
        <v>18.872882583223539</v>
      </c>
    </row>
    <row r="221" spans="17:35" x14ac:dyDescent="0.25">
      <c r="Q221" s="57"/>
      <c r="R221" s="57"/>
      <c r="Z221">
        <v>189</v>
      </c>
      <c r="AA221" s="58">
        <v>317.38938718963362</v>
      </c>
      <c r="AB221" s="59">
        <v>103.91883684642616</v>
      </c>
      <c r="AC221" s="59">
        <v>421.30822403605976</v>
      </c>
      <c r="AD221" s="60">
        <v>213.47055034320746</v>
      </c>
      <c r="AE221" s="61">
        <v>0.73979073640284965</v>
      </c>
      <c r="AF221" s="62">
        <v>0.26764639183459837</v>
      </c>
      <c r="AG221" s="62">
        <v>1.0074371282374481</v>
      </c>
      <c r="AH221" s="63">
        <v>0.47214434456825127</v>
      </c>
      <c r="AI221" s="78">
        <v>18.747623644203976</v>
      </c>
    </row>
    <row r="222" spans="17:35" x14ac:dyDescent="0.25">
      <c r="Q222" s="57"/>
      <c r="R222" s="57"/>
      <c r="Z222">
        <v>190</v>
      </c>
      <c r="AA222" s="58">
        <v>315.63147787770805</v>
      </c>
      <c r="AB222" s="59">
        <v>104.97773624691609</v>
      </c>
      <c r="AC222" s="59">
        <v>420.60921412462415</v>
      </c>
      <c r="AD222" s="60">
        <v>210.65374163079196</v>
      </c>
      <c r="AE222" s="61">
        <v>0.73580829285317673</v>
      </c>
      <c r="AF222" s="62">
        <v>0.27001775631561337</v>
      </c>
      <c r="AG222" s="62">
        <v>1.00582604916879</v>
      </c>
      <c r="AH222" s="63">
        <v>0.46579053653756336</v>
      </c>
      <c r="AI222" s="78">
        <v>18.62236470518441</v>
      </c>
    </row>
    <row r="223" spans="17:35" x14ac:dyDescent="0.25">
      <c r="Q223" s="57"/>
      <c r="R223" s="57"/>
      <c r="Z223">
        <v>191</v>
      </c>
      <c r="AA223" s="58">
        <v>313.87356856578248</v>
      </c>
      <c r="AB223" s="59">
        <v>106.04584071370525</v>
      </c>
      <c r="AC223" s="59">
        <v>419.9194092794877</v>
      </c>
      <c r="AD223" s="60">
        <v>207.82772785207723</v>
      </c>
      <c r="AE223" s="61">
        <v>0.73182584930350369</v>
      </c>
      <c r="AF223" s="62">
        <v>0.27240777631307372</v>
      </c>
      <c r="AG223" s="62">
        <v>1.0042336256165774</v>
      </c>
      <c r="AH223" s="63">
        <v>0.45941807299042997</v>
      </c>
      <c r="AI223" s="78">
        <v>18.502263776393498</v>
      </c>
    </row>
    <row r="224" spans="17:35" x14ac:dyDescent="0.25">
      <c r="Q224" s="57"/>
      <c r="R224" s="57"/>
      <c r="Z224">
        <v>192</v>
      </c>
      <c r="AA224" s="58">
        <v>312.11565925385702</v>
      </c>
      <c r="AB224" s="59">
        <v>107.122874900567</v>
      </c>
      <c r="AC224" s="59">
        <v>419.23853415442403</v>
      </c>
      <c r="AD224" s="60">
        <v>204.99278435329001</v>
      </c>
      <c r="AE224" s="61">
        <v>0.72784340575383089</v>
      </c>
      <c r="AF224" s="62">
        <v>0.27481596509742029</v>
      </c>
      <c r="AG224" s="62">
        <v>1.0026593708512512</v>
      </c>
      <c r="AH224" s="63">
        <v>0.4530274406564106</v>
      </c>
      <c r="AI224" s="78">
        <v>18.420242972500557</v>
      </c>
    </row>
    <row r="225" spans="17:35" x14ac:dyDescent="0.25">
      <c r="Q225" s="57"/>
      <c r="R225" s="57"/>
      <c r="Z225">
        <v>193</v>
      </c>
      <c r="AA225" s="58">
        <v>310.35774994193139</v>
      </c>
      <c r="AB225" s="59">
        <v>108.20857216683477</v>
      </c>
      <c r="AC225" s="59">
        <v>418.56632210876614</v>
      </c>
      <c r="AD225" s="60">
        <v>202.14917777509663</v>
      </c>
      <c r="AE225" s="61">
        <v>0.72386096220415796</v>
      </c>
      <c r="AF225" s="62">
        <v>0.27724184921381662</v>
      </c>
      <c r="AG225" s="62">
        <v>1.0011028114179745</v>
      </c>
      <c r="AH225" s="63">
        <v>0.44661911299034135</v>
      </c>
      <c r="AI225" s="78">
        <v>18.34592734438128</v>
      </c>
    </row>
    <row r="226" spans="17:35" x14ac:dyDescent="0.25">
      <c r="Q226" s="57"/>
      <c r="R226" s="57"/>
      <c r="Z226">
        <v>194</v>
      </c>
      <c r="AA226" s="58">
        <v>308.59984063000587</v>
      </c>
      <c r="AB226" s="59">
        <v>109.30267436318356</v>
      </c>
      <c r="AC226" s="59">
        <v>417.90251499318941</v>
      </c>
      <c r="AD226" s="60">
        <v>199.29716626682233</v>
      </c>
      <c r="AE226" s="61">
        <v>0.71987851865448516</v>
      </c>
      <c r="AF226" s="62">
        <v>0.27968496821431843</v>
      </c>
      <c r="AG226" s="62">
        <v>0.99956348686880359</v>
      </c>
      <c r="AH226" s="63">
        <v>0.44019355044016673</v>
      </c>
      <c r="AI226" s="78">
        <v>18.271611716262008</v>
      </c>
    </row>
    <row r="227" spans="17:35" x14ac:dyDescent="0.25">
      <c r="Q227" s="57"/>
      <c r="R227" s="57"/>
      <c r="Z227">
        <v>195</v>
      </c>
      <c r="AA227" s="58">
        <v>306.86968201203769</v>
      </c>
      <c r="AB227" s="59">
        <v>110.41414774947035</v>
      </c>
      <c r="AC227" s="59">
        <v>417.28382976150806</v>
      </c>
      <c r="AD227" s="60">
        <v>196.45553426256734</v>
      </c>
      <c r="AE227" s="61">
        <v>0.71596046337089547</v>
      </c>
      <c r="AF227" s="62">
        <v>0.28216293745795429</v>
      </c>
      <c r="AG227" s="62">
        <v>0.99812340082884976</v>
      </c>
      <c r="AH227" s="63">
        <v>0.43379752591294118</v>
      </c>
      <c r="AI227" s="78">
        <v>18.197296088142732</v>
      </c>
    </row>
    <row r="228" spans="17:35" x14ac:dyDescent="0.25">
      <c r="Q228" s="57"/>
      <c r="R228" s="57"/>
      <c r="Z228">
        <v>196</v>
      </c>
      <c r="AA228" s="58">
        <v>305.18241891317348</v>
      </c>
      <c r="AB228" s="59">
        <v>111.54646711769409</v>
      </c>
      <c r="AC228" s="59">
        <v>416.72888603086756</v>
      </c>
      <c r="AD228" s="60">
        <v>193.6359517954794</v>
      </c>
      <c r="AE228" s="61">
        <v>0.71214193598026909</v>
      </c>
      <c r="AF228" s="62">
        <v>0.28468242490245121</v>
      </c>
      <c r="AG228" s="62">
        <v>0.99682436088272031</v>
      </c>
      <c r="AH228" s="63">
        <v>0.42745951107781788</v>
      </c>
      <c r="AI228" s="78">
        <v>18.122980460023459</v>
      </c>
    </row>
    <row r="229" spans="17:35" x14ac:dyDescent="0.25">
      <c r="Q229" s="57"/>
      <c r="R229" s="57"/>
      <c r="Z229">
        <v>197</v>
      </c>
      <c r="AA229" s="58">
        <v>303.49563989547835</v>
      </c>
      <c r="AB229" s="59">
        <v>112.68477108572928</v>
      </c>
      <c r="AC229" s="59">
        <v>416.18041098120761</v>
      </c>
      <c r="AD229" s="60">
        <v>190.81086880974908</v>
      </c>
      <c r="AE229" s="61">
        <v>0.70832453177406351</v>
      </c>
      <c r="AF229" s="62">
        <v>0.28721425356904251</v>
      </c>
      <c r="AG229" s="62">
        <v>0.99553878534310603</v>
      </c>
      <c r="AH229" s="63">
        <v>0.421110278205021</v>
      </c>
      <c r="AI229" s="78">
        <v>18.048664831904183</v>
      </c>
    </row>
    <row r="230" spans="17:35" x14ac:dyDescent="0.25">
      <c r="Q230" s="57"/>
      <c r="R230" s="57"/>
      <c r="Z230">
        <v>198</v>
      </c>
      <c r="AA230" s="58">
        <v>301.80886087778322</v>
      </c>
      <c r="AB230" s="59">
        <v>113.82872400294866</v>
      </c>
      <c r="AC230" s="59">
        <v>415.63758488073188</v>
      </c>
      <c r="AD230" s="60">
        <v>187.98013687483456</v>
      </c>
      <c r="AE230" s="61">
        <v>0.70450712756785805</v>
      </c>
      <c r="AF230" s="62">
        <v>0.28975779276502472</v>
      </c>
      <c r="AG230" s="62">
        <v>0.99426492033288283</v>
      </c>
      <c r="AH230" s="63">
        <v>0.41474933480283332</v>
      </c>
      <c r="AI230" s="78">
        <v>17.974349203784911</v>
      </c>
    </row>
    <row r="231" spans="17:35" x14ac:dyDescent="0.25">
      <c r="Q231" s="57"/>
      <c r="R231" s="57"/>
      <c r="Z231">
        <v>199</v>
      </c>
      <c r="AA231" s="58">
        <v>300.12208186008803</v>
      </c>
      <c r="AB231" s="59">
        <v>114.9781572600961</v>
      </c>
      <c r="AC231" s="59">
        <v>415.10023912018414</v>
      </c>
      <c r="AD231" s="60">
        <v>185.14392459999192</v>
      </c>
      <c r="AE231" s="61">
        <v>0.70068972336165236</v>
      </c>
      <c r="AF231" s="62">
        <v>0.29231273679545722</v>
      </c>
      <c r="AG231" s="62">
        <v>0.99300246015710958</v>
      </c>
      <c r="AH231" s="63">
        <v>0.40837698656619514</v>
      </c>
      <c r="AI231" s="78">
        <v>17.900033575665635</v>
      </c>
    </row>
    <row r="232" spans="17:35" x14ac:dyDescent="0.25">
      <c r="Q232" s="57"/>
      <c r="R232" s="57"/>
      <c r="Z232">
        <v>200</v>
      </c>
      <c r="AA232" s="58">
        <v>298.4353028423929</v>
      </c>
      <c r="AB232" s="59">
        <v>116.13290813118856</v>
      </c>
      <c r="AC232" s="59">
        <v>414.56821097358147</v>
      </c>
      <c r="AD232" s="60">
        <v>182.30239471120433</v>
      </c>
      <c r="AE232" s="61">
        <v>0.69687231915544678</v>
      </c>
      <c r="AF232" s="62">
        <v>0.29487878921277988</v>
      </c>
      <c r="AG232" s="62">
        <v>0.99175110836822666</v>
      </c>
      <c r="AH232" s="63">
        <v>0.40199352994266691</v>
      </c>
      <c r="AI232" s="78">
        <v>17.825717947546359</v>
      </c>
    </row>
    <row r="233" spans="17:35" x14ac:dyDescent="0.25">
      <c r="Q233" s="57"/>
      <c r="R233" s="57"/>
      <c r="Z233">
        <v>201</v>
      </c>
      <c r="AA233" s="58">
        <v>296.78399827906225</v>
      </c>
      <c r="AB233" s="59">
        <v>117.2355834004635</v>
      </c>
      <c r="AC233" s="59">
        <v>414.01958167952574</v>
      </c>
      <c r="AD233" s="60">
        <v>179.54841487859875</v>
      </c>
      <c r="AE233" s="61">
        <v>0.69313320939889522</v>
      </c>
      <c r="AF233" s="62">
        <v>0.29733067731544066</v>
      </c>
      <c r="AG233" s="62">
        <v>0.99046388671433583</v>
      </c>
      <c r="AH233" s="63">
        <v>0.39580253208345456</v>
      </c>
      <c r="AI233" s="78">
        <v>17.751402319427086</v>
      </c>
    </row>
    <row r="234" spans="17:35" x14ac:dyDescent="0.25">
      <c r="Q234" s="57"/>
      <c r="R234" s="57"/>
      <c r="Z234">
        <v>202</v>
      </c>
      <c r="AA234" s="58">
        <v>295.27853313922998</v>
      </c>
      <c r="AB234" s="59">
        <v>118.10892263381092</v>
      </c>
      <c r="AC234" s="59">
        <v>413.38745577304087</v>
      </c>
      <c r="AD234" s="60">
        <v>177.16961050541906</v>
      </c>
      <c r="AE234" s="61">
        <v>0.68971597682425567</v>
      </c>
      <c r="AF234" s="62">
        <v>0.29928133916724847</v>
      </c>
      <c r="AG234" s="62">
        <v>0.9889973159915042</v>
      </c>
      <c r="AH234" s="63">
        <v>0.3904346376570072</v>
      </c>
      <c r="AI234" s="78">
        <v>17.67708669130781</v>
      </c>
    </row>
    <row r="235" spans="17:35" x14ac:dyDescent="0.25">
      <c r="Q235" s="57"/>
      <c r="R235" s="57"/>
      <c r="Z235">
        <v>203</v>
      </c>
      <c r="AA235" s="58">
        <v>293.78883442355959</v>
      </c>
      <c r="AB235" s="59">
        <v>118.96344214028132</v>
      </c>
      <c r="AC235" s="59">
        <v>412.75227656384089</v>
      </c>
      <c r="AD235" s="60">
        <v>174.82539228327829</v>
      </c>
      <c r="AE235" s="61">
        <v>0.68633354178279526</v>
      </c>
      <c r="AF235" s="62">
        <v>0.30119049255308095</v>
      </c>
      <c r="AG235" s="62">
        <v>0.98752403433587621</v>
      </c>
      <c r="AH235" s="63">
        <v>0.38514304922971432</v>
      </c>
      <c r="AI235" s="78">
        <v>17.602771063188534</v>
      </c>
    </row>
    <row r="236" spans="17:35" x14ac:dyDescent="0.25">
      <c r="Q236" s="57"/>
      <c r="R236" s="57"/>
      <c r="Z236">
        <v>204</v>
      </c>
      <c r="AA236" s="58">
        <v>292.29913570788921</v>
      </c>
      <c r="AB236" s="59">
        <v>119.82443809918742</v>
      </c>
      <c r="AC236" s="59">
        <v>412.12357380707664</v>
      </c>
      <c r="AD236" s="60">
        <v>172.47469760870177</v>
      </c>
      <c r="AE236" s="61">
        <v>0.6829511067413353</v>
      </c>
      <c r="AF236" s="62">
        <v>0.30311342002871827</v>
      </c>
      <c r="AG236" s="62">
        <v>0.98606452677005363</v>
      </c>
      <c r="AH236" s="63">
        <v>0.37983768671261703</v>
      </c>
      <c r="AI236" s="78">
        <v>17.528455435069262</v>
      </c>
    </row>
    <row r="237" spans="17:35" x14ac:dyDescent="0.25">
      <c r="Q237" s="57"/>
      <c r="R237" s="57"/>
      <c r="Z237">
        <v>205</v>
      </c>
      <c r="AA237" s="58">
        <v>290.80943699221882</v>
      </c>
      <c r="AB237" s="59">
        <v>120.69177190465454</v>
      </c>
      <c r="AC237" s="59">
        <v>411.50120889687338</v>
      </c>
      <c r="AD237" s="60">
        <v>170.11766508756426</v>
      </c>
      <c r="AE237" s="61">
        <v>0.679568671699875</v>
      </c>
      <c r="AF237" s="62">
        <v>0.30504986111316079</v>
      </c>
      <c r="AG237" s="62">
        <v>0.9846185328130358</v>
      </c>
      <c r="AH237" s="63">
        <v>0.37451881058671421</v>
      </c>
      <c r="AI237" s="78">
        <v>17.454139806949989</v>
      </c>
    </row>
    <row r="238" spans="17:35" x14ac:dyDescent="0.25">
      <c r="Q238" s="57"/>
      <c r="R238" s="57"/>
      <c r="Z238">
        <v>206</v>
      </c>
      <c r="AA238" s="58">
        <v>289.31973827654849</v>
      </c>
      <c r="AB238" s="59">
        <v>121.56530790057505</v>
      </c>
      <c r="AC238" s="59">
        <v>410.88504617712351</v>
      </c>
      <c r="AD238" s="60">
        <v>167.75443037597344</v>
      </c>
      <c r="AE238" s="61">
        <v>0.67618623665841493</v>
      </c>
      <c r="AF238" s="62">
        <v>0.30699956008978968</v>
      </c>
      <c r="AG238" s="62">
        <v>0.98318579674820461</v>
      </c>
      <c r="AH238" s="63">
        <v>0.36918667656862525</v>
      </c>
      <c r="AI238" s="78">
        <v>17.379824178830713</v>
      </c>
    </row>
    <row r="239" spans="17:35" x14ac:dyDescent="0.25">
      <c r="Q239" s="57"/>
      <c r="R239" s="57"/>
      <c r="Z239">
        <v>207</v>
      </c>
      <c r="AA239" s="58">
        <v>287.83003956087811</v>
      </c>
      <c r="AB239" s="59">
        <v>122.44491334561584</v>
      </c>
      <c r="AC239" s="59">
        <v>410.27495290649392</v>
      </c>
      <c r="AD239" s="60">
        <v>165.38512621526226</v>
      </c>
      <c r="AE239" s="61">
        <v>0.67280380161695463</v>
      </c>
      <c r="AF239" s="62">
        <v>0.30896226596787452</v>
      </c>
      <c r="AG239" s="62">
        <v>0.98176606758482921</v>
      </c>
      <c r="AH239" s="63">
        <v>0.36384153564908012</v>
      </c>
      <c r="AI239" s="78">
        <v>17.305508550711433</v>
      </c>
    </row>
    <row r="240" spans="17:35" x14ac:dyDescent="0.25">
      <c r="Q240" s="57"/>
      <c r="R240" s="57"/>
      <c r="Z240">
        <v>208</v>
      </c>
      <c r="AA240" s="58">
        <v>286.34034084520778</v>
      </c>
      <c r="AB240" s="59">
        <v>123.33045837604932</v>
      </c>
      <c r="AC240" s="59">
        <v>409.67079922125708</v>
      </c>
      <c r="AD240" s="60">
        <v>163.00988246915847</v>
      </c>
      <c r="AE240" s="61">
        <v>0.66942136657549456</v>
      </c>
      <c r="AF240" s="62">
        <v>0.31093773244042888</v>
      </c>
      <c r="AG240" s="62">
        <v>0.98035909901592344</v>
      </c>
      <c r="AH240" s="63">
        <v>0.35848363413506568</v>
      </c>
      <c r="AI240" s="78">
        <v>17.231192922592165</v>
      </c>
    </row>
    <row r="241" spans="17:35" x14ac:dyDescent="0.25">
      <c r="Q241" s="57"/>
      <c r="R241" s="57"/>
      <c r="Z241">
        <v>209</v>
      </c>
      <c r="AA241" s="58">
        <v>284.85064212953739</v>
      </c>
      <c r="AB241" s="59">
        <v>124.22181596666003</v>
      </c>
      <c r="AC241" s="59">
        <v>409.07245809619741</v>
      </c>
      <c r="AD241" s="60">
        <v>160.62882616287737</v>
      </c>
      <c r="AE241" s="61">
        <v>0.66603893153403426</v>
      </c>
      <c r="AF241" s="62">
        <v>0.31292571783875739</v>
      </c>
      <c r="AG241" s="62">
        <v>0.97896464937279171</v>
      </c>
      <c r="AH241" s="63">
        <v>0.35311321369527687</v>
      </c>
      <c r="AI241" s="78">
        <v>17.156877294472888</v>
      </c>
    </row>
    <row r="242" spans="17:35" x14ac:dyDescent="0.25">
      <c r="Q242" s="57"/>
      <c r="R242" s="57"/>
      <c r="Z242">
        <v>210</v>
      </c>
      <c r="AA242" s="58">
        <v>283.36094341386701</v>
      </c>
      <c r="AB242" s="59">
        <v>125.1188618899662</v>
      </c>
      <c r="AC242" s="59">
        <v>408.47980530383319</v>
      </c>
      <c r="AD242" s="60">
        <v>158.24208152390082</v>
      </c>
      <c r="AE242" s="61">
        <v>0.66265649649257419</v>
      </c>
      <c r="AF242" s="62">
        <v>0.31492598508398872</v>
      </c>
      <c r="AG242" s="62">
        <v>0.97758248157656291</v>
      </c>
      <c r="AH242" s="63">
        <v>0.34773051140858546</v>
      </c>
      <c r="AI242" s="78">
        <v>17.082561666353612</v>
      </c>
    </row>
    <row r="243" spans="17:35" x14ac:dyDescent="0.25">
      <c r="Q243" s="57"/>
      <c r="R243" s="57"/>
      <c r="Z243">
        <v>211</v>
      </c>
      <c r="AA243" s="58">
        <v>281.8714394808286</v>
      </c>
      <c r="AB243" s="59">
        <v>126.02150185515923</v>
      </c>
      <c r="AC243" s="59">
        <v>407.89294133598781</v>
      </c>
      <c r="AD243" s="60">
        <v>155.84993762566938</v>
      </c>
      <c r="AE243" s="61">
        <v>0.65927451339353949</v>
      </c>
      <c r="AF243" s="62">
        <v>0.31693834855806124</v>
      </c>
      <c r="AG243" s="62">
        <v>0.97621286195160073</v>
      </c>
      <c r="AH243" s="63">
        <v>0.34233616483547824</v>
      </c>
      <c r="AI243" s="78">
        <v>17.00824603823434</v>
      </c>
    </row>
    <row r="244" spans="17:35" x14ac:dyDescent="0.25">
      <c r="Q244" s="57"/>
      <c r="R244" s="57"/>
      <c r="Z244">
        <v>212</v>
      </c>
      <c r="AA244" s="58">
        <v>280.4672503405954</v>
      </c>
      <c r="AB244" s="59">
        <v>126.94061526776279</v>
      </c>
      <c r="AC244" s="59">
        <v>407.40786560835818</v>
      </c>
      <c r="AD244" s="60">
        <v>153.52663507283262</v>
      </c>
      <c r="AE244" s="61">
        <v>0.65609048107686763</v>
      </c>
      <c r="AF244" s="62">
        <v>0.31898118344226911</v>
      </c>
      <c r="AG244" s="62">
        <v>0.97507166451913674</v>
      </c>
      <c r="AH244" s="63">
        <v>0.33710929763459851</v>
      </c>
      <c r="AI244" s="78">
        <v>16.933930410115067</v>
      </c>
    </row>
    <row r="245" spans="17:35" x14ac:dyDescent="0.25">
      <c r="Q245" s="57"/>
      <c r="R245" s="57"/>
      <c r="Z245">
        <v>213</v>
      </c>
      <c r="AA245" s="58">
        <v>279.20250690625738</v>
      </c>
      <c r="AB245" s="59">
        <v>127.76423935128922</v>
      </c>
      <c r="AC245" s="59">
        <v>406.96674625754662</v>
      </c>
      <c r="AD245" s="60">
        <v>151.43826755496815</v>
      </c>
      <c r="AE245" s="61">
        <v>0.65322217260496063</v>
      </c>
      <c r="AF245" s="62">
        <v>0.32081086499948425</v>
      </c>
      <c r="AG245" s="62">
        <v>0.97403303760444482</v>
      </c>
      <c r="AH245" s="63">
        <v>0.33241130760547638</v>
      </c>
      <c r="AI245" s="78">
        <v>16.859614781995788</v>
      </c>
    </row>
    <row r="246" spans="17:35" x14ac:dyDescent="0.25">
      <c r="Q246" s="57"/>
      <c r="R246" s="57"/>
      <c r="Z246">
        <v>214</v>
      </c>
      <c r="AA246" s="58">
        <v>278.0974531746968</v>
      </c>
      <c r="AB246" s="59">
        <v>128.34264702059957</v>
      </c>
      <c r="AC246" s="59">
        <v>406.4401001952964</v>
      </c>
      <c r="AD246" s="60">
        <v>149.75480615409722</v>
      </c>
      <c r="AE246" s="61">
        <v>0.65070630979059496</v>
      </c>
      <c r="AF246" s="62">
        <v>0.32210468155048777</v>
      </c>
      <c r="AG246" s="62">
        <v>0.97281099134108273</v>
      </c>
      <c r="AH246" s="63">
        <v>0.32860162824010719</v>
      </c>
      <c r="AI246" s="78">
        <v>16.785299153876515</v>
      </c>
    </row>
    <row r="247" spans="17:35" x14ac:dyDescent="0.25">
      <c r="Q247" s="57"/>
      <c r="R247" s="57"/>
      <c r="Z247">
        <v>215</v>
      </c>
      <c r="AA247" s="58">
        <v>276.99880271272372</v>
      </c>
      <c r="AB247" s="59">
        <v>128.91518149686547</v>
      </c>
      <c r="AC247" s="59">
        <v>405.91398420958922</v>
      </c>
      <c r="AD247" s="60">
        <v>148.08362121585824</v>
      </c>
      <c r="AE247" s="61">
        <v>0.64820457941257903</v>
      </c>
      <c r="AF247" s="62">
        <v>0.32338561751977696</v>
      </c>
      <c r="AG247" s="62">
        <v>0.97159019693235593</v>
      </c>
      <c r="AH247" s="63">
        <v>0.32481896189280207</v>
      </c>
      <c r="AI247" s="78">
        <v>16.710983525757243</v>
      </c>
    </row>
    <row r="248" spans="17:35" x14ac:dyDescent="0.25">
      <c r="Q248" s="57"/>
      <c r="R248" s="57"/>
      <c r="Z248">
        <v>216</v>
      </c>
      <c r="AA248" s="58">
        <v>275.90015225075081</v>
      </c>
      <c r="AB248" s="59">
        <v>129.49176039264006</v>
      </c>
      <c r="AC248" s="59">
        <v>405.39191264339087</v>
      </c>
      <c r="AD248" s="60">
        <v>146.40839185811075</v>
      </c>
      <c r="AE248" s="61">
        <v>0.64570284903456321</v>
      </c>
      <c r="AF248" s="62">
        <v>0.32467535777681794</v>
      </c>
      <c r="AG248" s="62">
        <v>0.97037820681138109</v>
      </c>
      <c r="AH248" s="63">
        <v>0.32102749125774527</v>
      </c>
      <c r="AI248" s="78">
        <v>16.636667897637967</v>
      </c>
    </row>
    <row r="249" spans="17:35" x14ac:dyDescent="0.25">
      <c r="Q249" s="57"/>
      <c r="R249" s="57"/>
      <c r="Z249">
        <v>217</v>
      </c>
      <c r="AA249" s="58">
        <v>274.80150178877784</v>
      </c>
      <c r="AB249" s="59">
        <v>130.0723299241605</v>
      </c>
      <c r="AC249" s="59">
        <v>404.87383171293834</v>
      </c>
      <c r="AD249" s="60">
        <v>144.72917186461734</v>
      </c>
      <c r="AE249" s="61">
        <v>0.64320111865654728</v>
      </c>
      <c r="AF249" s="62">
        <v>0.32597379781711378</v>
      </c>
      <c r="AG249" s="62">
        <v>0.96917491647366105</v>
      </c>
      <c r="AH249" s="63">
        <v>0.3172273208394335</v>
      </c>
      <c r="AI249" s="78">
        <v>16.562352269518691</v>
      </c>
    </row>
    <row r="250" spans="17:35" x14ac:dyDescent="0.25">
      <c r="Q250" s="57"/>
      <c r="R250" s="57"/>
      <c r="Z250">
        <v>218</v>
      </c>
      <c r="AA250" s="58">
        <v>273.70285132680482</v>
      </c>
      <c r="AB250" s="59">
        <v>130.65683689464586</v>
      </c>
      <c r="AC250" s="59">
        <v>404.35968822145071</v>
      </c>
      <c r="AD250" s="60">
        <v>143.04601443215896</v>
      </c>
      <c r="AE250" s="61">
        <v>0.64069938827853146</v>
      </c>
      <c r="AF250" s="62">
        <v>0.32728083409523301</v>
      </c>
      <c r="AG250" s="62">
        <v>0.96798022237376447</v>
      </c>
      <c r="AH250" s="63">
        <v>0.31341855418329845</v>
      </c>
      <c r="AI250" s="78">
        <v>16.488036641399418</v>
      </c>
    </row>
    <row r="251" spans="17:35" x14ac:dyDescent="0.25">
      <c r="Q251" s="57"/>
      <c r="R251" s="57"/>
      <c r="Z251">
        <v>219</v>
      </c>
      <c r="AA251" s="58">
        <v>272.60420086483185</v>
      </c>
      <c r="AB251" s="59">
        <v>131.24522869738209</v>
      </c>
      <c r="AC251" s="59">
        <v>403.84942956221391</v>
      </c>
      <c r="AD251" s="60">
        <v>141.35897216744976</v>
      </c>
      <c r="AE251" s="61">
        <v>0.63819765790051541</v>
      </c>
      <c r="AF251" s="62">
        <v>0.3285963640331116</v>
      </c>
      <c r="AG251" s="62">
        <v>0.96679402193362707</v>
      </c>
      <c r="AH251" s="63">
        <v>0.30960129386740382</v>
      </c>
      <c r="AI251" s="78">
        <v>16.413721013280142</v>
      </c>
    </row>
    <row r="252" spans="17:35" x14ac:dyDescent="0.25">
      <c r="Q252" s="57"/>
      <c r="R252" s="57"/>
      <c r="Z252">
        <v>220</v>
      </c>
      <c r="AA252" s="58">
        <v>271.50555040285889</v>
      </c>
      <c r="AB252" s="59">
        <v>131.83745331825017</v>
      </c>
      <c r="AC252" s="59">
        <v>403.34300372110908</v>
      </c>
      <c r="AD252" s="60">
        <v>139.66809708460872</v>
      </c>
      <c r="AE252" s="61">
        <v>0.6356959275224997</v>
      </c>
      <c r="AF252" s="62">
        <v>0.32992028602746098</v>
      </c>
      <c r="AG252" s="62">
        <v>0.96561621354996063</v>
      </c>
      <c r="AH252" s="63">
        <v>0.30577564149503872</v>
      </c>
      <c r="AI252" s="78">
        <v>16.339405385160866</v>
      </c>
    </row>
    <row r="253" spans="17:35" x14ac:dyDescent="0.25">
      <c r="Q253" s="57"/>
      <c r="R253" s="57"/>
      <c r="Z253">
        <v>221</v>
      </c>
      <c r="AA253" s="58">
        <v>270.40689994088592</v>
      </c>
      <c r="AB253" s="59">
        <v>132.4334593377182</v>
      </c>
      <c r="AC253" s="59">
        <v>402.84035927860413</v>
      </c>
      <c r="AD253" s="60">
        <v>137.97344060316772</v>
      </c>
      <c r="AE253" s="61">
        <v>0.63319419714448388</v>
      </c>
      <c r="AF253" s="62">
        <v>0.3312524994563103</v>
      </c>
      <c r="AG253" s="62">
        <v>0.96444669660079418</v>
      </c>
      <c r="AH253" s="63">
        <v>0.30194169768817358</v>
      </c>
      <c r="AI253" s="78">
        <v>16.265089757041594</v>
      </c>
    </row>
    <row r="254" spans="17:35" x14ac:dyDescent="0.25">
      <c r="Q254" s="57"/>
      <c r="R254" s="57"/>
      <c r="Z254">
        <v>222</v>
      </c>
      <c r="AA254" s="58">
        <v>269.30824947891296</v>
      </c>
      <c r="AB254" s="59">
        <v>133.03319593232337</v>
      </c>
      <c r="AC254" s="59">
        <v>402.34144541123635</v>
      </c>
      <c r="AD254" s="60">
        <v>136.27505354658959</v>
      </c>
      <c r="AE254" s="61">
        <v>0.63069246676646795</v>
      </c>
      <c r="AF254" s="62">
        <v>0.33259290468471386</v>
      </c>
      <c r="AG254" s="62">
        <v>0.96328537145118176</v>
      </c>
      <c r="AH254" s="63">
        <v>0.29809956208175409</v>
      </c>
      <c r="AI254" s="78">
        <v>16.190774128922321</v>
      </c>
    </row>
    <row r="255" spans="17:35" x14ac:dyDescent="0.25">
      <c r="Q255" s="57"/>
      <c r="R255" s="57"/>
      <c r="Z255">
        <v>223</v>
      </c>
      <c r="AA255" s="58">
        <v>268.20959901693999</v>
      </c>
      <c r="AB255" s="59">
        <v>133.63661287566549</v>
      </c>
      <c r="AC255" s="59">
        <v>401.84621189260548</v>
      </c>
      <c r="AD255" s="60">
        <v>134.5729861412745</v>
      </c>
      <c r="AE255" s="61">
        <v>0.62819073638845213</v>
      </c>
      <c r="AF255" s="62">
        <v>0.33394140306965236</v>
      </c>
      <c r="AG255" s="62">
        <v>0.9621321394581045</v>
      </c>
      <c r="AH255" s="63">
        <v>0.29424933331879977</v>
      </c>
      <c r="AI255" s="78">
        <v>16.116458500803045</v>
      </c>
    </row>
    <row r="256" spans="17:35" x14ac:dyDescent="0.25">
      <c r="Q256" s="57"/>
      <c r="R256" s="57"/>
      <c r="Z256">
        <v>224</v>
      </c>
      <c r="AA256" s="58">
        <v>267.11094855496697</v>
      </c>
      <c r="AB256" s="59">
        <v>134.24366053893417</v>
      </c>
      <c r="AC256" s="59">
        <v>401.3546090939011</v>
      </c>
      <c r="AD256" s="60">
        <v>132.8672880160328</v>
      </c>
      <c r="AE256" s="61">
        <v>0.6256890060104362</v>
      </c>
      <c r="AF256" s="62">
        <v>0.33529789696416468</v>
      </c>
      <c r="AG256" s="62">
        <v>0.96098690297460088</v>
      </c>
      <c r="AH256" s="63">
        <v>0.29039110904627152</v>
      </c>
      <c r="AI256" s="78">
        <v>16.042142872683769</v>
      </c>
    </row>
    <row r="257" spans="17:35" x14ac:dyDescent="0.25">
      <c r="Q257" s="57"/>
      <c r="R257" s="57"/>
      <c r="Z257">
        <v>225</v>
      </c>
      <c r="AA257" s="58">
        <v>266.01229809299406</v>
      </c>
      <c r="AB257" s="59">
        <v>134.85428989099432</v>
      </c>
      <c r="AC257" s="59">
        <v>400.86658798398838</v>
      </c>
      <c r="AD257" s="60">
        <v>131.15800820199973</v>
      </c>
      <c r="AE257" s="61">
        <v>0.62318727563242038</v>
      </c>
      <c r="AF257" s="62">
        <v>0.33666228972073231</v>
      </c>
      <c r="AG257" s="62">
        <v>0.95984956535315269</v>
      </c>
      <c r="AH257" s="63">
        <v>0.28652498591168807</v>
      </c>
      <c r="AI257" s="78">
        <v>15.967827244564496</v>
      </c>
    </row>
    <row r="258" spans="17:35" x14ac:dyDescent="0.25">
      <c r="Q258" s="57"/>
      <c r="R258" s="57"/>
      <c r="Z258">
        <v>226</v>
      </c>
      <c r="AA258" s="58">
        <v>264.91371937202956</v>
      </c>
      <c r="AB258" s="59">
        <v>135.37750235556905</v>
      </c>
      <c r="AC258" s="59">
        <v>400.29122172759861</v>
      </c>
      <c r="AD258" s="60">
        <v>129.53621701646051</v>
      </c>
      <c r="AE258" s="61">
        <v>0.62067980232307218</v>
      </c>
      <c r="AF258" s="62">
        <v>0.33782485014743613</v>
      </c>
      <c r="AG258" s="62">
        <v>0.95850465247050831</v>
      </c>
      <c r="AH258" s="63">
        <v>0.28285495217563605</v>
      </c>
      <c r="AI258" s="78">
        <v>15.89351161644522</v>
      </c>
    </row>
    <row r="259" spans="17:35" x14ac:dyDescent="0.25">
      <c r="Q259" s="57"/>
      <c r="R259" s="57"/>
      <c r="Z259">
        <v>227</v>
      </c>
      <c r="AA259" s="58">
        <v>263.89115084204235</v>
      </c>
      <c r="AB259" s="59">
        <v>135.66587162715481</v>
      </c>
      <c r="AC259" s="59">
        <v>399.55702246919714</v>
      </c>
      <c r="AD259" s="60">
        <v>128.22527921488754</v>
      </c>
      <c r="AE259" s="61">
        <v>0.61833199254016336</v>
      </c>
      <c r="AF259" s="62">
        <v>0.3384591107427975</v>
      </c>
      <c r="AG259" s="62">
        <v>0.9567911032829608</v>
      </c>
      <c r="AH259" s="63">
        <v>0.27987288179736586</v>
      </c>
      <c r="AI259" s="78">
        <v>15.819195988325946</v>
      </c>
    </row>
    <row r="260" spans="17:35" x14ac:dyDescent="0.25">
      <c r="Q260" s="57"/>
      <c r="R260" s="57"/>
      <c r="Z260">
        <v>228</v>
      </c>
      <c r="AA260" s="58">
        <v>262.88006070116785</v>
      </c>
      <c r="AB260" s="59">
        <v>135.94053762432463</v>
      </c>
      <c r="AC260" s="59">
        <v>398.82059832549248</v>
      </c>
      <c r="AD260" s="60">
        <v>126.93952307684322</v>
      </c>
      <c r="AE260" s="61">
        <v>0.61600946754476027</v>
      </c>
      <c r="AF260" s="62">
        <v>0.3390633102145838</v>
      </c>
      <c r="AG260" s="62">
        <v>0.95507277775934407</v>
      </c>
      <c r="AH260" s="63">
        <v>0.27694615733017647</v>
      </c>
      <c r="AI260" s="78">
        <v>15.744880360206672</v>
      </c>
    </row>
    <row r="261" spans="17:35" x14ac:dyDescent="0.25">
      <c r="Q261" s="57"/>
      <c r="R261" s="57"/>
      <c r="Z261">
        <v>229</v>
      </c>
      <c r="AA261" s="58">
        <v>261.86914274781697</v>
      </c>
      <c r="AB261" s="59">
        <v>136.21944452300934</v>
      </c>
      <c r="AC261" s="59">
        <v>398.08858727082634</v>
      </c>
      <c r="AD261" s="60">
        <v>125.64969822480762</v>
      </c>
      <c r="AE261" s="61">
        <v>0.61368734206571174</v>
      </c>
      <c r="AF261" s="62">
        <v>0.33967677923863659</v>
      </c>
      <c r="AG261" s="62">
        <v>0.95336412130434833</v>
      </c>
      <c r="AH261" s="63">
        <v>0.27401056282707514</v>
      </c>
      <c r="AI261" s="78">
        <v>15.677731020615772</v>
      </c>
    </row>
    <row r="262" spans="17:35" x14ac:dyDescent="0.25">
      <c r="Q262" s="57"/>
      <c r="R262" s="57"/>
      <c r="Z262">
        <v>230</v>
      </c>
      <c r="AA262" s="58">
        <v>260.93364292976815</v>
      </c>
      <c r="AB262" s="59">
        <v>136.49980090613468</v>
      </c>
      <c r="AC262" s="59">
        <v>397.43344383590284</v>
      </c>
      <c r="AD262" s="60">
        <v>124.43384202363347</v>
      </c>
      <c r="AE262" s="61">
        <v>0.6115402047498707</v>
      </c>
      <c r="AF262" s="62">
        <v>0.34028879237756349</v>
      </c>
      <c r="AG262" s="62">
        <v>0.95182899712743418</v>
      </c>
      <c r="AH262" s="63">
        <v>0.27125141237230721</v>
      </c>
      <c r="AI262" s="78">
        <v>15.626224887581609</v>
      </c>
    </row>
    <row r="263" spans="17:35" x14ac:dyDescent="0.25">
      <c r="Q263" s="57"/>
      <c r="R263" s="57"/>
      <c r="Z263">
        <v>231</v>
      </c>
      <c r="AA263" s="58">
        <v>260.06030280771046</v>
      </c>
      <c r="AB263" s="59">
        <v>136.78034862172305</v>
      </c>
      <c r="AC263" s="59">
        <v>396.84065142943348</v>
      </c>
      <c r="AD263" s="60">
        <v>123.27995418598741</v>
      </c>
      <c r="AE263" s="61">
        <v>0.60953729283795222</v>
      </c>
      <c r="AF263" s="62">
        <v>0.34089743531499112</v>
      </c>
      <c r="AG263" s="62">
        <v>0.95043472815294328</v>
      </c>
      <c r="AH263" s="63">
        <v>0.2686398575229611</v>
      </c>
      <c r="AI263" s="78">
        <v>15.575267012927389</v>
      </c>
    </row>
    <row r="264" spans="17:35" x14ac:dyDescent="0.25">
      <c r="Q264" s="57"/>
      <c r="R264" s="57"/>
      <c r="Z264">
        <v>232</v>
      </c>
      <c r="AA264" s="58">
        <v>259.18696268565287</v>
      </c>
      <c r="AB264" s="59">
        <v>137.06285243638419</v>
      </c>
      <c r="AC264" s="59">
        <v>396.24981512203703</v>
      </c>
      <c r="AD264" s="60">
        <v>122.12411024926868</v>
      </c>
      <c r="AE264" s="61">
        <v>0.60753438092603373</v>
      </c>
      <c r="AF264" s="62">
        <v>0.34151039835763963</v>
      </c>
      <c r="AG264" s="62">
        <v>0.94904477928367337</v>
      </c>
      <c r="AH264" s="63">
        <v>0.2660239825683941</v>
      </c>
      <c r="AI264" s="78">
        <v>15.524309138273169</v>
      </c>
    </row>
    <row r="265" spans="17:35" x14ac:dyDescent="0.25">
      <c r="Q265" s="57"/>
      <c r="R265" s="57"/>
      <c r="Z265">
        <v>233</v>
      </c>
      <c r="AA265" s="58">
        <v>258.31362256359517</v>
      </c>
      <c r="AB265" s="59">
        <v>137.34730027986822</v>
      </c>
      <c r="AC265" s="59">
        <v>395.66092284346337</v>
      </c>
      <c r="AD265" s="60">
        <v>120.96632228372695</v>
      </c>
      <c r="AE265" s="61">
        <v>0.60553146901411525</v>
      </c>
      <c r="AF265" s="62">
        <v>0.34212765828553821</v>
      </c>
      <c r="AG265" s="62">
        <v>0.94765912729965351</v>
      </c>
      <c r="AH265" s="63">
        <v>0.26340381072857705</v>
      </c>
      <c r="AI265" s="78">
        <v>15.47335126361895</v>
      </c>
    </row>
    <row r="266" spans="17:35" x14ac:dyDescent="0.25">
      <c r="Q266" s="57"/>
      <c r="R266" s="57"/>
      <c r="Z266">
        <v>234</v>
      </c>
      <c r="AA266" s="58">
        <v>257.44028244153759</v>
      </c>
      <c r="AB266" s="59">
        <v>137.63368009898915</v>
      </c>
      <c r="AC266" s="59">
        <v>395.07396254052674</v>
      </c>
      <c r="AD266" s="60">
        <v>119.80660234254844</v>
      </c>
      <c r="AE266" s="61">
        <v>0.60352855710219666</v>
      </c>
      <c r="AF266" s="62">
        <v>0.34274919188379643</v>
      </c>
      <c r="AG266" s="62">
        <v>0.94627774898599304</v>
      </c>
      <c r="AH266" s="63">
        <v>0.26077936521840023</v>
      </c>
      <c r="AI266" s="78">
        <v>15.42239338896473</v>
      </c>
    </row>
    <row r="267" spans="17:35" x14ac:dyDescent="0.25">
      <c r="Q267" s="57"/>
      <c r="R267" s="57"/>
      <c r="Z267">
        <v>235</v>
      </c>
      <c r="AA267" s="58">
        <v>256.56694231947995</v>
      </c>
      <c r="AB267" s="59">
        <v>137.92197985914248</v>
      </c>
      <c r="AC267" s="59">
        <v>394.48892217862243</v>
      </c>
      <c r="AD267" s="60">
        <v>118.64496246033747</v>
      </c>
      <c r="AE267" s="61">
        <v>0.60152564519027807</v>
      </c>
      <c r="AF267" s="62">
        <v>0.34337497594545535</v>
      </c>
      <c r="AG267" s="62">
        <v>0.94490062113573337</v>
      </c>
      <c r="AH267" s="63">
        <v>0.25815066924482272</v>
      </c>
      <c r="AI267" s="78">
        <v>15.371435514310511</v>
      </c>
    </row>
    <row r="268" spans="17:35" x14ac:dyDescent="0.25">
      <c r="Q268" s="57"/>
      <c r="R268" s="57"/>
      <c r="Z268">
        <v>236</v>
      </c>
      <c r="AA268" s="58">
        <v>255.69360219742234</v>
      </c>
      <c r="AB268" s="59">
        <v>138.21218754579104</v>
      </c>
      <c r="AC268" s="59">
        <v>393.9057897432134</v>
      </c>
      <c r="AD268" s="60">
        <v>117.4814146516313</v>
      </c>
      <c r="AE268" s="61">
        <v>0.5995227332783597</v>
      </c>
      <c r="AF268" s="62">
        <v>0.34400498727429185</v>
      </c>
      <c r="AG268" s="62">
        <v>0.94352772055265155</v>
      </c>
      <c r="AH268" s="63">
        <v>0.25551774600406785</v>
      </c>
      <c r="AI268" s="78">
        <v>15.320477639656291</v>
      </c>
    </row>
    <row r="269" spans="17:35" x14ac:dyDescent="0.25">
      <c r="Q269" s="57"/>
      <c r="R269" s="57"/>
      <c r="Z269">
        <v>237</v>
      </c>
      <c r="AA269" s="58">
        <v>254.82026207536464</v>
      </c>
      <c r="AB269" s="59">
        <v>138.50429116591471</v>
      </c>
      <c r="AC269" s="59">
        <v>393.32455324127932</v>
      </c>
      <c r="AD269" s="60">
        <v>116.31597090944993</v>
      </c>
      <c r="AE269" s="61">
        <v>0.59751982136644111</v>
      </c>
      <c r="AF269" s="62">
        <v>0.34463920268757398</v>
      </c>
      <c r="AG269" s="62">
        <v>0.94215902405401508</v>
      </c>
      <c r="AH269" s="63">
        <v>0.25288061867886713</v>
      </c>
      <c r="AI269" s="78">
        <v>15.269519765002071</v>
      </c>
    </row>
    <row r="270" spans="17:35" x14ac:dyDescent="0.25">
      <c r="Q270" s="57"/>
      <c r="R270" s="57"/>
      <c r="Z270">
        <v>238</v>
      </c>
      <c r="AA270" s="58">
        <v>253.946921953307</v>
      </c>
      <c r="AB270" s="59">
        <v>138.79827874942947</v>
      </c>
      <c r="AC270" s="59">
        <v>392.7452007027365</v>
      </c>
      <c r="AD270" s="60">
        <v>115.14864320387753</v>
      </c>
      <c r="AE270" s="61">
        <v>0.59551690945452262</v>
      </c>
      <c r="AF270" s="62">
        <v>0.34527759901876753</v>
      </c>
      <c r="AG270" s="62">
        <v>0.94079450847329016</v>
      </c>
      <c r="AH270" s="63">
        <v>0.25023931043575509</v>
      </c>
      <c r="AI270" s="78">
        <v>15.218561890347852</v>
      </c>
    </row>
    <row r="271" spans="17:35" x14ac:dyDescent="0.25">
      <c r="Q271" s="57"/>
      <c r="R271" s="57"/>
      <c r="Z271">
        <v>239</v>
      </c>
      <c r="AA271" s="58">
        <v>253.07358183124936</v>
      </c>
      <c r="AB271" s="59">
        <v>139.09413835057344</v>
      </c>
      <c r="AC271" s="59">
        <v>392.1677201818228</v>
      </c>
      <c r="AD271" s="60">
        <v>113.97944348067591</v>
      </c>
      <c r="AE271" s="61">
        <v>0.59351399754260392</v>
      </c>
      <c r="AF271" s="62">
        <v>0.34592015312019619</v>
      </c>
      <c r="AG271" s="62">
        <v>0.93943415066280012</v>
      </c>
      <c r="AH271" s="63">
        <v>0.24759384442240773</v>
      </c>
      <c r="AI271" s="78">
        <v>15.167604015693632</v>
      </c>
    </row>
    <row r="272" spans="17:35" x14ac:dyDescent="0.25">
      <c r="Q272" s="57"/>
      <c r="R272" s="57"/>
      <c r="Z272">
        <v>240</v>
      </c>
      <c r="AA272" s="58">
        <v>252.20024170919172</v>
      </c>
      <c r="AB272" s="59">
        <v>139.39185804925955</v>
      </c>
      <c r="AC272" s="59">
        <v>391.59209975845124</v>
      </c>
      <c r="AD272" s="60">
        <v>112.80838365993216</v>
      </c>
      <c r="AE272" s="61">
        <v>0.59151108563068544</v>
      </c>
      <c r="AF272" s="62">
        <v>0.34656684186565284</v>
      </c>
      <c r="AG272" s="62">
        <v>0.93807792749633823</v>
      </c>
      <c r="AH272" s="63">
        <v>0.2449442437650326</v>
      </c>
      <c r="AI272" s="78">
        <v>15.116646141039412</v>
      </c>
    </row>
    <row r="273" spans="17:35" x14ac:dyDescent="0.25">
      <c r="Q273" s="57"/>
      <c r="R273" s="57"/>
      <c r="Z273">
        <v>241</v>
      </c>
      <c r="AA273" s="58">
        <v>251.3269015871341</v>
      </c>
      <c r="AB273" s="59">
        <v>139.69142595239595</v>
      </c>
      <c r="AC273" s="59">
        <v>391.01832753953005</v>
      </c>
      <c r="AD273" s="60">
        <v>111.63547563473816</v>
      </c>
      <c r="AE273" s="61">
        <v>0.58950817371876696</v>
      </c>
      <c r="AF273" s="62">
        <v>0.34721764215296125</v>
      </c>
      <c r="AG273" s="62">
        <v>0.93672581587172821</v>
      </c>
      <c r="AH273" s="63">
        <v>0.24229053156580571</v>
      </c>
      <c r="AI273" s="78">
        <v>15.065688266385193</v>
      </c>
    </row>
    <row r="274" spans="17:35" x14ac:dyDescent="0.25">
      <c r="Q274" s="57"/>
      <c r="R274" s="57"/>
      <c r="Z274">
        <v>242</v>
      </c>
      <c r="AA274" s="58">
        <v>250.45356146507643</v>
      </c>
      <c r="AB274" s="59">
        <v>139.99283019517392</v>
      </c>
      <c r="AC274" s="59">
        <v>390.44639166025036</v>
      </c>
      <c r="AD274" s="60">
        <v>110.46073126990251</v>
      </c>
      <c r="AE274" s="61">
        <v>0.58750526180684848</v>
      </c>
      <c r="AF274" s="62">
        <v>0.34787253090649212</v>
      </c>
      <c r="AG274" s="62">
        <v>0.93537779271334065</v>
      </c>
      <c r="AH274" s="63">
        <v>0.23963273090035636</v>
      </c>
      <c r="AI274" s="78">
        <v>15.014730391730973</v>
      </c>
    </row>
    <row r="275" spans="17:35" x14ac:dyDescent="0.25">
      <c r="Q275" s="57"/>
      <c r="R275" s="57"/>
      <c r="Z275">
        <v>243</v>
      </c>
      <c r="AA275" s="58">
        <v>249.58022134301882</v>
      </c>
      <c r="AB275" s="59">
        <v>140.29605894232461</v>
      </c>
      <c r="AC275" s="59">
        <v>389.87628028534346</v>
      </c>
      <c r="AD275" s="60">
        <v>109.28416240069421</v>
      </c>
      <c r="AE275" s="61">
        <v>0.58550234989493</v>
      </c>
      <c r="AF275" s="62">
        <v>0.34853148507962978</v>
      </c>
      <c r="AG275" s="62">
        <v>0.93403383497455983</v>
      </c>
      <c r="AH275" s="63">
        <v>0.23697086481530022</v>
      </c>
      <c r="AI275" s="78">
        <v>14.963772517076753</v>
      </c>
    </row>
    <row r="276" spans="17:35" x14ac:dyDescent="0.25">
      <c r="Q276" s="57"/>
      <c r="R276" s="57"/>
      <c r="Z276">
        <v>244</v>
      </c>
      <c r="AA276" s="58">
        <v>248.64763045955149</v>
      </c>
      <c r="AB276" s="59">
        <v>140.50875518715895</v>
      </c>
      <c r="AC276" s="59">
        <v>389.15638564671042</v>
      </c>
      <c r="AD276" s="60">
        <v>108.13887527239254</v>
      </c>
      <c r="AE276" s="61">
        <v>0.5833571206024436</v>
      </c>
      <c r="AF276" s="62">
        <v>0.34897147624320507</v>
      </c>
      <c r="AG276" s="62">
        <v>0.93232859684564873</v>
      </c>
      <c r="AH276" s="63">
        <v>0.23438564435923853</v>
      </c>
      <c r="AI276" s="78">
        <v>14.912814642422534</v>
      </c>
    </row>
    <row r="277" spans="17:35" x14ac:dyDescent="0.25">
      <c r="Q277" s="57"/>
      <c r="R277" s="57"/>
      <c r="Z277">
        <v>245</v>
      </c>
      <c r="AA277" s="58">
        <v>247.57065415087104</v>
      </c>
      <c r="AB277" s="59">
        <v>140.49627519126571</v>
      </c>
      <c r="AC277" s="59">
        <v>388.06692934213675</v>
      </c>
      <c r="AD277" s="60">
        <v>107.07437895960533</v>
      </c>
      <c r="AE277" s="61">
        <v>0.58086499705014882</v>
      </c>
      <c r="AF277" s="62">
        <v>0.34886761538409189</v>
      </c>
      <c r="AG277" s="62">
        <v>0.92973261243424066</v>
      </c>
      <c r="AH277" s="63">
        <v>0.23199738166605693</v>
      </c>
      <c r="AI277" s="78">
        <v>14.861856767768314</v>
      </c>
    </row>
    <row r="278" spans="17:35" x14ac:dyDescent="0.25">
      <c r="Q278" s="57"/>
      <c r="R278" s="57"/>
      <c r="Z278">
        <v>246</v>
      </c>
      <c r="AA278" s="58">
        <v>246.54016720680673</v>
      </c>
      <c r="AB278" s="59">
        <v>140.3985501746975</v>
      </c>
      <c r="AC278" s="59">
        <v>386.93871738150426</v>
      </c>
      <c r="AD278" s="60">
        <v>106.14161703210922</v>
      </c>
      <c r="AE278" s="61">
        <v>0.57847419557084712</v>
      </c>
      <c r="AF278" s="62">
        <v>0.34857478053544289</v>
      </c>
      <c r="AG278" s="62">
        <v>0.92704897610629</v>
      </c>
      <c r="AH278" s="63">
        <v>0.22989941503540423</v>
      </c>
      <c r="AI278" s="78">
        <v>14.810898893114095</v>
      </c>
    </row>
    <row r="279" spans="17:35" x14ac:dyDescent="0.25">
      <c r="Q279" s="57"/>
      <c r="R279" s="57"/>
      <c r="Z279">
        <v>247</v>
      </c>
      <c r="AA279" s="58">
        <v>245.54611157957802</v>
      </c>
      <c r="AB279" s="59">
        <v>140.25000478598565</v>
      </c>
      <c r="AC279" s="59">
        <v>385.79611636556365</v>
      </c>
      <c r="AD279" s="60">
        <v>105.29610679359237</v>
      </c>
      <c r="AE279" s="61">
        <v>0.57616380039949056</v>
      </c>
      <c r="AF279" s="62">
        <v>0.34817064992648433</v>
      </c>
      <c r="AG279" s="62">
        <v>0.92433445032597494</v>
      </c>
      <c r="AH279" s="63">
        <v>0.22799315047300622</v>
      </c>
      <c r="AI279" s="78">
        <v>14.759941018459875</v>
      </c>
    </row>
    <row r="280" spans="17:35" x14ac:dyDescent="0.25">
      <c r="Q280" s="57"/>
      <c r="R280" s="57"/>
      <c r="Z280">
        <v>248</v>
      </c>
      <c r="AA280" s="58">
        <v>244.55205595234921</v>
      </c>
      <c r="AB280" s="59">
        <v>140.1027945599354</v>
      </c>
      <c r="AC280" s="59">
        <v>384.65485051228461</v>
      </c>
      <c r="AD280" s="60">
        <v>104.4492613924138</v>
      </c>
      <c r="AE280" s="61">
        <v>0.57385340522813399</v>
      </c>
      <c r="AF280" s="62">
        <v>0.34776945324892305</v>
      </c>
      <c r="AG280" s="62">
        <v>0.92162285847705705</v>
      </c>
      <c r="AH280" s="63">
        <v>0.22608395197921094</v>
      </c>
      <c r="AI280" s="78">
        <v>14.708983143805655</v>
      </c>
    </row>
    <row r="281" spans="17:35" x14ac:dyDescent="0.25">
      <c r="Q281" s="57"/>
      <c r="R281" s="57"/>
      <c r="Z281">
        <v>249</v>
      </c>
      <c r="AA281" s="58">
        <v>243.55800032512056</v>
      </c>
      <c r="AB281" s="59">
        <v>139.95692370961967</v>
      </c>
      <c r="AC281" s="59">
        <v>383.51492403474026</v>
      </c>
      <c r="AD281" s="60">
        <v>103.60107661550089</v>
      </c>
      <c r="AE281" s="61">
        <v>0.57154301005677743</v>
      </c>
      <c r="AF281" s="62">
        <v>0.34737120066839905</v>
      </c>
      <c r="AG281" s="62">
        <v>0.91891421072517643</v>
      </c>
      <c r="AH281" s="63">
        <v>0.22417180938837838</v>
      </c>
      <c r="AI281" s="78">
        <v>14.658025269151436</v>
      </c>
    </row>
    <row r="282" spans="17:35" x14ac:dyDescent="0.25">
      <c r="Q282" s="57"/>
      <c r="R282" s="57"/>
      <c r="Z282">
        <v>250</v>
      </c>
      <c r="AA282" s="58">
        <v>242.5639446978918</v>
      </c>
      <c r="AB282" s="59">
        <v>139.81239642728264</v>
      </c>
      <c r="AC282" s="59">
        <v>382.37634112517446</v>
      </c>
      <c r="AD282" s="60">
        <v>102.75154827060916</v>
      </c>
      <c r="AE282" s="61">
        <v>0.56923261488542087</v>
      </c>
      <c r="AF282" s="62">
        <v>0.34697590232245484</v>
      </c>
      <c r="AG282" s="62">
        <v>0.91620851720787577</v>
      </c>
      <c r="AH282" s="63">
        <v>0.22225671256296603</v>
      </c>
      <c r="AI282" s="78">
        <v>14.607067394497216</v>
      </c>
    </row>
    <row r="283" spans="17:35" x14ac:dyDescent="0.25">
      <c r="Q283" s="57"/>
      <c r="R283" s="57"/>
      <c r="Z283">
        <v>251</v>
      </c>
      <c r="AA283" s="58">
        <v>241.56988907066307</v>
      </c>
      <c r="AB283" s="59">
        <v>139.66921688382644</v>
      </c>
      <c r="AC283" s="59">
        <v>381.2391059544895</v>
      </c>
      <c r="AD283" s="60">
        <v>101.90067218683663</v>
      </c>
      <c r="AE283" s="61">
        <v>0.56692221971406442</v>
      </c>
      <c r="AF283" s="62">
        <v>0.34658356831950937</v>
      </c>
      <c r="AG283" s="62">
        <v>0.91350578803357374</v>
      </c>
      <c r="AH283" s="63">
        <v>0.22033865139455505</v>
      </c>
      <c r="AI283" s="78">
        <v>14.556109519842996</v>
      </c>
    </row>
    <row r="284" spans="17:35" x14ac:dyDescent="0.25">
      <c r="Q284" s="57"/>
      <c r="R284" s="57"/>
      <c r="Z284">
        <v>252</v>
      </c>
      <c r="AA284" s="58">
        <v>240.57583344343433</v>
      </c>
      <c r="AB284" s="59">
        <v>139.52738922830019</v>
      </c>
      <c r="AC284" s="59">
        <v>380.10322267173456</v>
      </c>
      <c r="AD284" s="60">
        <v>101.04844421513414</v>
      </c>
      <c r="AE284" s="61">
        <v>0.56461182454270786</v>
      </c>
      <c r="AF284" s="62">
        <v>0.34619420873783047</v>
      </c>
      <c r="AG284" s="62">
        <v>0.91080603328053833</v>
      </c>
      <c r="AH284" s="63">
        <v>0.2184176158048774</v>
      </c>
      <c r="AI284" s="78">
        <v>14.505151645188777</v>
      </c>
    </row>
    <row r="285" spans="17:35" x14ac:dyDescent="0.25">
      <c r="Q285" s="57"/>
      <c r="R285" s="57"/>
      <c r="Z285">
        <v>253</v>
      </c>
      <c r="AA285" s="58">
        <v>239.61285431935002</v>
      </c>
      <c r="AB285" s="59">
        <v>139.38160563927104</v>
      </c>
      <c r="AC285" s="59">
        <v>378.99445995862106</v>
      </c>
      <c r="AD285" s="60">
        <v>100.23124868007898</v>
      </c>
      <c r="AE285" s="61">
        <v>0.56237353431245563</v>
      </c>
      <c r="AF285" s="62">
        <v>0.34579430066678329</v>
      </c>
      <c r="AG285" s="62">
        <v>0.90816783497923892</v>
      </c>
      <c r="AH285" s="63">
        <v>0.21657923364567233</v>
      </c>
      <c r="AI285" s="78">
        <v>14.454193770534557</v>
      </c>
    </row>
    <row r="286" spans="17:35" x14ac:dyDescent="0.25">
      <c r="Q286" s="57"/>
      <c r="R286" s="57"/>
      <c r="Z286">
        <v>254</v>
      </c>
      <c r="AA286" s="58">
        <v>238.69514713811819</v>
      </c>
      <c r="AB286" s="59">
        <v>139.22895237139477</v>
      </c>
      <c r="AC286" s="59">
        <v>377.92409950951298</v>
      </c>
      <c r="AD286" s="60">
        <v>99.466194766723419</v>
      </c>
      <c r="AE286" s="61">
        <v>0.56024028584825691</v>
      </c>
      <c r="AF286" s="62">
        <v>0.34537659772646967</v>
      </c>
      <c r="AG286" s="62">
        <v>0.90561688357472658</v>
      </c>
      <c r="AH286" s="63">
        <v>0.21486368812178724</v>
      </c>
      <c r="AI286" s="78">
        <v>14.403235895880337</v>
      </c>
    </row>
    <row r="287" spans="17:35" x14ac:dyDescent="0.25">
      <c r="Q287" s="57"/>
      <c r="R287" s="57"/>
      <c r="Z287">
        <v>255</v>
      </c>
      <c r="AA287" s="58">
        <v>237.77782361741902</v>
      </c>
      <c r="AB287" s="59">
        <v>139.07689494597312</v>
      </c>
      <c r="AC287" s="59">
        <v>376.85471856339211</v>
      </c>
      <c r="AD287" s="60">
        <v>98.700928671445894</v>
      </c>
      <c r="AE287" s="61">
        <v>0.55810792756851602</v>
      </c>
      <c r="AF287" s="62">
        <v>0.34496019482903556</v>
      </c>
      <c r="AG287" s="62">
        <v>0.90306812239755163</v>
      </c>
      <c r="AH287" s="63">
        <v>0.21314773273948046</v>
      </c>
      <c r="AI287" s="78">
        <v>14.352278021226118</v>
      </c>
    </row>
    <row r="288" spans="17:35" x14ac:dyDescent="0.25">
      <c r="Q288" s="57"/>
      <c r="R288" s="57"/>
      <c r="Z288">
        <v>256</v>
      </c>
      <c r="AA288" s="58">
        <v>236.86050009671985</v>
      </c>
      <c r="AB288" s="59">
        <v>138.92550098853647</v>
      </c>
      <c r="AC288" s="59">
        <v>375.78600108525632</v>
      </c>
      <c r="AD288" s="60">
        <v>97.934999108183376</v>
      </c>
      <c r="AE288" s="61">
        <v>0.55597556928877534</v>
      </c>
      <c r="AF288" s="62">
        <v>0.3445452640945677</v>
      </c>
      <c r="AG288" s="62">
        <v>0.90052083338334299</v>
      </c>
      <c r="AH288" s="63">
        <v>0.21143030519420764</v>
      </c>
      <c r="AI288" s="78">
        <v>14.301320146571898</v>
      </c>
    </row>
    <row r="289" spans="17:35" x14ac:dyDescent="0.25">
      <c r="Q289" s="57"/>
      <c r="R289" s="57"/>
      <c r="Z289">
        <v>257</v>
      </c>
      <c r="AA289" s="58">
        <v>235.94317657602065</v>
      </c>
      <c r="AB289" s="59">
        <v>138.77477267048204</v>
      </c>
      <c r="AC289" s="59">
        <v>374.71794924650271</v>
      </c>
      <c r="AD289" s="60">
        <v>97.168403905538611</v>
      </c>
      <c r="AE289" s="61">
        <v>0.55384321100903466</v>
      </c>
      <c r="AF289" s="62">
        <v>0.34413181084816885</v>
      </c>
      <c r="AG289" s="62">
        <v>0.89797502185720357</v>
      </c>
      <c r="AH289" s="63">
        <v>0.20971140016086581</v>
      </c>
      <c r="AI289" s="78">
        <v>14.250362271917679</v>
      </c>
    </row>
    <row r="290" spans="17:35" x14ac:dyDescent="0.25">
      <c r="Q290" s="57"/>
      <c r="R290" s="57"/>
      <c r="Z290">
        <v>258</v>
      </c>
      <c r="AA290" s="58">
        <v>235.02585305532148</v>
      </c>
      <c r="AB290" s="59">
        <v>138.62471216308248</v>
      </c>
      <c r="AC290" s="59">
        <v>373.65056521840393</v>
      </c>
      <c r="AD290" s="60">
        <v>96.401140892238999</v>
      </c>
      <c r="AE290" s="61">
        <v>0.55171085272929388</v>
      </c>
      <c r="AF290" s="62">
        <v>0.34371984042155435</v>
      </c>
      <c r="AG290" s="62">
        <v>0.89543069315084822</v>
      </c>
      <c r="AH290" s="63">
        <v>0.20799101230773953</v>
      </c>
      <c r="AI290" s="78">
        <v>14.199404397263459</v>
      </c>
    </row>
    <row r="291" spans="17:35" x14ac:dyDescent="0.25">
      <c r="Q291" s="57"/>
      <c r="R291" s="57"/>
      <c r="Z291">
        <v>259</v>
      </c>
      <c r="AA291" s="58">
        <v>234.09991462767709</v>
      </c>
      <c r="AB291" s="59">
        <v>138.4616477434364</v>
      </c>
      <c r="AC291" s="59">
        <v>372.5615623711135</v>
      </c>
      <c r="AD291" s="60">
        <v>95.638266884240693</v>
      </c>
      <c r="AE291" s="61">
        <v>0.54955780187175163</v>
      </c>
      <c r="AF291" s="62">
        <v>0.34327638594176402</v>
      </c>
      <c r="AG291" s="62">
        <v>0.89283418781351565</v>
      </c>
      <c r="AH291" s="63">
        <v>0.20628141592998761</v>
      </c>
      <c r="AI291" s="78">
        <v>14.148446522609239</v>
      </c>
    </row>
    <row r="292" spans="17:35" x14ac:dyDescent="0.25">
      <c r="Q292" s="57"/>
      <c r="R292" s="57"/>
      <c r="Z292">
        <v>260</v>
      </c>
      <c r="AA292" s="58">
        <v>233.10556670227891</v>
      </c>
      <c r="AB292" s="59">
        <v>138.19055415986122</v>
      </c>
      <c r="AC292" s="59">
        <v>371.29612086214013</v>
      </c>
      <c r="AD292" s="60">
        <v>94.915012542417685</v>
      </c>
      <c r="AE292" s="61">
        <v>0.54724043480468432</v>
      </c>
      <c r="AF292" s="62">
        <v>0.34257233270804971</v>
      </c>
      <c r="AG292" s="62">
        <v>0.88981276751273408</v>
      </c>
      <c r="AH292" s="63">
        <v>0.20466810209663461</v>
      </c>
      <c r="AI292" s="78">
        <v>14.09748864795502</v>
      </c>
    </row>
    <row r="293" spans="17:35" x14ac:dyDescent="0.25">
      <c r="Q293" s="57"/>
      <c r="R293" s="57"/>
      <c r="Z293">
        <v>261</v>
      </c>
      <c r="AA293" s="58">
        <v>232.09648677624662</v>
      </c>
      <c r="AB293" s="59">
        <v>137.8965010294277</v>
      </c>
      <c r="AC293" s="59">
        <v>369.99298780567432</v>
      </c>
      <c r="AD293" s="60">
        <v>94.199985746818925</v>
      </c>
      <c r="AE293" s="61">
        <v>0.54488768220516359</v>
      </c>
      <c r="AF293" s="62">
        <v>0.34181283548329577</v>
      </c>
      <c r="AG293" s="62">
        <v>0.88670051768845937</v>
      </c>
      <c r="AH293" s="63">
        <v>0.20307484672186782</v>
      </c>
      <c r="AI293" s="78">
        <v>14.0465307733008</v>
      </c>
    </row>
    <row r="294" spans="17:35" x14ac:dyDescent="0.25">
      <c r="Q294" s="57"/>
      <c r="R294" s="57"/>
      <c r="Z294">
        <v>262</v>
      </c>
      <c r="AA294" s="58">
        <v>231.08740685021436</v>
      </c>
      <c r="AB294" s="59">
        <v>137.60287439308453</v>
      </c>
      <c r="AC294" s="59">
        <v>368.6902812432989</v>
      </c>
      <c r="AD294" s="60">
        <v>93.484532457129831</v>
      </c>
      <c r="AE294" s="61">
        <v>0.54253492960564287</v>
      </c>
      <c r="AF294" s="62">
        <v>0.34105428533370258</v>
      </c>
      <c r="AG294" s="62">
        <v>0.88358921493934539</v>
      </c>
      <c r="AH294" s="63">
        <v>0.20148064427194029</v>
      </c>
      <c r="AI294" s="78">
        <v>13.99557289864658</v>
      </c>
    </row>
    <row r="295" spans="17:35" x14ac:dyDescent="0.25">
      <c r="Q295" s="57"/>
      <c r="R295" s="57"/>
      <c r="Z295">
        <v>263</v>
      </c>
      <c r="AA295" s="58">
        <v>230.07832692418211</v>
      </c>
      <c r="AB295" s="59">
        <v>137.30967698691072</v>
      </c>
      <c r="AC295" s="59">
        <v>367.38800391109282</v>
      </c>
      <c r="AD295" s="60">
        <v>92.768649937271391</v>
      </c>
      <c r="AE295" s="61">
        <v>0.54018217700612225</v>
      </c>
      <c r="AF295" s="62">
        <v>0.34029668859260348</v>
      </c>
      <c r="AG295" s="62">
        <v>0.88047886559872568</v>
      </c>
      <c r="AH295" s="63">
        <v>0.19988548841351877</v>
      </c>
      <c r="AI295" s="78">
        <v>13.944615023992361</v>
      </c>
    </row>
    <row r="296" spans="17:35" x14ac:dyDescent="0.25">
      <c r="Q296" s="57"/>
      <c r="R296" s="57"/>
      <c r="Z296">
        <v>264</v>
      </c>
      <c r="AA296" s="58">
        <v>229.06924699814985</v>
      </c>
      <c r="AB296" s="59">
        <v>137.01691156638731</v>
      </c>
      <c r="AC296" s="59">
        <v>366.08615856453719</v>
      </c>
      <c r="AD296" s="60">
        <v>92.052335431762543</v>
      </c>
      <c r="AE296" s="61">
        <v>0.53782942440660142</v>
      </c>
      <c r="AF296" s="62">
        <v>0.33954005164185869</v>
      </c>
      <c r="AG296" s="62">
        <v>0.87736947604846005</v>
      </c>
      <c r="AH296" s="63">
        <v>0.19828937276474273</v>
      </c>
      <c r="AI296" s="78">
        <v>13.893657149338141</v>
      </c>
    </row>
    <row r="297" spans="17:35" x14ac:dyDescent="0.25">
      <c r="Q297" s="57"/>
      <c r="R297" s="57"/>
      <c r="Z297">
        <v>265</v>
      </c>
      <c r="AA297" s="58">
        <v>228.06016707211759</v>
      </c>
      <c r="AB297" s="59">
        <v>136.72458090651909</v>
      </c>
      <c r="AC297" s="59">
        <v>364.78474797863669</v>
      </c>
      <c r="AD297" s="60">
        <v>91.3355861655985</v>
      </c>
      <c r="AE297" s="61">
        <v>0.53547667180708081</v>
      </c>
      <c r="AF297" s="62">
        <v>0.33878438091222152</v>
      </c>
      <c r="AG297" s="62">
        <v>0.87426105271930232</v>
      </c>
      <c r="AH297" s="63">
        <v>0.19669229089485929</v>
      </c>
      <c r="AI297" s="78">
        <v>13.842699274683921</v>
      </c>
    </row>
    <row r="298" spans="17:35" x14ac:dyDescent="0.25">
      <c r="Q298" s="57"/>
      <c r="R298" s="57"/>
      <c r="Z298">
        <v>266</v>
      </c>
      <c r="AA298" s="58">
        <v>227.05108714608537</v>
      </c>
      <c r="AB298" s="59">
        <v>136.43268780195618</v>
      </c>
      <c r="AC298" s="59">
        <v>363.48377494804151</v>
      </c>
      <c r="AD298" s="60">
        <v>90.618399344129188</v>
      </c>
      <c r="AE298" s="61">
        <v>0.53312391920756008</v>
      </c>
      <c r="AF298" s="62">
        <v>0.33802968288369978</v>
      </c>
      <c r="AG298" s="62">
        <v>0.8711536020912598</v>
      </c>
      <c r="AH298" s="63">
        <v>0.1950942363238603</v>
      </c>
      <c r="AI298" s="78">
        <v>13.791741400029702</v>
      </c>
    </row>
    <row r="299" spans="17:35" x14ac:dyDescent="0.25">
      <c r="Q299" s="57"/>
      <c r="R299" s="57"/>
      <c r="Z299">
        <v>267</v>
      </c>
      <c r="AA299" s="58">
        <v>226.04200722005308</v>
      </c>
      <c r="AB299" s="59">
        <v>136.14123506711505</v>
      </c>
      <c r="AC299" s="59">
        <v>362.18324228716813</v>
      </c>
      <c r="AD299" s="60">
        <v>89.900772152938032</v>
      </c>
      <c r="AE299" s="61">
        <v>0.53077116660803936</v>
      </c>
      <c r="AF299" s="62">
        <v>0.33727596408592209</v>
      </c>
      <c r="AG299" s="62">
        <v>0.86804713069396144</v>
      </c>
      <c r="AH299" s="63">
        <v>0.19349520252211727</v>
      </c>
      <c r="AI299" s="78">
        <v>13.740783525375482</v>
      </c>
    </row>
    <row r="300" spans="17:35" x14ac:dyDescent="0.25">
      <c r="Q300" s="57"/>
      <c r="R300" s="57"/>
      <c r="Z300">
        <v>268</v>
      </c>
      <c r="AA300" s="58">
        <v>225.03292729402085</v>
      </c>
      <c r="AB300" s="59">
        <v>135.85022553630017</v>
      </c>
      <c r="AC300" s="59">
        <v>360.88315283032102</v>
      </c>
      <c r="AD300" s="60">
        <v>89.182701757720679</v>
      </c>
      <c r="AE300" s="61">
        <v>0.52841841400851863</v>
      </c>
      <c r="AF300" s="62">
        <v>0.33652323109850585</v>
      </c>
      <c r="AG300" s="62">
        <v>0.86494164510702443</v>
      </c>
      <c r="AH300" s="63">
        <v>0.19189518291001278</v>
      </c>
      <c r="AI300" s="78">
        <v>13.690674693556376</v>
      </c>
    </row>
    <row r="301" spans="17:35" x14ac:dyDescent="0.25">
      <c r="Q301" s="57"/>
      <c r="R301" s="57"/>
      <c r="Z301">
        <v>269</v>
      </c>
      <c r="AA301" s="58">
        <v>224.02384736798862</v>
      </c>
      <c r="AB301" s="59">
        <v>135.55966206382482</v>
      </c>
      <c r="AC301" s="59">
        <v>359.58350943181347</v>
      </c>
      <c r="AD301" s="60">
        <v>88.464185304163806</v>
      </c>
      <c r="AE301" s="61">
        <v>0.52606566140899791</v>
      </c>
      <c r="AF301" s="62">
        <v>0.33577149055142352</v>
      </c>
      <c r="AG301" s="62">
        <v>0.86183715196042143</v>
      </c>
      <c r="AH301" s="63">
        <v>0.19029417085757439</v>
      </c>
      <c r="AI301" s="78">
        <v>13.687923584318021</v>
      </c>
    </row>
    <row r="302" spans="17:35" x14ac:dyDescent="0.25">
      <c r="Q302" s="57"/>
      <c r="R302" s="57"/>
      <c r="Z302">
        <v>270</v>
      </c>
      <c r="AA302" s="58">
        <v>223.01476744195631</v>
      </c>
      <c r="AB302" s="59">
        <v>135.26954752413371</v>
      </c>
      <c r="AC302" s="59">
        <v>358.28431496609005</v>
      </c>
      <c r="AD302" s="60">
        <v>87.745219917822595</v>
      </c>
      <c r="AE302" s="61">
        <v>0.52371290880947718</v>
      </c>
      <c r="AF302" s="62">
        <v>0.33502074912537466</v>
      </c>
      <c r="AG302" s="62">
        <v>0.8587336579348519</v>
      </c>
      <c r="AH302" s="63">
        <v>0.18869215968410252</v>
      </c>
      <c r="AI302" s="78">
        <v>13.712436183896079</v>
      </c>
    </row>
    <row r="303" spans="17:35" x14ac:dyDescent="0.25">
      <c r="Q303" s="57"/>
      <c r="R303" s="57"/>
      <c r="Z303">
        <v>271</v>
      </c>
      <c r="AA303" s="58">
        <v>222.00568751592405</v>
      </c>
      <c r="AB303" s="59">
        <v>134.97988481192311</v>
      </c>
      <c r="AC303" s="59">
        <v>356.98557232784719</v>
      </c>
      <c r="AD303" s="60">
        <v>87.025802704000938</v>
      </c>
      <c r="AE303" s="61">
        <v>0.52136015620995646</v>
      </c>
      <c r="AF303" s="62">
        <v>0.33427101355215705</v>
      </c>
      <c r="AG303" s="62">
        <v>0.85563116976211351</v>
      </c>
      <c r="AH303" s="63">
        <v>0.18708914265779941</v>
      </c>
      <c r="AI303" s="78">
        <v>13.736948783474135</v>
      </c>
    </row>
    <row r="304" spans="17:35" x14ac:dyDescent="0.25">
      <c r="Q304" s="57"/>
      <c r="R304" s="57"/>
      <c r="Z304">
        <v>272</v>
      </c>
      <c r="AA304" s="58">
        <v>220.99660758989182</v>
      </c>
      <c r="AB304" s="59">
        <v>134.6906768422626</v>
      </c>
      <c r="AC304" s="59">
        <v>355.68728443215446</v>
      </c>
      <c r="AD304" s="60">
        <v>86.305930747629219</v>
      </c>
      <c r="AE304" s="61">
        <v>0.51900740361043585</v>
      </c>
      <c r="AF304" s="62">
        <v>0.33352229061503752</v>
      </c>
      <c r="AG304" s="62">
        <v>0.85252969422547342</v>
      </c>
      <c r="AH304" s="63">
        <v>0.18548511299539833</v>
      </c>
      <c r="AI304" s="78">
        <v>13.761461383052191</v>
      </c>
    </row>
    <row r="305" spans="17:35" x14ac:dyDescent="0.25">
      <c r="Q305" s="57"/>
      <c r="R305" s="57"/>
      <c r="Z305">
        <v>273</v>
      </c>
      <c r="AA305" s="58">
        <v>219.98752766385954</v>
      </c>
      <c r="AB305" s="59">
        <v>134.40192655071687</v>
      </c>
      <c r="AC305" s="59">
        <v>354.3894542145764</v>
      </c>
      <c r="AD305" s="60">
        <v>85.585601113142673</v>
      </c>
      <c r="AE305" s="61">
        <v>0.51665465101091501</v>
      </c>
      <c r="AF305" s="62">
        <v>0.33277458714912872</v>
      </c>
      <c r="AG305" s="62">
        <v>0.84942923816004368</v>
      </c>
      <c r="AH305" s="63">
        <v>0.18388006386178629</v>
      </c>
      <c r="AI305" s="78">
        <v>13.785973982630249</v>
      </c>
    </row>
    <row r="306" spans="17:35" x14ac:dyDescent="0.25">
      <c r="Q306" s="57"/>
      <c r="R306" s="57"/>
      <c r="Z306">
        <v>274</v>
      </c>
      <c r="AA306" s="58">
        <v>218.97844773782731</v>
      </c>
      <c r="AB306" s="59">
        <v>134.11363689346615</v>
      </c>
      <c r="AC306" s="59">
        <v>353.09208463129346</v>
      </c>
      <c r="AD306" s="60">
        <v>84.864810844361159</v>
      </c>
      <c r="AE306" s="61">
        <v>0.5143018984113944</v>
      </c>
      <c r="AF306" s="62">
        <v>0.33202791004176291</v>
      </c>
      <c r="AG306" s="62">
        <v>0.84632980845315731</v>
      </c>
      <c r="AH306" s="63">
        <v>0.18227398836963149</v>
      </c>
      <c r="AI306" s="78">
        <v>13.810486582208306</v>
      </c>
    </row>
    <row r="307" spans="17:35" x14ac:dyDescent="0.25">
      <c r="Q307" s="57"/>
      <c r="R307" s="57"/>
      <c r="Z307">
        <v>275</v>
      </c>
      <c r="AA307" s="58">
        <v>217.97192019547501</v>
      </c>
      <c r="AB307" s="59">
        <v>133.82233011527799</v>
      </c>
      <c r="AC307" s="59">
        <v>351.794250310753</v>
      </c>
      <c r="AD307" s="60">
        <v>84.149590080197015</v>
      </c>
      <c r="AE307" s="61">
        <v>0.51195477909021736</v>
      </c>
      <c r="AF307" s="62">
        <v>0.33127462943118036</v>
      </c>
      <c r="AG307" s="62">
        <v>0.84322940852139772</v>
      </c>
      <c r="AH307" s="63">
        <v>0.180680149659037</v>
      </c>
      <c r="AI307" s="78">
        <v>13.834999181786362</v>
      </c>
    </row>
    <row r="308" spans="17:35" x14ac:dyDescent="0.25">
      <c r="Q308" s="57"/>
      <c r="R308" s="57"/>
      <c r="Z308">
        <v>276</v>
      </c>
      <c r="AA308" s="58">
        <v>217.06009872827838</v>
      </c>
      <c r="AB308" s="59">
        <v>133.45832083517661</v>
      </c>
      <c r="AC308" s="59">
        <v>350.51841956345498</v>
      </c>
      <c r="AD308" s="60">
        <v>83.601777893101769</v>
      </c>
      <c r="AE308" s="61">
        <v>0.50982234096124701</v>
      </c>
      <c r="AF308" s="62">
        <v>0.33035882004583644</v>
      </c>
      <c r="AG308" s="62">
        <v>0.84018116100708351</v>
      </c>
      <c r="AH308" s="63">
        <v>0.17946352091541057</v>
      </c>
      <c r="AI308" s="78">
        <v>13.85951178136442</v>
      </c>
    </row>
    <row r="309" spans="17:35" x14ac:dyDescent="0.25">
      <c r="Q309" s="57"/>
      <c r="R309" s="57"/>
      <c r="Z309">
        <v>277</v>
      </c>
      <c r="AA309" s="58">
        <v>216.23320173449147</v>
      </c>
      <c r="AB309" s="59">
        <v>133.05544024685642</v>
      </c>
      <c r="AC309" s="59">
        <v>349.28864198134789</v>
      </c>
      <c r="AD309" s="60">
        <v>83.177761487635053</v>
      </c>
      <c r="AE309" s="61">
        <v>0.50788509985019148</v>
      </c>
      <c r="AF309" s="62">
        <v>0.32935357437458357</v>
      </c>
      <c r="AG309" s="62">
        <v>0.83723867422477505</v>
      </c>
      <c r="AH309" s="63">
        <v>0.17853152547560791</v>
      </c>
      <c r="AI309" s="78">
        <v>13.884024380942476</v>
      </c>
    </row>
    <row r="310" spans="17:35" x14ac:dyDescent="0.25">
      <c r="Q310" s="57"/>
      <c r="R310" s="57"/>
      <c r="Z310">
        <v>278</v>
      </c>
      <c r="AA310" s="58">
        <v>215.40671796068602</v>
      </c>
      <c r="AB310" s="59">
        <v>132.65255701912528</v>
      </c>
      <c r="AC310" s="59">
        <v>348.05927497981133</v>
      </c>
      <c r="AD310" s="60">
        <v>82.754160941560741</v>
      </c>
      <c r="AE310" s="61">
        <v>0.50594881750860521</v>
      </c>
      <c r="AF310" s="62">
        <v>0.32834829852603437</v>
      </c>
      <c r="AG310" s="62">
        <v>0.83429711603463952</v>
      </c>
      <c r="AH310" s="63">
        <v>0.17760051898257084</v>
      </c>
      <c r="AI310" s="78">
        <v>13.908536980520532</v>
      </c>
    </row>
    <row r="311" spans="17:35" x14ac:dyDescent="0.25">
      <c r="Q311" s="57"/>
      <c r="R311" s="57"/>
      <c r="Z311">
        <v>279</v>
      </c>
      <c r="AA311" s="58">
        <v>214.51318577070685</v>
      </c>
      <c r="AB311" s="59">
        <v>132.141876404866</v>
      </c>
      <c r="AC311" s="59">
        <v>346.65506217557288</v>
      </c>
      <c r="AD311" s="60">
        <v>82.371309365840858</v>
      </c>
      <c r="AE311" s="61">
        <v>0.50385148820772174</v>
      </c>
      <c r="AF311" s="62">
        <v>0.32708333470509399</v>
      </c>
      <c r="AG311" s="62">
        <v>0.83093482291281573</v>
      </c>
      <c r="AH311" s="63">
        <v>0.17676815350262776</v>
      </c>
      <c r="AI311" s="78">
        <v>13.933049580098588</v>
      </c>
    </row>
    <row r="312" spans="17:35" x14ac:dyDescent="0.25">
      <c r="Q312" s="57"/>
      <c r="R312" s="57"/>
      <c r="Z312">
        <v>280</v>
      </c>
      <c r="AA312" s="58">
        <v>213.52766980316696</v>
      </c>
      <c r="AB312" s="59">
        <v>131.48320152584057</v>
      </c>
      <c r="AC312" s="59">
        <v>345.0108713290075</v>
      </c>
      <c r="AD312" s="60">
        <v>82.044468277326388</v>
      </c>
      <c r="AE312" s="61">
        <v>0.50153321845028154</v>
      </c>
      <c r="AF312" s="62">
        <v>0.32546186910693137</v>
      </c>
      <c r="AG312" s="62">
        <v>0.82699508755721296</v>
      </c>
      <c r="AH312" s="63">
        <v>0.17607134934335017</v>
      </c>
      <c r="AI312" s="78">
        <v>13.957562179676646</v>
      </c>
    </row>
    <row r="313" spans="17:35" x14ac:dyDescent="0.25">
      <c r="Q313" s="57"/>
      <c r="R313" s="57"/>
      <c r="Z313">
        <v>281</v>
      </c>
      <c r="AA313" s="58">
        <v>212.54159971648514</v>
      </c>
      <c r="AB313" s="59">
        <v>130.82363629122733</v>
      </c>
      <c r="AC313" s="59">
        <v>343.3652360077125</v>
      </c>
      <c r="AD313" s="60">
        <v>81.717963425257807</v>
      </c>
      <c r="AE313" s="61">
        <v>0.49921361772623563</v>
      </c>
      <c r="AF313" s="62">
        <v>0.3238382580536443</v>
      </c>
      <c r="AG313" s="62">
        <v>0.82305187577987993</v>
      </c>
      <c r="AH313" s="63">
        <v>0.17537535967259132</v>
      </c>
      <c r="AI313" s="78">
        <v>13.982074779254702</v>
      </c>
    </row>
    <row r="314" spans="17:35" x14ac:dyDescent="0.25">
      <c r="Q314" s="57"/>
      <c r="R314" s="57"/>
      <c r="Z314">
        <v>282</v>
      </c>
      <c r="AA314" s="58">
        <v>211.55552962980326</v>
      </c>
      <c r="AB314" s="59">
        <v>130.16407237577042</v>
      </c>
      <c r="AC314" s="59">
        <v>341.71960200557368</v>
      </c>
      <c r="AD314" s="60">
        <v>81.391457254032844</v>
      </c>
      <c r="AE314" s="61">
        <v>0.49689401700218977</v>
      </c>
      <c r="AF314" s="62">
        <v>0.32221464944948597</v>
      </c>
      <c r="AG314" s="62">
        <v>0.81910866645167579</v>
      </c>
      <c r="AH314" s="63">
        <v>0.1746793675527038</v>
      </c>
      <c r="AI314" s="78">
        <v>14.006587378832759</v>
      </c>
    </row>
    <row r="315" spans="17:35" x14ac:dyDescent="0.25">
      <c r="Q315" s="57"/>
      <c r="R315" s="57"/>
      <c r="Z315">
        <v>283</v>
      </c>
      <c r="AA315" s="58">
        <v>210.5694595431215</v>
      </c>
      <c r="AB315" s="59">
        <v>129.50450979962523</v>
      </c>
      <c r="AC315" s="59">
        <v>340.07396934274675</v>
      </c>
      <c r="AD315" s="60">
        <v>81.064949743496271</v>
      </c>
      <c r="AE315" s="61">
        <v>0.49457441627814386</v>
      </c>
      <c r="AF315" s="62">
        <v>0.32059104333166671</v>
      </c>
      <c r="AG315" s="62">
        <v>0.81516545960981057</v>
      </c>
      <c r="AH315" s="63">
        <v>0.17398337294647714</v>
      </c>
      <c r="AI315" s="78">
        <v>14.031099978410815</v>
      </c>
    </row>
    <row r="316" spans="17:35" x14ac:dyDescent="0.25">
      <c r="Q316" s="57"/>
      <c r="R316" s="57"/>
      <c r="Z316">
        <v>284</v>
      </c>
      <c r="AA316" s="58">
        <v>209.58338945643962</v>
      </c>
      <c r="AB316" s="59">
        <v>128.84494858335975</v>
      </c>
      <c r="AC316" s="59">
        <v>338.42833803979937</v>
      </c>
      <c r="AD316" s="60">
        <v>80.738440873079867</v>
      </c>
      <c r="AE316" s="61">
        <v>0.492254815554098</v>
      </c>
      <c r="AF316" s="62">
        <v>0.31896743973815456</v>
      </c>
      <c r="AG316" s="62">
        <v>0.81122225529225256</v>
      </c>
      <c r="AH316" s="63">
        <v>0.17328737581594345</v>
      </c>
      <c r="AI316" s="78">
        <v>14.055612577988871</v>
      </c>
    </row>
    <row r="317" spans="17:35" x14ac:dyDescent="0.25">
      <c r="Q317" s="57"/>
      <c r="R317" s="57"/>
      <c r="Z317">
        <v>285</v>
      </c>
      <c r="AA317" s="58">
        <v>208.59731936975786</v>
      </c>
      <c r="AB317" s="59">
        <v>128.18538874796519</v>
      </c>
      <c r="AC317" s="59">
        <v>336.78270811772302</v>
      </c>
      <c r="AD317" s="60">
        <v>80.411930621792663</v>
      </c>
      <c r="AE317" s="61">
        <v>0.48993521483005215</v>
      </c>
      <c r="AF317" s="62">
        <v>0.31734383870769384</v>
      </c>
      <c r="AG317" s="62">
        <v>0.80727905353774598</v>
      </c>
      <c r="AH317" s="63">
        <v>0.17259137612235831</v>
      </c>
      <c r="AI317" s="78">
        <v>14.080125177566929</v>
      </c>
    </row>
    <row r="318" spans="17:35" x14ac:dyDescent="0.25">
      <c r="Q318" s="57"/>
      <c r="R318" s="57"/>
      <c r="Z318">
        <v>286</v>
      </c>
      <c r="AA318" s="58">
        <v>207.61124928307603</v>
      </c>
      <c r="AB318" s="59">
        <v>127.52583031486695</v>
      </c>
      <c r="AC318" s="59">
        <v>335.137079597943</v>
      </c>
      <c r="AD318" s="60">
        <v>80.085418968209083</v>
      </c>
      <c r="AE318" s="61">
        <v>0.48761561410600623</v>
      </c>
      <c r="AF318" s="62">
        <v>0.31572024027982676</v>
      </c>
      <c r="AG318" s="62">
        <v>0.80333585438583299</v>
      </c>
      <c r="AH318" s="63">
        <v>0.17189537382617948</v>
      </c>
      <c r="AI318" s="78">
        <v>14.075801123573815</v>
      </c>
    </row>
    <row r="319" spans="17:35" x14ac:dyDescent="0.25">
      <c r="Q319" s="57"/>
      <c r="R319" s="57"/>
      <c r="Z319">
        <v>287</v>
      </c>
      <c r="AA319" s="58">
        <v>206.62517919639421</v>
      </c>
      <c r="AB319" s="59">
        <v>126.86627330593609</v>
      </c>
      <c r="AC319" s="59">
        <v>333.49145250233028</v>
      </c>
      <c r="AD319" s="60">
        <v>79.758905890458124</v>
      </c>
      <c r="AE319" s="61">
        <v>0.48529601338196038</v>
      </c>
      <c r="AF319" s="62">
        <v>0.31409664449491226</v>
      </c>
      <c r="AG319" s="62">
        <v>0.79939265787687264</v>
      </c>
      <c r="AH319" s="63">
        <v>0.17119936888704812</v>
      </c>
      <c r="AI319" s="78">
        <v>14.042640416009531</v>
      </c>
    </row>
    <row r="320" spans="17:35" x14ac:dyDescent="0.25">
      <c r="Q320" s="57"/>
      <c r="R320" s="57"/>
      <c r="Z320">
        <v>288</v>
      </c>
      <c r="AA320" s="58">
        <v>205.63910910971234</v>
      </c>
      <c r="AB320" s="59">
        <v>126.20671774350077</v>
      </c>
      <c r="AC320" s="59">
        <v>331.84582685321311</v>
      </c>
      <c r="AD320" s="60">
        <v>79.432391366211561</v>
      </c>
      <c r="AE320" s="61">
        <v>0.48297641265791452</v>
      </c>
      <c r="AF320" s="62">
        <v>0.31247305139414827</v>
      </c>
      <c r="AG320" s="62">
        <v>0.79544946405206285</v>
      </c>
      <c r="AH320" s="63">
        <v>0.17050336126376625</v>
      </c>
      <c r="AI320" s="78">
        <v>14.009479708445248</v>
      </c>
    </row>
    <row r="321" spans="17:35" x14ac:dyDescent="0.25">
      <c r="Q321" s="57"/>
      <c r="R321" s="57"/>
      <c r="Z321">
        <v>289</v>
      </c>
      <c r="AA321" s="58">
        <v>204.65303902303057</v>
      </c>
      <c r="AB321" s="59">
        <v>125.54716365035819</v>
      </c>
      <c r="AC321" s="59">
        <v>330.20020267338873</v>
      </c>
      <c r="AD321" s="60">
        <v>79.105875372672386</v>
      </c>
      <c r="AE321" s="61">
        <v>0.48065681193386861</v>
      </c>
      <c r="AF321" s="62">
        <v>0.31084946101959376</v>
      </c>
      <c r="AG321" s="62">
        <v>0.79150627295346232</v>
      </c>
      <c r="AH321" s="63">
        <v>0.16980735091427485</v>
      </c>
      <c r="AI321" s="78">
        <v>13.976319000880965</v>
      </c>
    </row>
    <row r="322" spans="17:35" x14ac:dyDescent="0.25">
      <c r="Q322" s="57"/>
      <c r="R322" s="57"/>
      <c r="Z322">
        <v>290</v>
      </c>
      <c r="AA322" s="58">
        <v>203.6669689363487</v>
      </c>
      <c r="AB322" s="59">
        <v>124.88761104978717</v>
      </c>
      <c r="AC322" s="59">
        <v>328.55457998613588</v>
      </c>
      <c r="AD322" s="60">
        <v>78.779357886561527</v>
      </c>
      <c r="AE322" s="61">
        <v>0.4783372112098227</v>
      </c>
      <c r="AF322" s="62">
        <v>0.3092258734141905</v>
      </c>
      <c r="AG322" s="62">
        <v>0.78756308462401314</v>
      </c>
      <c r="AH322" s="63">
        <v>0.1691113377956322</v>
      </c>
      <c r="AI322" s="78">
        <v>13.943158293316682</v>
      </c>
    </row>
    <row r="323" spans="17:35" x14ac:dyDescent="0.25">
      <c r="Q323" s="57"/>
      <c r="R323" s="57"/>
      <c r="Z323">
        <v>291</v>
      </c>
      <c r="AA323" s="58">
        <v>202.68089884966687</v>
      </c>
      <c r="AB323" s="59">
        <v>124.22805996556077</v>
      </c>
      <c r="AC323" s="59">
        <v>326.90895881522766</v>
      </c>
      <c r="AD323" s="60">
        <v>78.4528388841061</v>
      </c>
      <c r="AE323" s="61">
        <v>0.47601761048577679</v>
      </c>
      <c r="AF323" s="62">
        <v>0.3076022886217864</v>
      </c>
      <c r="AG323" s="62">
        <v>0.78361989910756313</v>
      </c>
      <c r="AH323" s="63">
        <v>0.16841532186399039</v>
      </c>
      <c r="AI323" s="78">
        <v>13.909997585752397</v>
      </c>
    </row>
    <row r="324" spans="17:35" x14ac:dyDescent="0.25">
      <c r="Q324" s="57"/>
      <c r="R324" s="57"/>
      <c r="Z324">
        <v>292</v>
      </c>
      <c r="AA324" s="58">
        <v>201.69482876298505</v>
      </c>
      <c r="AB324" s="59">
        <v>123.56851042195973</v>
      </c>
      <c r="AC324" s="59">
        <v>325.26333918494481</v>
      </c>
      <c r="AD324" s="60">
        <v>78.126318341025325</v>
      </c>
      <c r="AE324" s="61">
        <v>0.47369800976173093</v>
      </c>
      <c r="AF324" s="62">
        <v>0.30597870668716143</v>
      </c>
      <c r="AG324" s="62">
        <v>0.77967671644889236</v>
      </c>
      <c r="AH324" s="63">
        <v>0.1677193030745695</v>
      </c>
      <c r="AI324" s="78">
        <v>13.876836878188112</v>
      </c>
    </row>
    <row r="325" spans="17:35" x14ac:dyDescent="0.25">
      <c r="Q325" s="57"/>
      <c r="R325" s="57"/>
      <c r="Z325">
        <v>293</v>
      </c>
      <c r="AA325" s="58">
        <v>200.70875867630323</v>
      </c>
      <c r="AB325" s="59">
        <v>122.90896244378573</v>
      </c>
      <c r="AC325" s="59">
        <v>323.61772112008896</v>
      </c>
      <c r="AD325" s="60">
        <v>77.799796232517508</v>
      </c>
      <c r="AE325" s="61">
        <v>0.47137840903768508</v>
      </c>
      <c r="AF325" s="62">
        <v>0.30435512765604922</v>
      </c>
      <c r="AG325" s="62">
        <v>0.77573353669373435</v>
      </c>
      <c r="AH325" s="63">
        <v>0.16702328138163586</v>
      </c>
      <c r="AI325" s="78">
        <v>13.84367617062383</v>
      </c>
    </row>
    <row r="326" spans="17:35" x14ac:dyDescent="0.25">
      <c r="Q326" s="57"/>
      <c r="R326" s="57"/>
      <c r="Z326">
        <v>294</v>
      </c>
      <c r="AA326" s="58">
        <v>199.72268858962138</v>
      </c>
      <c r="AB326" s="59">
        <v>122.24941605637567</v>
      </c>
      <c r="AC326" s="59">
        <v>321.97210464599704</v>
      </c>
      <c r="AD326" s="60">
        <v>77.473272533245719</v>
      </c>
      <c r="AE326" s="61">
        <v>0.46905880831363911</v>
      </c>
      <c r="AF326" s="62">
        <v>0.30273155157516568</v>
      </c>
      <c r="AG326" s="62">
        <v>0.77179035988880473</v>
      </c>
      <c r="AH326" s="63">
        <v>0.16632725673847343</v>
      </c>
      <c r="AI326" s="78">
        <v>13.810515463059545</v>
      </c>
    </row>
    <row r="327" spans="17:35" x14ac:dyDescent="0.25">
      <c r="Q327" s="57"/>
      <c r="R327" s="57"/>
      <c r="Z327">
        <v>295</v>
      </c>
      <c r="AA327" s="58">
        <v>198.73661850293956</v>
      </c>
      <c r="AB327" s="59">
        <v>121.58987128561623</v>
      </c>
      <c r="AC327" s="59">
        <v>320.32648978855582</v>
      </c>
      <c r="AD327" s="60">
        <v>77.146747217323338</v>
      </c>
      <c r="AE327" s="61">
        <v>0.46673920758959325</v>
      </c>
      <c r="AF327" s="62">
        <v>0.3011079784922337</v>
      </c>
      <c r="AG327" s="62">
        <v>0.767847186081827</v>
      </c>
      <c r="AH327" s="63">
        <v>0.16563122909735956</v>
      </c>
      <c r="AI327" s="78">
        <v>13.777354755495262</v>
      </c>
    </row>
    <row r="328" spans="17:35" x14ac:dyDescent="0.25">
      <c r="Q328" s="57"/>
      <c r="R328" s="57"/>
      <c r="Z328">
        <v>296</v>
      </c>
      <c r="AA328" s="58">
        <v>197.75054841625783</v>
      </c>
      <c r="AB328" s="59">
        <v>120.93032815795847</v>
      </c>
      <c r="AC328" s="59">
        <v>318.68087657421631</v>
      </c>
      <c r="AD328" s="60">
        <v>76.820220258299358</v>
      </c>
      <c r="AE328" s="61">
        <v>0.46441960686554751</v>
      </c>
      <c r="AF328" s="62">
        <v>0.29948440845601088</v>
      </c>
      <c r="AG328" s="62">
        <v>0.76390401532155838</v>
      </c>
      <c r="AH328" s="63">
        <v>0.16493519840953663</v>
      </c>
      <c r="AI328" s="78">
        <v>13.750586973961317</v>
      </c>
    </row>
    <row r="329" spans="17:35" x14ac:dyDescent="0.25">
      <c r="Q329" s="57"/>
      <c r="R329" s="57"/>
      <c r="Z329">
        <v>297</v>
      </c>
      <c r="AA329" s="58">
        <v>196.76514308894957</v>
      </c>
      <c r="AB329" s="59">
        <v>120.27061856962764</v>
      </c>
      <c r="AC329" s="59">
        <v>317.0357616585772</v>
      </c>
      <c r="AD329" s="60">
        <v>76.494524519321928</v>
      </c>
      <c r="AE329" s="61">
        <v>0.46210154854269331</v>
      </c>
      <c r="AF329" s="62">
        <v>0.2978604328588525</v>
      </c>
      <c r="AG329" s="62">
        <v>0.75996198140154581</v>
      </c>
      <c r="AH329" s="63">
        <v>0.16424111568384081</v>
      </c>
      <c r="AI329" s="78">
        <v>13.736274880877996</v>
      </c>
    </row>
    <row r="330" spans="17:35" x14ac:dyDescent="0.25">
      <c r="Q330" s="57"/>
      <c r="R330" s="57"/>
      <c r="Z330">
        <v>298</v>
      </c>
      <c r="AA330" s="58">
        <v>195.85817936772983</v>
      </c>
      <c r="AB330" s="59">
        <v>119.59113237769883</v>
      </c>
      <c r="AC330" s="59">
        <v>315.44931174542864</v>
      </c>
      <c r="AD330" s="60">
        <v>76.267046990031005</v>
      </c>
      <c r="AE330" s="61">
        <v>0.45996549356046107</v>
      </c>
      <c r="AF330" s="62">
        <v>0.29618837410726956</v>
      </c>
      <c r="AG330" s="62">
        <v>0.75615386766773063</v>
      </c>
      <c r="AH330" s="63">
        <v>0.16377711945319151</v>
      </c>
      <c r="AI330" s="78">
        <v>13.72228496357546</v>
      </c>
    </row>
    <row r="331" spans="17:35" x14ac:dyDescent="0.25">
      <c r="Q331" s="57"/>
      <c r="R331" s="57"/>
      <c r="Z331">
        <v>299</v>
      </c>
      <c r="AA331" s="58">
        <v>195.00506115577431</v>
      </c>
      <c r="AB331" s="59">
        <v>118.89837641965879</v>
      </c>
      <c r="AC331" s="59">
        <v>313.90343757543309</v>
      </c>
      <c r="AD331" s="60">
        <v>76.106684736115525</v>
      </c>
      <c r="AE331" s="61">
        <v>0.45795437307475767</v>
      </c>
      <c r="AF331" s="62">
        <v>0.29448397915364616</v>
      </c>
      <c r="AG331" s="62">
        <v>0.75243835222840383</v>
      </c>
      <c r="AH331" s="63">
        <v>0.16347039392111151</v>
      </c>
      <c r="AI331" s="78">
        <v>13.708295046272925</v>
      </c>
    </row>
    <row r="332" spans="17:35" x14ac:dyDescent="0.25">
      <c r="Q332" s="57"/>
      <c r="R332" s="57"/>
      <c r="Z332">
        <v>300</v>
      </c>
      <c r="AA332" s="58">
        <v>194.15194294381874</v>
      </c>
      <c r="AB332" s="59">
        <v>118.20601098658823</v>
      </c>
      <c r="AC332" s="59">
        <v>312.35795393040695</v>
      </c>
      <c r="AD332" s="60">
        <v>75.945931957230513</v>
      </c>
      <c r="AE332" s="61">
        <v>0.45594325258905427</v>
      </c>
      <c r="AF332" s="62">
        <v>0.29278043974598739</v>
      </c>
      <c r="AG332" s="62">
        <v>0.74872369233504166</v>
      </c>
      <c r="AH332" s="63">
        <v>0.16316281284306688</v>
      </c>
      <c r="AI332" s="78">
        <v>13.694305128970388</v>
      </c>
    </row>
    <row r="333" spans="17:35" x14ac:dyDescent="0.25">
      <c r="Q333" s="57"/>
      <c r="R333" s="57"/>
      <c r="Z333">
        <v>301</v>
      </c>
      <c r="AA333" s="58">
        <v>193.38405016420117</v>
      </c>
      <c r="AB333" s="59">
        <v>117.65094592622539</v>
      </c>
      <c r="AC333" s="59">
        <v>311.03499609042655</v>
      </c>
      <c r="AD333" s="60">
        <v>75.73310423797578</v>
      </c>
      <c r="AE333" s="61">
        <v>0.45413683935097998</v>
      </c>
      <c r="AF333" s="62">
        <v>0.29140757658977795</v>
      </c>
      <c r="AG333" s="62">
        <v>0.74554441594075793</v>
      </c>
      <c r="AH333" s="63">
        <v>0.16272926276120203</v>
      </c>
      <c r="AI333" s="78">
        <v>13.680315211667853</v>
      </c>
    </row>
    <row r="334" spans="17:35" x14ac:dyDescent="0.25">
      <c r="Q334" s="57"/>
      <c r="R334" s="57"/>
      <c r="Z334">
        <v>302</v>
      </c>
      <c r="AA334" s="58">
        <v>192.71956109473331</v>
      </c>
      <c r="AB334" s="59">
        <v>117.26215110348637</v>
      </c>
      <c r="AC334" s="59">
        <v>309.98171219821967</v>
      </c>
      <c r="AD334" s="60">
        <v>75.457409991246934</v>
      </c>
      <c r="AE334" s="61">
        <v>0.45257879667928158</v>
      </c>
      <c r="AF334" s="62">
        <v>0.29043522606768529</v>
      </c>
      <c r="AG334" s="62">
        <v>0.74301402274696682</v>
      </c>
      <c r="AH334" s="63">
        <v>0.16214357061159629</v>
      </c>
      <c r="AI334" s="78">
        <v>13.666325294365318</v>
      </c>
    </row>
    <row r="335" spans="17:35" x14ac:dyDescent="0.25">
      <c r="Q335" s="57"/>
      <c r="R335" s="57"/>
      <c r="Z335">
        <v>303</v>
      </c>
      <c r="AA335" s="58">
        <v>192.05530810679556</v>
      </c>
      <c r="AB335" s="59">
        <v>116.87381371825222</v>
      </c>
      <c r="AC335" s="59">
        <v>308.92912182504779</v>
      </c>
      <c r="AD335" s="60">
        <v>75.181494388543342</v>
      </c>
      <c r="AE335" s="61">
        <v>0.45102132106367093</v>
      </c>
      <c r="AF335" s="62">
        <v>0.28946395508161143</v>
      </c>
      <c r="AG335" s="62">
        <v>0.74048527614528237</v>
      </c>
      <c r="AH335" s="63">
        <v>0.1615573659820595</v>
      </c>
      <c r="AI335" s="78">
        <v>13.652335377062782</v>
      </c>
    </row>
    <row r="336" spans="17:35" x14ac:dyDescent="0.25">
      <c r="Q336" s="57"/>
      <c r="R336" s="57"/>
      <c r="Z336">
        <v>304</v>
      </c>
      <c r="AA336" s="58">
        <v>191.39105511885774</v>
      </c>
      <c r="AB336" s="59">
        <v>116.48555528400503</v>
      </c>
      <c r="AC336" s="59">
        <v>307.87661040286275</v>
      </c>
      <c r="AD336" s="60">
        <v>74.905499834852705</v>
      </c>
      <c r="AE336" s="61">
        <v>0.44946384544806012</v>
      </c>
      <c r="AF336" s="62">
        <v>0.28849285163736677</v>
      </c>
      <c r="AG336" s="62">
        <v>0.73795669708542688</v>
      </c>
      <c r="AH336" s="63">
        <v>0.16097099381069335</v>
      </c>
      <c r="AI336" s="78">
        <v>13.638345459760245</v>
      </c>
    </row>
    <row r="337" spans="17:35" x14ac:dyDescent="0.25">
      <c r="Q337" s="57"/>
      <c r="R337" s="57"/>
      <c r="Z337">
        <v>305</v>
      </c>
      <c r="AA337" s="58">
        <v>190.72680213091994</v>
      </c>
      <c r="AB337" s="59">
        <v>116.09737659284009</v>
      </c>
      <c r="AC337" s="59">
        <v>306.82417872376004</v>
      </c>
      <c r="AD337" s="60">
        <v>74.629425538079843</v>
      </c>
      <c r="AE337" s="61">
        <v>0.4479063698324493</v>
      </c>
      <c r="AF337" s="62">
        <v>0.28752191743256633</v>
      </c>
      <c r="AG337" s="62">
        <v>0.73542828726501563</v>
      </c>
      <c r="AH337" s="63">
        <v>0.16038445239988297</v>
      </c>
      <c r="AI337" s="78">
        <v>13.62435554245771</v>
      </c>
    </row>
    <row r="338" spans="17:35" x14ac:dyDescent="0.25">
      <c r="Q338" s="57"/>
      <c r="R338" s="57"/>
      <c r="Z338">
        <v>306</v>
      </c>
      <c r="AA338" s="58">
        <v>190.06254914298214</v>
      </c>
      <c r="AB338" s="59">
        <v>115.7092784473177</v>
      </c>
      <c r="AC338" s="59">
        <v>305.77182759029984</v>
      </c>
      <c r="AD338" s="60">
        <v>74.353270695664435</v>
      </c>
      <c r="AE338" s="61">
        <v>0.44634889421683849</v>
      </c>
      <c r="AF338" s="62">
        <v>0.28655115418753518</v>
      </c>
      <c r="AG338" s="62">
        <v>0.73290004840437373</v>
      </c>
      <c r="AH338" s="63">
        <v>0.1597977400293033</v>
      </c>
      <c r="AI338" s="78">
        <v>13.610365625155174</v>
      </c>
    </row>
    <row r="339" spans="17:35" x14ac:dyDescent="0.25">
      <c r="Q339" s="57"/>
      <c r="R339" s="57"/>
      <c r="Z339">
        <v>307</v>
      </c>
      <c r="AA339" s="58">
        <v>189.39829615504436</v>
      </c>
      <c r="AB339" s="59">
        <v>115.32126166063449</v>
      </c>
      <c r="AC339" s="59">
        <v>304.71955781567885</v>
      </c>
      <c r="AD339" s="60">
        <v>74.077034494409872</v>
      </c>
      <c r="AE339" s="61">
        <v>0.44479141860122767</v>
      </c>
      <c r="AF339" s="62">
        <v>0.28558056364568418</v>
      </c>
      <c r="AG339" s="62">
        <v>0.73037198224691191</v>
      </c>
      <c r="AH339" s="63">
        <v>0.15921085495554349</v>
      </c>
      <c r="AI339" s="78">
        <v>13.637438222132307</v>
      </c>
    </row>
    <row r="340" spans="17:35" x14ac:dyDescent="0.25">
      <c r="Q340" s="57"/>
      <c r="R340" s="57"/>
      <c r="Z340">
        <v>308</v>
      </c>
      <c r="AA340" s="58">
        <v>188.73404316710653</v>
      </c>
      <c r="AB340" s="59">
        <v>114.93332705679671</v>
      </c>
      <c r="AC340" s="59">
        <v>303.66737022390328</v>
      </c>
      <c r="AD340" s="60">
        <v>73.800716110309821</v>
      </c>
      <c r="AE340" s="61">
        <v>0.44323394298561686</v>
      </c>
      <c r="AF340" s="62">
        <v>0.28461014757389452</v>
      </c>
      <c r="AG340" s="62">
        <v>0.72784409055951138</v>
      </c>
      <c r="AH340" s="63">
        <v>0.15862379541172233</v>
      </c>
      <c r="AI340" s="78">
        <v>13.705573333389108</v>
      </c>
    </row>
    <row r="341" spans="17:35" x14ac:dyDescent="0.25">
      <c r="Q341" s="57"/>
      <c r="R341" s="57"/>
      <c r="Z341">
        <v>309</v>
      </c>
      <c r="AA341" s="58">
        <v>188.0717147342576</v>
      </c>
      <c r="AB341" s="59">
        <v>114.5428369284141</v>
      </c>
      <c r="AC341" s="59">
        <v>302.61455166267172</v>
      </c>
      <c r="AD341" s="60">
        <v>73.528877805843493</v>
      </c>
      <c r="AE341" s="61">
        <v>0.44168071498943284</v>
      </c>
      <c r="AF341" s="62">
        <v>0.28363411992605059</v>
      </c>
      <c r="AG341" s="62">
        <v>0.72531483491548343</v>
      </c>
      <c r="AH341" s="63">
        <v>0.15804659506338226</v>
      </c>
      <c r="AI341" s="78">
        <v>13.773708444645907</v>
      </c>
    </row>
    <row r="342" spans="17:35" x14ac:dyDescent="0.25">
      <c r="Q342" s="57"/>
      <c r="R342" s="57"/>
      <c r="Z342">
        <v>310</v>
      </c>
      <c r="AA342" s="58">
        <v>187.43975150392214</v>
      </c>
      <c r="AB342" s="59">
        <v>114.11077466524385</v>
      </c>
      <c r="AC342" s="59">
        <v>301.55052616916601</v>
      </c>
      <c r="AD342" s="60">
        <v>73.328976838678287</v>
      </c>
      <c r="AE342" s="61">
        <v>0.44019450498864915</v>
      </c>
      <c r="AF342" s="62">
        <v>0.28256689785346156</v>
      </c>
      <c r="AG342" s="62">
        <v>0.72276140284211077</v>
      </c>
      <c r="AH342" s="63">
        <v>0.15762760713518759</v>
      </c>
      <c r="AI342" s="78">
        <v>13.841843555902706</v>
      </c>
    </row>
    <row r="343" spans="17:35" x14ac:dyDescent="0.25">
      <c r="Q343" s="57"/>
      <c r="R343" s="57"/>
      <c r="Z343">
        <v>311</v>
      </c>
      <c r="AA343" s="58">
        <v>186.81826640684835</v>
      </c>
      <c r="AB343" s="59">
        <v>113.66437116830093</v>
      </c>
      <c r="AC343" s="59">
        <v>300.48263757514928</v>
      </c>
      <c r="AD343" s="60">
        <v>73.15389523854742</v>
      </c>
      <c r="AE343" s="61">
        <v>0.43873142091585587</v>
      </c>
      <c r="AF343" s="62">
        <v>0.28146821809003869</v>
      </c>
      <c r="AG343" s="62">
        <v>0.72019963900589457</v>
      </c>
      <c r="AH343" s="63">
        <v>0.15726320282581718</v>
      </c>
      <c r="AI343" s="78">
        <v>13.909978667159505</v>
      </c>
    </row>
    <row r="344" spans="17:35" x14ac:dyDescent="0.25">
      <c r="Q344" s="57"/>
      <c r="R344" s="57"/>
      <c r="Z344">
        <v>312</v>
      </c>
      <c r="AA344" s="58">
        <v>186.19678130977454</v>
      </c>
      <c r="AB344" s="59">
        <v>113.21799256429175</v>
      </c>
      <c r="AC344" s="59">
        <v>299.41477387406627</v>
      </c>
      <c r="AD344" s="60">
        <v>72.978788745482788</v>
      </c>
      <c r="AE344" s="61">
        <v>0.43726833684306232</v>
      </c>
      <c r="AF344" s="62">
        <v>0.28036959371539316</v>
      </c>
      <c r="AG344" s="62">
        <v>0.71763793055845548</v>
      </c>
      <c r="AH344" s="63">
        <v>0.15689874312766916</v>
      </c>
      <c r="AI344" s="78">
        <v>13.978113778416308</v>
      </c>
    </row>
    <row r="345" spans="17:35" x14ac:dyDescent="0.25">
      <c r="Q345" s="57"/>
      <c r="R345" s="57"/>
      <c r="Z345">
        <v>313</v>
      </c>
      <c r="AA345" s="58">
        <v>185.57529621270069</v>
      </c>
      <c r="AB345" s="59">
        <v>112.77163914881388</v>
      </c>
      <c r="AC345" s="59">
        <v>298.34693536151457</v>
      </c>
      <c r="AD345" s="60">
        <v>72.803657063886817</v>
      </c>
      <c r="AE345" s="61">
        <v>0.43580525277026899</v>
      </c>
      <c r="AF345" s="62">
        <v>0.27927102538320575</v>
      </c>
      <c r="AG345" s="62">
        <v>0.71507627815347474</v>
      </c>
      <c r="AH345" s="63">
        <v>0.15653422738706324</v>
      </c>
      <c r="AI345" s="78">
        <v>14.046248889673109</v>
      </c>
    </row>
    <row r="346" spans="17:35" x14ac:dyDescent="0.25">
      <c r="Q346" s="57"/>
      <c r="R346" s="57"/>
      <c r="Z346">
        <v>314</v>
      </c>
      <c r="AA346" s="58">
        <v>184.95381111562696</v>
      </c>
      <c r="AB346" s="59">
        <v>112.32531122214642</v>
      </c>
      <c r="AC346" s="59">
        <v>297.2791223377734</v>
      </c>
      <c r="AD346" s="60">
        <v>72.628499893480537</v>
      </c>
      <c r="AE346" s="61">
        <v>0.43434216869747561</v>
      </c>
      <c r="AF346" s="62">
        <v>0.27817251375745167</v>
      </c>
      <c r="AG346" s="62">
        <v>0.71251468245492733</v>
      </c>
      <c r="AH346" s="63">
        <v>0.15616965494002394</v>
      </c>
      <c r="AI346" s="78">
        <v>14.114384000929908</v>
      </c>
    </row>
    <row r="347" spans="17:35" x14ac:dyDescent="0.25">
      <c r="Q347" s="57"/>
      <c r="R347" s="57"/>
      <c r="Z347">
        <v>315</v>
      </c>
      <c r="AA347" s="58">
        <v>184.33232601855312</v>
      </c>
      <c r="AB347" s="59">
        <v>111.87900908934311</v>
      </c>
      <c r="AC347" s="59">
        <v>296.21133510789622</v>
      </c>
      <c r="AD347" s="60">
        <v>72.453316929210004</v>
      </c>
      <c r="AE347" s="61">
        <v>0.43287908462468216</v>
      </c>
      <c r="AF347" s="62">
        <v>0.27707405951259967</v>
      </c>
      <c r="AG347" s="62">
        <v>0.70995314413728183</v>
      </c>
      <c r="AH347" s="63">
        <v>0.1558050251120825</v>
      </c>
      <c r="AI347" s="78">
        <v>14.182519112186709</v>
      </c>
    </row>
    <row r="348" spans="17:35" x14ac:dyDescent="0.25">
      <c r="Q348" s="57"/>
      <c r="R348" s="57"/>
      <c r="Z348">
        <v>316</v>
      </c>
      <c r="AA348" s="58">
        <v>183.7108409214793</v>
      </c>
      <c r="AB348" s="59">
        <v>111.43273306032714</v>
      </c>
      <c r="AC348" s="59">
        <v>295.14357398180641</v>
      </c>
      <c r="AD348" s="60">
        <v>72.278107861152165</v>
      </c>
      <c r="AE348" s="61">
        <v>0.43141600055188872</v>
      </c>
      <c r="AF348" s="62">
        <v>0.2759756633338229</v>
      </c>
      <c r="AG348" s="62">
        <v>0.70739166388571162</v>
      </c>
      <c r="AH348" s="63">
        <v>0.15544033721806583</v>
      </c>
      <c r="AI348" s="78">
        <v>14.250654223443508</v>
      </c>
    </row>
    <row r="349" spans="17:35" x14ac:dyDescent="0.25">
      <c r="Q349" s="57"/>
      <c r="R349" s="57"/>
      <c r="Z349">
        <v>317</v>
      </c>
      <c r="AA349" s="58">
        <v>183.08935582440549</v>
      </c>
      <c r="AB349" s="59">
        <v>110.98648344998797</v>
      </c>
      <c r="AC349" s="59">
        <v>294.07583927439345</v>
      </c>
      <c r="AD349" s="60">
        <v>72.102872374417515</v>
      </c>
      <c r="AE349" s="61">
        <v>0.42995291647909539</v>
      </c>
      <c r="AF349" s="62">
        <v>0.27487732591720843</v>
      </c>
      <c r="AG349" s="62">
        <v>0.70483024239630376</v>
      </c>
      <c r="AH349" s="63">
        <v>0.15507559056188697</v>
      </c>
      <c r="AI349" s="78">
        <v>14.318789334700309</v>
      </c>
    </row>
    <row r="350" spans="17:35" x14ac:dyDescent="0.25">
      <c r="Q350" s="57"/>
      <c r="R350" s="57"/>
      <c r="Z350">
        <v>318</v>
      </c>
      <c r="AA350" s="58">
        <v>182.4678707273317</v>
      </c>
      <c r="AB350" s="59">
        <v>110.54026057828108</v>
      </c>
      <c r="AC350" s="59">
        <v>293.00813130561278</v>
      </c>
      <c r="AD350" s="60">
        <v>71.927610149050622</v>
      </c>
      <c r="AE350" s="61">
        <v>0.42848983240630195</v>
      </c>
      <c r="AF350" s="62">
        <v>0.27377904796997649</v>
      </c>
      <c r="AG350" s="62">
        <v>0.70226888037627844</v>
      </c>
      <c r="AH350" s="63">
        <v>0.15471078443632547</v>
      </c>
      <c r="AI350" s="78">
        <v>14.38692444595711</v>
      </c>
    </row>
    <row r="351" spans="17:35" x14ac:dyDescent="0.25">
      <c r="Q351" s="57"/>
      <c r="R351" s="57"/>
      <c r="Z351">
        <v>319</v>
      </c>
      <c r="AA351" s="58">
        <v>181.84638563025786</v>
      </c>
      <c r="AB351" s="59">
        <v>110.09406477032994</v>
      </c>
      <c r="AC351" s="59">
        <v>291.94045040058779</v>
      </c>
      <c r="AD351" s="60">
        <v>71.75232085992792</v>
      </c>
      <c r="AE351" s="61">
        <v>0.42702674833350845</v>
      </c>
      <c r="AF351" s="62">
        <v>0.27268083021070205</v>
      </c>
      <c r="AG351" s="62">
        <v>0.69970757854421051</v>
      </c>
      <c r="AH351" s="63">
        <v>0.1543459181228064</v>
      </c>
      <c r="AI351" s="78">
        <v>14.455059557213911</v>
      </c>
    </row>
    <row r="352" spans="17:35" x14ac:dyDescent="0.25">
      <c r="Q352" s="57"/>
      <c r="R352" s="57"/>
      <c r="Z352">
        <v>320</v>
      </c>
      <c r="AA352" s="58">
        <v>181.22677622344611</v>
      </c>
      <c r="AB352" s="59">
        <v>109.64748011656999</v>
      </c>
      <c r="AC352" s="59">
        <v>290.87425634001613</v>
      </c>
      <c r="AD352" s="60">
        <v>71.579296106876114</v>
      </c>
      <c r="AE352" s="61">
        <v>0.42556801631201396</v>
      </c>
      <c r="AF352" s="62">
        <v>0.27158164659168282</v>
      </c>
      <c r="AG352" s="62">
        <v>0.69714966290369684</v>
      </c>
      <c r="AH352" s="63">
        <v>0.15398636972033114</v>
      </c>
      <c r="AI352" s="78">
        <v>14.52319466847071</v>
      </c>
    </row>
    <row r="353" spans="17:35" x14ac:dyDescent="0.25">
      <c r="Q353" s="57"/>
      <c r="R353" s="57"/>
      <c r="Z353">
        <v>321</v>
      </c>
      <c r="AA353" s="58">
        <v>180.64843200239852</v>
      </c>
      <c r="AB353" s="59">
        <v>109.19183120997388</v>
      </c>
      <c r="AC353" s="59">
        <v>289.84026321237241</v>
      </c>
      <c r="AD353" s="60">
        <v>71.456600792424638</v>
      </c>
      <c r="AE353" s="61">
        <v>0.42420502941909316</v>
      </c>
      <c r="AF353" s="62">
        <v>0.27046007819379808</v>
      </c>
      <c r="AG353" s="62">
        <v>0.69466510761289124</v>
      </c>
      <c r="AH353" s="63">
        <v>0.15374495122529508</v>
      </c>
      <c r="AI353" s="78">
        <v>14.591329779727509</v>
      </c>
    </row>
    <row r="354" spans="17:35" x14ac:dyDescent="0.25">
      <c r="Q354" s="57"/>
      <c r="R354" s="57"/>
      <c r="Z354">
        <v>322</v>
      </c>
      <c r="AA354" s="58">
        <v>180.08696899370906</v>
      </c>
      <c r="AB354" s="59">
        <v>108.73266369180871</v>
      </c>
      <c r="AC354" s="59">
        <v>288.81963268551777</v>
      </c>
      <c r="AD354" s="60">
        <v>71.354305301900354</v>
      </c>
      <c r="AE354" s="61">
        <v>0.42288121098786163</v>
      </c>
      <c r="AF354" s="62">
        <v>0.26932976666016317</v>
      </c>
      <c r="AG354" s="62">
        <v>0.69221097764802475</v>
      </c>
      <c r="AH354" s="63">
        <v>0.15355144432769846</v>
      </c>
      <c r="AI354" s="78">
        <v>14.65946489098431</v>
      </c>
    </row>
    <row r="355" spans="17:35" x14ac:dyDescent="0.25">
      <c r="Q355" s="57"/>
      <c r="R355" s="57"/>
      <c r="Z355">
        <v>323</v>
      </c>
      <c r="AA355" s="58">
        <v>179.52550598501958</v>
      </c>
      <c r="AB355" s="59">
        <v>108.27373006839373</v>
      </c>
      <c r="AC355" s="59">
        <v>287.79923605341332</v>
      </c>
      <c r="AD355" s="60">
        <v>71.251775916625846</v>
      </c>
      <c r="AE355" s="61">
        <v>0.42155739255663011</v>
      </c>
      <c r="AF355" s="62">
        <v>0.26819996677166819</v>
      </c>
      <c r="AG355" s="62">
        <v>0.68975735932829829</v>
      </c>
      <c r="AH355" s="63">
        <v>0.15335742578496192</v>
      </c>
      <c r="AI355" s="78">
        <v>14.727600002241111</v>
      </c>
    </row>
    <row r="356" spans="17:35" x14ac:dyDescent="0.25">
      <c r="Q356" s="57"/>
      <c r="R356" s="57"/>
      <c r="Z356">
        <v>324</v>
      </c>
      <c r="AA356" s="58">
        <v>178.96404297633012</v>
      </c>
      <c r="AB356" s="59">
        <v>107.81503332657115</v>
      </c>
      <c r="AC356" s="59">
        <v>286.77907630290127</v>
      </c>
      <c r="AD356" s="60">
        <v>71.149009649758966</v>
      </c>
      <c r="AE356" s="61">
        <v>0.42023357412539863</v>
      </c>
      <c r="AF356" s="62">
        <v>0.26707068502161291</v>
      </c>
      <c r="AG356" s="62">
        <v>0.68730425914701154</v>
      </c>
      <c r="AH356" s="63">
        <v>0.15316288910378573</v>
      </c>
      <c r="AI356" s="78">
        <v>14.79573511349791</v>
      </c>
    </row>
    <row r="357" spans="17:35" x14ac:dyDescent="0.25">
      <c r="Q357" s="57"/>
      <c r="R357" s="57"/>
      <c r="Z357">
        <v>325</v>
      </c>
      <c r="AA357" s="58">
        <v>178.40257996764066</v>
      </c>
      <c r="AB357" s="59">
        <v>107.35657650267532</v>
      </c>
      <c r="AC357" s="59">
        <v>285.75915647031599</v>
      </c>
      <c r="AD357" s="60">
        <v>71.046003464965338</v>
      </c>
      <c r="AE357" s="61">
        <v>0.41890975569416722</v>
      </c>
      <c r="AF357" s="62">
        <v>0.26594192801058414</v>
      </c>
      <c r="AG357" s="62">
        <v>0.68485168370475136</v>
      </c>
      <c r="AH357" s="63">
        <v>0.15296782768358308</v>
      </c>
      <c r="AI357" s="78">
        <v>14.863870224754711</v>
      </c>
    </row>
    <row r="358" spans="17:35" x14ac:dyDescent="0.25">
      <c r="Q358" s="57"/>
      <c r="R358" s="57"/>
      <c r="Z358">
        <v>326</v>
      </c>
      <c r="AA358" s="58">
        <v>177.84111695895115</v>
      </c>
      <c r="AB358" s="59">
        <v>106.89836268352637</v>
      </c>
      <c r="AC358" s="59">
        <v>284.73947964247753</v>
      </c>
      <c r="AD358" s="60">
        <v>70.942754275424775</v>
      </c>
      <c r="AE358" s="61">
        <v>0.41758593726293564</v>
      </c>
      <c r="AF358" s="62">
        <v>0.2648137024486148</v>
      </c>
      <c r="AG358" s="62">
        <v>0.68239963971155038</v>
      </c>
      <c r="AH358" s="63">
        <v>0.15277223481432084</v>
      </c>
      <c r="AI358" s="78">
        <v>14.932005336011512</v>
      </c>
    </row>
    <row r="359" spans="17:35" x14ac:dyDescent="0.25">
      <c r="Q359" s="57"/>
      <c r="R359" s="57"/>
      <c r="Z359">
        <v>327</v>
      </c>
      <c r="AA359" s="58">
        <v>177.27965395026172</v>
      </c>
      <c r="AB359" s="59">
        <v>106.44039500744798</v>
      </c>
      <c r="AC359" s="59">
        <v>283.72004895770971</v>
      </c>
      <c r="AD359" s="60">
        <v>70.839258942813743</v>
      </c>
      <c r="AE359" s="61">
        <v>0.41626211883170422</v>
      </c>
      <c r="AF359" s="62">
        <v>0.26368601515739082</v>
      </c>
      <c r="AG359" s="62">
        <v>0.67994813398909504</v>
      </c>
      <c r="AH359" s="63">
        <v>0.1525761036743134</v>
      </c>
      <c r="AI359" s="78">
        <v>15.000140447268311</v>
      </c>
    </row>
    <row r="360" spans="17:35" x14ac:dyDescent="0.25">
      <c r="Q360" s="57"/>
      <c r="R360" s="57"/>
      <c r="Z360">
        <v>328</v>
      </c>
      <c r="AA360" s="58">
        <v>176.71819094157226</v>
      </c>
      <c r="AB360" s="59">
        <v>105.98267666530812</v>
      </c>
      <c r="AC360" s="59">
        <v>282.70086760688037</v>
      </c>
      <c r="AD360" s="60">
        <v>70.735514276264141</v>
      </c>
      <c r="AE360" s="61">
        <v>0.41493830040047275</v>
      </c>
      <c r="AF360" s="62">
        <v>0.26255887307251236</v>
      </c>
      <c r="AG360" s="62">
        <v>0.6774971734729851</v>
      </c>
      <c r="AH360" s="63">
        <v>0.15237942732796039</v>
      </c>
      <c r="AI360" s="78">
        <v>15.068275558525112</v>
      </c>
    </row>
    <row r="361" spans="17:35" x14ac:dyDescent="0.25">
      <c r="Q361" s="57"/>
      <c r="R361" s="57"/>
      <c r="Z361">
        <v>329</v>
      </c>
      <c r="AA361" s="58">
        <v>176.15672793288275</v>
      </c>
      <c r="AB361" s="59">
        <v>105.52521090158405</v>
      </c>
      <c r="AC361" s="59">
        <v>281.68193883446679</v>
      </c>
      <c r="AD361" s="60">
        <v>70.631517031298699</v>
      </c>
      <c r="AE361" s="61">
        <v>0.41361448196924117</v>
      </c>
      <c r="AF361" s="62">
        <v>0.26143228324580553</v>
      </c>
      <c r="AG361" s="62">
        <v>0.6750467652150467</v>
      </c>
      <c r="AH361" s="63">
        <v>0.15218219872343564</v>
      </c>
      <c r="AI361" s="78">
        <v>15.136410669781913</v>
      </c>
    </row>
    <row r="362" spans="17:35" x14ac:dyDescent="0.25">
      <c r="Q362" s="57"/>
      <c r="R362" s="57"/>
      <c r="Z362">
        <v>330</v>
      </c>
      <c r="AA362" s="58">
        <v>175.59526492419323</v>
      </c>
      <c r="AB362" s="59">
        <v>105.06800101545275</v>
      </c>
      <c r="AC362" s="59">
        <v>280.66326593964595</v>
      </c>
      <c r="AD362" s="60">
        <v>70.52726390874048</v>
      </c>
      <c r="AE362" s="61">
        <v>0.41229066353800964</v>
      </c>
      <c r="AF362" s="62">
        <v>0.26030625284769071</v>
      </c>
      <c r="AG362" s="62">
        <v>0.67259691638570041</v>
      </c>
      <c r="AH362" s="63">
        <v>0.15198441069031893</v>
      </c>
      <c r="AI362" s="78">
        <v>15.204545781038712</v>
      </c>
    </row>
    <row r="363" spans="17:35" x14ac:dyDescent="0.25">
      <c r="Q363" s="57"/>
      <c r="R363" s="57"/>
      <c r="Z363">
        <v>331</v>
      </c>
      <c r="AA363" s="58">
        <v>175.0338019155038</v>
      </c>
      <c r="AB363" s="59">
        <v>104.61105036190683</v>
      </c>
      <c r="AC363" s="59">
        <v>279.64485227741062</v>
      </c>
      <c r="AD363" s="60">
        <v>70.422751553596967</v>
      </c>
      <c r="AE363" s="61">
        <v>0.41096684510677822</v>
      </c>
      <c r="AF363" s="62">
        <v>0.25918078916960735</v>
      </c>
      <c r="AG363" s="62">
        <v>0.67014763427638557</v>
      </c>
      <c r="AH363" s="63">
        <v>0.15178605593717087</v>
      </c>
      <c r="AI363" s="78">
        <v>15.272680892295513</v>
      </c>
    </row>
    <row r="364" spans="17:35" x14ac:dyDescent="0.25">
      <c r="Q364" s="57"/>
      <c r="R364" s="57"/>
      <c r="Z364">
        <v>332</v>
      </c>
      <c r="AA364" s="58">
        <v>174.47233890681434</v>
      </c>
      <c r="AB364" s="59">
        <v>104.15436235289667</v>
      </c>
      <c r="AC364" s="59">
        <v>278.62670125971101</v>
      </c>
      <c r="AD364" s="60">
        <v>70.317976553917674</v>
      </c>
      <c r="AE364" s="61">
        <v>0.40964302667554681</v>
      </c>
      <c r="AF364" s="62">
        <v>0.25805589962649267</v>
      </c>
      <c r="AG364" s="62">
        <v>0.66769892630203942</v>
      </c>
      <c r="AH364" s="63">
        <v>0.15158712704905414</v>
      </c>
      <c r="AI364" s="78">
        <v>15.340816003552312</v>
      </c>
    </row>
    <row r="365" spans="17:35" x14ac:dyDescent="0.25">
      <c r="Q365" s="57"/>
      <c r="R365" s="57"/>
      <c r="Z365">
        <v>333</v>
      </c>
      <c r="AA365" s="58">
        <v>173.91087589812489</v>
      </c>
      <c r="AB365" s="59">
        <v>103.69794045849918</v>
      </c>
      <c r="AC365" s="59">
        <v>277.60881635662406</v>
      </c>
      <c r="AD365" s="60">
        <v>70.21293543962571</v>
      </c>
      <c r="AE365" s="61">
        <v>0.40831920824431522</v>
      </c>
      <c r="AF365" s="62">
        <v>0.25693159175932423</v>
      </c>
      <c r="AG365" s="62">
        <v>0.66525080000363945</v>
      </c>
      <c r="AH365" s="63">
        <v>0.15138761648499099</v>
      </c>
      <c r="AI365" s="78">
        <v>15.408951114809115</v>
      </c>
    </row>
    <row r="366" spans="17:35" x14ac:dyDescent="0.25">
      <c r="Q366" s="57"/>
      <c r="R366" s="57"/>
      <c r="Z366">
        <v>334</v>
      </c>
      <c r="AA366" s="58">
        <v>173.34941288943537</v>
      </c>
      <c r="AB366" s="59">
        <v>103.24178820811481</v>
      </c>
      <c r="AC366" s="59">
        <v>276.5912010975502</v>
      </c>
      <c r="AD366" s="60">
        <v>70.107624681320559</v>
      </c>
      <c r="AE366" s="61">
        <v>0.40699538981308375</v>
      </c>
      <c r="AF366" s="62">
        <v>0.25580787323771953</v>
      </c>
      <c r="AG366" s="62">
        <v>0.66280326305080328</v>
      </c>
      <c r="AH366" s="63">
        <v>0.15118751657536422</v>
      </c>
      <c r="AI366" s="78">
        <v>15.477086226065914</v>
      </c>
    </row>
    <row r="367" spans="17:35" x14ac:dyDescent="0.25">
      <c r="Q367" s="57"/>
      <c r="R367" s="57"/>
      <c r="Z367">
        <v>335</v>
      </c>
      <c r="AA367" s="58">
        <v>172.78794988074591</v>
      </c>
      <c r="AB367" s="59">
        <v>102.78590919169275</v>
      </c>
      <c r="AC367" s="59">
        <v>275.57385907243867</v>
      </c>
      <c r="AD367" s="60">
        <v>70.00204068905316</v>
      </c>
      <c r="AE367" s="61">
        <v>0.40567157138185223</v>
      </c>
      <c r="AF367" s="62">
        <v>0.25468475186259953</v>
      </c>
      <c r="AG367" s="62">
        <v>0.66035632324445181</v>
      </c>
      <c r="AH367" s="63">
        <v>0.15098681951925269</v>
      </c>
      <c r="AI367" s="78">
        <v>15.545221337322715</v>
      </c>
    </row>
    <row r="368" spans="17:35" x14ac:dyDescent="0.25">
      <c r="Q368" s="57"/>
      <c r="R368" s="57"/>
      <c r="Z368">
        <v>336</v>
      </c>
      <c r="AA368" s="58">
        <v>172.22648687205643</v>
      </c>
      <c r="AB368" s="59">
        <v>102.33030706098464</v>
      </c>
      <c r="AC368" s="59">
        <v>274.55679393304104</v>
      </c>
      <c r="AD368" s="60">
        <v>69.896179811071789</v>
      </c>
      <c r="AE368" s="61">
        <v>0.4043477529506207</v>
      </c>
      <c r="AF368" s="62">
        <v>0.25356223556891533</v>
      </c>
      <c r="AG368" s="62">
        <v>0.65790998851953608</v>
      </c>
      <c r="AH368" s="63">
        <v>0.15078551738170537</v>
      </c>
      <c r="AI368" s="78">
        <v>15.613356448579514</v>
      </c>
    </row>
    <row r="369" spans="17:35" x14ac:dyDescent="0.25">
      <c r="Q369" s="57"/>
      <c r="R369" s="57"/>
      <c r="Z369">
        <v>337</v>
      </c>
      <c r="AA369" s="58">
        <v>171.66502386336697</v>
      </c>
      <c r="AB369" s="59">
        <v>101.87498553082972</v>
      </c>
      <c r="AC369" s="59">
        <v>273.54000939419666</v>
      </c>
      <c r="AD369" s="60">
        <v>69.79003833253725</v>
      </c>
      <c r="AE369" s="61">
        <v>0.40302393451938928</v>
      </c>
      <c r="AF369" s="62">
        <v>0.25244033242844111</v>
      </c>
      <c r="AG369" s="62">
        <v>0.65546426694783033</v>
      </c>
      <c r="AH369" s="63">
        <v>0.15058360209094818</v>
      </c>
      <c r="AI369" s="78">
        <v>15.681491559836314</v>
      </c>
    </row>
    <row r="370" spans="17:35" x14ac:dyDescent="0.25">
      <c r="Q370" s="57"/>
      <c r="R370" s="57"/>
      <c r="Z370">
        <v>338</v>
      </c>
      <c r="AA370" s="58">
        <v>171.10356085467751</v>
      </c>
      <c r="AB370" s="59">
        <v>101.41994838046894</v>
      </c>
      <c r="AC370" s="59">
        <v>272.52350923514643</v>
      </c>
      <c r="AD370" s="60">
        <v>69.683612474208573</v>
      </c>
      <c r="AE370" s="61">
        <v>0.40170011608815775</v>
      </c>
      <c r="AF370" s="62">
        <v>0.2513190506526341</v>
      </c>
      <c r="AG370" s="62">
        <v>0.65301916674079186</v>
      </c>
      <c r="AH370" s="63">
        <v>0.15038106543552365</v>
      </c>
      <c r="AI370" s="78">
        <v>15.749626671093115</v>
      </c>
    </row>
    <row r="371" spans="17:35" x14ac:dyDescent="0.25">
      <c r="Q371" s="57"/>
      <c r="R371" s="57"/>
      <c r="Z371">
        <v>339</v>
      </c>
      <c r="AA371" s="58">
        <v>170.53922395379013</v>
      </c>
      <c r="AB371" s="59">
        <v>100.96066382970483</v>
      </c>
      <c r="AC371" s="59">
        <v>271.49988778349496</v>
      </c>
      <c r="AD371" s="60">
        <v>69.5785601240853</v>
      </c>
      <c r="AE371" s="61">
        <v>0.40036939471087285</v>
      </c>
      <c r="AF371" s="62">
        <v>0.25018745576139778</v>
      </c>
      <c r="AG371" s="62">
        <v>0.65055685047227063</v>
      </c>
      <c r="AH371" s="63">
        <v>0.15018193894947507</v>
      </c>
      <c r="AI371" s="78">
        <v>15.817761782349915</v>
      </c>
    </row>
    <row r="372" spans="17:35" x14ac:dyDescent="0.25">
      <c r="Q372" s="57"/>
      <c r="R372" s="57"/>
      <c r="Z372">
        <v>340</v>
      </c>
      <c r="AA372" s="58">
        <v>169.92954342044763</v>
      </c>
      <c r="AB372" s="59">
        <v>100.43017804034197</v>
      </c>
      <c r="AC372" s="59">
        <v>270.35972146078961</v>
      </c>
      <c r="AD372" s="60">
        <v>69.499365380105658</v>
      </c>
      <c r="AE372" s="61">
        <v>0.39892976018474524</v>
      </c>
      <c r="AF372" s="62">
        <v>0.24888399714115345</v>
      </c>
      <c r="AG372" s="62">
        <v>0.64781375732589863</v>
      </c>
      <c r="AH372" s="63">
        <v>0.1500457630435918</v>
      </c>
      <c r="AI372" s="78">
        <v>15.902377440472792</v>
      </c>
    </row>
    <row r="373" spans="17:35" x14ac:dyDescent="0.25">
      <c r="Q373" s="57"/>
      <c r="R373" s="57"/>
      <c r="Z373">
        <v>341</v>
      </c>
      <c r="AA373" s="58">
        <v>169.30421614069459</v>
      </c>
      <c r="AB373" s="59">
        <v>99.875473027152353</v>
      </c>
      <c r="AC373" s="59">
        <v>269.17968916784696</v>
      </c>
      <c r="AD373" s="60">
        <v>69.428743113542239</v>
      </c>
      <c r="AE373" s="61">
        <v>0.39745254295232696</v>
      </c>
      <c r="AF373" s="62">
        <v>0.24752200198954372</v>
      </c>
      <c r="AG373" s="62">
        <v>0.64497454494187068</v>
      </c>
      <c r="AH373" s="63">
        <v>0.14993054096278324</v>
      </c>
      <c r="AI373" s="78">
        <v>16.037562200758192</v>
      </c>
    </row>
    <row r="374" spans="17:35" x14ac:dyDescent="0.25">
      <c r="Q374" s="57"/>
      <c r="R374" s="57"/>
      <c r="Z374">
        <v>342</v>
      </c>
      <c r="AA374" s="58">
        <v>168.6788888609415</v>
      </c>
      <c r="AB374" s="59">
        <v>99.321251215956906</v>
      </c>
      <c r="AC374" s="59">
        <v>268.00014007689839</v>
      </c>
      <c r="AD374" s="60">
        <v>69.357637644984592</v>
      </c>
      <c r="AE374" s="61">
        <v>0.39597532571990862</v>
      </c>
      <c r="AF374" s="62">
        <v>0.246161066381229</v>
      </c>
      <c r="AG374" s="62">
        <v>0.6421363921011376</v>
      </c>
      <c r="AH374" s="63">
        <v>0.14981425933867962</v>
      </c>
      <c r="AI374" s="78">
        <v>16.176286209954156</v>
      </c>
    </row>
    <row r="375" spans="17:35" x14ac:dyDescent="0.25">
      <c r="Q375" s="57"/>
      <c r="R375" s="57"/>
      <c r="Z375">
        <v>343</v>
      </c>
      <c r="AA375" s="58">
        <v>168.0535615811884</v>
      </c>
      <c r="AB375" s="59">
        <v>98.767520741042091</v>
      </c>
      <c r="AC375" s="59">
        <v>266.8210823222305</v>
      </c>
      <c r="AD375" s="60">
        <v>69.286040840146313</v>
      </c>
      <c r="AE375" s="61">
        <v>0.39449810848749028</v>
      </c>
      <c r="AF375" s="62">
        <v>0.2448012079873268</v>
      </c>
      <c r="AG375" s="62">
        <v>0.63929931647481708</v>
      </c>
      <c r="AH375" s="63">
        <v>0.14969690050016349</v>
      </c>
      <c r="AI375" s="78">
        <v>16.315010219150118</v>
      </c>
    </row>
    <row r="376" spans="17:35" x14ac:dyDescent="0.25">
      <c r="Q376" s="57"/>
      <c r="R376" s="57"/>
      <c r="Z376">
        <v>344</v>
      </c>
      <c r="AA376" s="58">
        <v>167.42823430143537</v>
      </c>
      <c r="AB376" s="59">
        <v>98.214289912844464</v>
      </c>
      <c r="AC376" s="59">
        <v>265.64252421427983</v>
      </c>
      <c r="AD376" s="60">
        <v>69.213944388590903</v>
      </c>
      <c r="AE376" s="61">
        <v>0.39302089125507195</v>
      </c>
      <c r="AF376" s="62">
        <v>0.243442444859649</v>
      </c>
      <c r="AG376" s="62">
        <v>0.63646333611472095</v>
      </c>
      <c r="AH376" s="63">
        <v>0.14957844639542295</v>
      </c>
      <c r="AI376" s="78">
        <v>16.445885301135661</v>
      </c>
    </row>
    <row r="377" spans="17:35" x14ac:dyDescent="0.25">
      <c r="Q377" s="57"/>
      <c r="R377" s="57"/>
      <c r="Z377">
        <v>345</v>
      </c>
      <c r="AA377" s="58">
        <v>166.80290702168224</v>
      </c>
      <c r="AB377" s="59">
        <v>97.661567222523701</v>
      </c>
      <c r="AC377" s="59">
        <v>264.46447424420592</v>
      </c>
      <c r="AD377" s="60">
        <v>69.141339799158544</v>
      </c>
      <c r="AE377" s="61">
        <v>0.39154367402265366</v>
      </c>
      <c r="AF377" s="62">
        <v>0.24208479544058584</v>
      </c>
      <c r="AG377" s="62">
        <v>0.63362846946323947</v>
      </c>
      <c r="AH377" s="63">
        <v>0.14945887858206783</v>
      </c>
      <c r="AI377" s="78">
        <v>16.273311775762917</v>
      </c>
    </row>
    <row r="378" spans="17:35" x14ac:dyDescent="0.25">
      <c r="Q378" s="57"/>
      <c r="R378" s="57"/>
      <c r="Z378">
        <v>346</v>
      </c>
      <c r="AA378" s="58">
        <v>166.17757974192915</v>
      </c>
      <c r="AB378" s="59">
        <v>97.10936134666882</v>
      </c>
      <c r="AC378" s="59">
        <v>263.28694108859798</v>
      </c>
      <c r="AD378" s="60">
        <v>69.068218395260331</v>
      </c>
      <c r="AE378" s="61">
        <v>0.39006645679023522</v>
      </c>
      <c r="AF378" s="62">
        <v>0.24072827857328222</v>
      </c>
      <c r="AG378" s="62">
        <v>0.63079473536351749</v>
      </c>
      <c r="AH378" s="63">
        <v>0.149338178216953</v>
      </c>
      <c r="AI378" s="78">
        <v>15.944992182355275</v>
      </c>
    </row>
    <row r="379" spans="17:35" x14ac:dyDescent="0.25">
      <c r="Q379" s="57"/>
      <c r="R379" s="57"/>
      <c r="Z379">
        <v>347</v>
      </c>
      <c r="AA379" s="58">
        <v>165.55225246217609</v>
      </c>
      <c r="AB379" s="59">
        <v>96.557681152145676</v>
      </c>
      <c r="AC379" s="59">
        <v>262.10993361432179</v>
      </c>
      <c r="AD379" s="60">
        <v>68.994571310030409</v>
      </c>
      <c r="AE379" s="61">
        <v>0.38858923955781693</v>
      </c>
      <c r="AF379" s="62">
        <v>0.23937291351211687</v>
      </c>
      <c r="AG379" s="62">
        <v>0.62796215306993375</v>
      </c>
      <c r="AH379" s="63">
        <v>0.14921632604570007</v>
      </c>
      <c r="AI379" s="78">
        <v>15.616672588947633</v>
      </c>
    </row>
    <row r="380" spans="17:35" x14ac:dyDescent="0.25">
      <c r="Q380" s="57"/>
      <c r="R380" s="57"/>
      <c r="Z380">
        <v>348</v>
      </c>
      <c r="AA380" s="58">
        <v>164.92692518242302</v>
      </c>
      <c r="AB380" s="59">
        <v>96.006535701087103</v>
      </c>
      <c r="AC380" s="59">
        <v>260.93346088351012</v>
      </c>
      <c r="AD380" s="60">
        <v>68.920389481335917</v>
      </c>
      <c r="AE380" s="61">
        <v>0.3871120223253986</v>
      </c>
      <c r="AF380" s="62">
        <v>0.2380187199334988</v>
      </c>
      <c r="AG380" s="62">
        <v>0.62513074225889742</v>
      </c>
      <c r="AH380" s="63">
        <v>0.1490933023918998</v>
      </c>
      <c r="AI380" s="78">
        <v>15.288352995539991</v>
      </c>
    </row>
    <row r="381" spans="17:35" x14ac:dyDescent="0.25">
      <c r="Q381" s="57"/>
      <c r="R381" s="57"/>
      <c r="Z381">
        <v>349</v>
      </c>
      <c r="AA381" s="58">
        <v>164.30159790266993</v>
      </c>
      <c r="AB381" s="59">
        <v>95.455934256032194</v>
      </c>
      <c r="AC381" s="59">
        <v>259.75753215870213</v>
      </c>
      <c r="AD381" s="60">
        <v>68.845663646637732</v>
      </c>
      <c r="AE381" s="61">
        <v>0.38563480509298026</v>
      </c>
      <c r="AF381" s="62">
        <v>0.23666571794698416</v>
      </c>
      <c r="AG381" s="62">
        <v>0.62230052303996441</v>
      </c>
      <c r="AH381" s="63">
        <v>0.1489690871459961</v>
      </c>
      <c r="AI381" s="78">
        <v>15.05030504234295</v>
      </c>
    </row>
    <row r="382" spans="17:35" x14ac:dyDescent="0.25">
      <c r="Q382" s="57"/>
      <c r="R382" s="57"/>
      <c r="Z382">
        <v>350</v>
      </c>
      <c r="AA382" s="58">
        <v>163.69137627681172</v>
      </c>
      <c r="AB382" s="59">
        <v>94.884256174749922</v>
      </c>
      <c r="AC382" s="59">
        <v>258.57563245156166</v>
      </c>
      <c r="AD382" s="60">
        <v>68.807120102061802</v>
      </c>
      <c r="AE382" s="61">
        <v>0.38419092703038293</v>
      </c>
      <c r="AF382" s="62">
        <v>0.23526656396197521</v>
      </c>
      <c r="AG382" s="62">
        <v>0.61945749099235814</v>
      </c>
      <c r="AH382" s="63">
        <v>0.14892436306840773</v>
      </c>
      <c r="AI382" s="78">
        <v>14.978356907133422</v>
      </c>
    </row>
    <row r="383" spans="17:35" x14ac:dyDescent="0.25">
      <c r="Q383" s="57"/>
      <c r="R383" s="57"/>
      <c r="Z383">
        <v>351</v>
      </c>
      <c r="AA383" s="58">
        <v>163.11058582501451</v>
      </c>
      <c r="AB383" s="59">
        <v>94.270869265606578</v>
      </c>
      <c r="AC383" s="59">
        <v>257.3814550906211</v>
      </c>
      <c r="AD383" s="60">
        <v>68.839716559407933</v>
      </c>
      <c r="AE383" s="61">
        <v>0.38281200550107325</v>
      </c>
      <c r="AF383" s="62">
        <v>0.23377608819311413</v>
      </c>
      <c r="AG383" s="62">
        <v>0.61658809369418743</v>
      </c>
      <c r="AH383" s="63">
        <v>0.14903591730795912</v>
      </c>
      <c r="AI383" s="78">
        <v>14.910019637532317</v>
      </c>
    </row>
    <row r="384" spans="17:35" x14ac:dyDescent="0.25">
      <c r="Q384" s="57"/>
      <c r="R384" s="57"/>
      <c r="Z384">
        <v>352</v>
      </c>
      <c r="AA384" s="58">
        <v>162.53055663274304</v>
      </c>
      <c r="AB384" s="59">
        <v>93.656767971762548</v>
      </c>
      <c r="AC384" s="59">
        <v>256.18732460450559</v>
      </c>
      <c r="AD384" s="60">
        <v>68.873788660980495</v>
      </c>
      <c r="AE384" s="61">
        <v>0.38143476412151284</v>
      </c>
      <c r="AF384" s="62">
        <v>0.23228406219920728</v>
      </c>
      <c r="AG384" s="62">
        <v>0.61371882632072006</v>
      </c>
      <c r="AH384" s="63">
        <v>0.14915070192230556</v>
      </c>
      <c r="AI384" s="78">
        <v>14.841682367931211</v>
      </c>
    </row>
    <row r="385" spans="17:35" x14ac:dyDescent="0.25">
      <c r="Q385" s="57"/>
      <c r="R385" s="57"/>
      <c r="Z385">
        <v>353</v>
      </c>
      <c r="AA385" s="58">
        <v>161.95052744047155</v>
      </c>
      <c r="AB385" s="59">
        <v>93.043049740026234</v>
      </c>
      <c r="AC385" s="59">
        <v>254.99357718049777</v>
      </c>
      <c r="AD385" s="60">
        <v>68.907477700445313</v>
      </c>
      <c r="AE385" s="61">
        <v>0.38005752274195248</v>
      </c>
      <c r="AF385" s="62">
        <v>0.23079288904255835</v>
      </c>
      <c r="AG385" s="62">
        <v>0.61085041178451083</v>
      </c>
      <c r="AH385" s="63">
        <v>0.14926463369939413</v>
      </c>
      <c r="AI385" s="78">
        <v>14.773345098330106</v>
      </c>
    </row>
    <row r="386" spans="17:35" x14ac:dyDescent="0.25">
      <c r="Q386" s="57"/>
      <c r="R386" s="57"/>
      <c r="Z386">
        <v>354</v>
      </c>
      <c r="AA386" s="58">
        <v>161.37049824820002</v>
      </c>
      <c r="AB386" s="59">
        <v>92.429722200806978</v>
      </c>
      <c r="AC386" s="59">
        <v>253.80022044900699</v>
      </c>
      <c r="AD386" s="60">
        <v>68.940776047393044</v>
      </c>
      <c r="AE386" s="61">
        <v>0.37868028136239201</v>
      </c>
      <c r="AF386" s="62">
        <v>0.22930258536137557</v>
      </c>
      <c r="AG386" s="62">
        <v>0.60798286672376756</v>
      </c>
      <c r="AH386" s="63">
        <v>0.14937769600101644</v>
      </c>
      <c r="AI386" s="78">
        <v>14.705007828729002</v>
      </c>
    </row>
    <row r="387" spans="17:35" x14ac:dyDescent="0.25">
      <c r="Q387" s="57"/>
      <c r="R387" s="57"/>
      <c r="Z387">
        <v>355</v>
      </c>
      <c r="AA387" s="58">
        <v>160.79046905592853</v>
      </c>
      <c r="AB387" s="59">
        <v>91.816793183472825</v>
      </c>
      <c r="AC387" s="59">
        <v>252.60726223940134</v>
      </c>
      <c r="AD387" s="60">
        <v>68.973675872455701</v>
      </c>
      <c r="AE387" s="61">
        <v>0.37730303998283166</v>
      </c>
      <c r="AF387" s="62">
        <v>0.2278131682194118</v>
      </c>
      <c r="AG387" s="62">
        <v>0.60511620820224343</v>
      </c>
      <c r="AH387" s="63">
        <v>0.14948987176341985</v>
      </c>
      <c r="AI387" s="78">
        <v>14.636670559127896</v>
      </c>
    </row>
    <row r="388" spans="17:35" x14ac:dyDescent="0.25">
      <c r="Q388" s="57"/>
      <c r="R388" s="57"/>
      <c r="Z388">
        <v>356</v>
      </c>
      <c r="AA388" s="58">
        <v>160.21043986365703</v>
      </c>
      <c r="AB388" s="59">
        <v>91.204270722701381</v>
      </c>
      <c r="AC388" s="59">
        <v>251.41471058635841</v>
      </c>
      <c r="AD388" s="60">
        <v>69.006169140955649</v>
      </c>
      <c r="AE388" s="61">
        <v>0.3759257986032713</v>
      </c>
      <c r="AF388" s="62">
        <v>0.2263246551193128</v>
      </c>
      <c r="AG388" s="62">
        <v>0.60225045372258412</v>
      </c>
      <c r="AH388" s="63">
        <v>0.1496011434839585</v>
      </c>
      <c r="AI388" s="78">
        <v>14.568333289526793</v>
      </c>
    </row>
    <row r="389" spans="17:35" x14ac:dyDescent="0.25">
      <c r="Q389" s="57"/>
      <c r="R389" s="57"/>
      <c r="Z389">
        <v>357</v>
      </c>
      <c r="AA389" s="58">
        <v>159.63041067138556</v>
      </c>
      <c r="AB389" s="59">
        <v>90.592163065068235</v>
      </c>
      <c r="AC389" s="59">
        <v>250.2225737364538</v>
      </c>
      <c r="AD389" s="60">
        <v>69.038247606317327</v>
      </c>
      <c r="AE389" s="61">
        <v>0.37454855722371089</v>
      </c>
      <c r="AF389" s="62">
        <v>0.22483706401645762</v>
      </c>
      <c r="AG389" s="62">
        <v>0.59938562124016848</v>
      </c>
      <c r="AH389" s="63">
        <v>0.14971149320725327</v>
      </c>
      <c r="AI389" s="78">
        <v>14.499996019925685</v>
      </c>
    </row>
    <row r="390" spans="17:35" x14ac:dyDescent="0.25">
      <c r="Q390" s="57"/>
      <c r="R390" s="57"/>
      <c r="Z390">
        <v>358</v>
      </c>
      <c r="AA390" s="58">
        <v>159.05038147911401</v>
      </c>
      <c r="AB390" s="59">
        <v>89.980478675882622</v>
      </c>
      <c r="AC390" s="59">
        <v>249.03086015499662</v>
      </c>
      <c r="AD390" s="60">
        <v>69.069902803231386</v>
      </c>
      <c r="AE390" s="61">
        <v>0.37317131584415048</v>
      </c>
      <c r="AF390" s="62">
        <v>0.22335041333330966</v>
      </c>
      <c r="AG390" s="62">
        <v>0.59652172917746016</v>
      </c>
      <c r="AH390" s="63">
        <v>0.14982090251084082</v>
      </c>
      <c r="AI390" s="78">
        <v>14.43165875032458</v>
      </c>
    </row>
    <row r="391" spans="17:35" x14ac:dyDescent="0.25">
      <c r="Q391" s="57"/>
      <c r="R391" s="57"/>
      <c r="Z391">
        <v>359</v>
      </c>
      <c r="AA391" s="58">
        <v>158.47035228684257</v>
      </c>
      <c r="AB391" s="59">
        <v>89.369226246280803</v>
      </c>
      <c r="AC391" s="59">
        <v>247.83957853312336</v>
      </c>
      <c r="AD391" s="60">
        <v>69.101126040561766</v>
      </c>
      <c r="AE391" s="61">
        <v>0.37179407446459017</v>
      </c>
      <c r="AF391" s="62">
        <v>0.22186472197430265</v>
      </c>
      <c r="AG391" s="62">
        <v>0.59365879643889286</v>
      </c>
      <c r="AH391" s="63">
        <v>0.14992935249028752</v>
      </c>
      <c r="AI391" s="78">
        <v>14.363321480723474</v>
      </c>
    </row>
    <row r="392" spans="17:35" x14ac:dyDescent="0.25">
      <c r="Q392" s="57"/>
      <c r="R392" s="57"/>
      <c r="Z392">
        <v>360</v>
      </c>
      <c r="AA392" s="58">
        <v>157.89032309457107</v>
      </c>
      <c r="AB392" s="59">
        <v>88.758414700589384</v>
      </c>
      <c r="AC392" s="59">
        <v>246.64873779516046</v>
      </c>
      <c r="AD392" s="60">
        <v>69.131908393981689</v>
      </c>
      <c r="AE392" s="61">
        <v>0.37041683308502971</v>
      </c>
      <c r="AF392" s="62">
        <v>0.22038000934128266</v>
      </c>
      <c r="AG392" s="62">
        <v>0.59079684242631236</v>
      </c>
      <c r="AH392" s="63">
        <v>0.15003682374374705</v>
      </c>
      <c r="AI392" s="78">
        <v>14.294984211122369</v>
      </c>
    </row>
    <row r="393" spans="17:35" x14ac:dyDescent="0.25">
      <c r="Q393" s="57"/>
      <c r="R393" s="57"/>
      <c r="Z393">
        <v>361</v>
      </c>
      <c r="AA393" s="58">
        <v>157.31029390229955</v>
      </c>
      <c r="AB393" s="59">
        <v>88.14805320396826</v>
      </c>
      <c r="AC393" s="59">
        <v>245.45834710626781</v>
      </c>
      <c r="AD393" s="60">
        <v>69.162240698331289</v>
      </c>
      <c r="AE393" s="61">
        <v>0.36903959170546941</v>
      </c>
      <c r="AF393" s="62">
        <v>0.21889629534952826</v>
      </c>
      <c r="AG393" s="62">
        <v>0.58793588705499766</v>
      </c>
      <c r="AH393" s="63">
        <v>0.15014329635594115</v>
      </c>
      <c r="AI393" s="78">
        <v>14.226646941521263</v>
      </c>
    </row>
    <row r="394" spans="17:35" x14ac:dyDescent="0.25">
      <c r="Q394" s="57"/>
      <c r="R394" s="57"/>
      <c r="Z394">
        <v>362</v>
      </c>
      <c r="AA394" s="58">
        <v>156.73026471002805</v>
      </c>
      <c r="AB394" s="59">
        <v>87.538151170345984</v>
      </c>
      <c r="AC394" s="59">
        <v>244.26841588037405</v>
      </c>
      <c r="AD394" s="60">
        <v>69.192113539682069</v>
      </c>
      <c r="AE394" s="61">
        <v>0.36766235032590894</v>
      </c>
      <c r="AF394" s="62">
        <v>0.21741360044437619</v>
      </c>
      <c r="AG394" s="62">
        <v>0.58507595077028518</v>
      </c>
      <c r="AH394" s="63">
        <v>0.15024874988153275</v>
      </c>
      <c r="AI394" s="78">
        <v>14.15830967192016</v>
      </c>
    </row>
    <row r="395" spans="17:35" x14ac:dyDescent="0.25">
      <c r="Q395" s="57"/>
      <c r="R395" s="57"/>
      <c r="Z395">
        <v>363</v>
      </c>
      <c r="AA395" s="58">
        <v>156.15023551775656</v>
      </c>
      <c r="AB395" s="59">
        <v>86.928718270661307</v>
      </c>
      <c r="AC395" s="59">
        <v>243.07895378841786</v>
      </c>
      <c r="AD395" s="60">
        <v>69.22151724709525</v>
      </c>
      <c r="AE395" s="61">
        <v>0.36628510894634858</v>
      </c>
      <c r="AF395" s="62">
        <v>0.21593194561847623</v>
      </c>
      <c r="AG395" s="62">
        <v>0.58221705456482487</v>
      </c>
      <c r="AH395" s="63">
        <v>0.15035316332787235</v>
      </c>
      <c r="AI395" s="78">
        <v>14.089972402319054</v>
      </c>
    </row>
    <row r="396" spans="17:35" x14ac:dyDescent="0.25">
      <c r="Q396" s="57"/>
      <c r="R396" s="57"/>
      <c r="Z396">
        <v>364</v>
      </c>
      <c r="AA396" s="58">
        <v>155.57020632548509</v>
      </c>
      <c r="AB396" s="59">
        <v>86.319764441421952</v>
      </c>
      <c r="AC396" s="59">
        <v>241.88997076690703</v>
      </c>
      <c r="AD396" s="60">
        <v>69.250441884063136</v>
      </c>
      <c r="AE396" s="61">
        <v>0.36490786756678828</v>
      </c>
      <c r="AF396" s="62">
        <v>0.21445135242970403</v>
      </c>
      <c r="AG396" s="62">
        <v>0.57935921999649231</v>
      </c>
      <c r="AH396" s="63">
        <v>0.15045651513708425</v>
      </c>
      <c r="AI396" s="78">
        <v>14.021635132717948</v>
      </c>
    </row>
    <row r="397" spans="17:35" x14ac:dyDescent="0.25">
      <c r="Q397" s="57"/>
      <c r="R397" s="57"/>
      <c r="Z397">
        <v>365</v>
      </c>
      <c r="AA397" s="58">
        <v>154.99017713321359</v>
      </c>
      <c r="AB397" s="59">
        <v>85.711299893596703</v>
      </c>
      <c r="AC397" s="59">
        <v>240.7014770268103</v>
      </c>
      <c r="AD397" s="60">
        <v>69.278877239616889</v>
      </c>
      <c r="AE397" s="61">
        <v>0.36353062618722781</v>
      </c>
      <c r="AF397" s="62">
        <v>0.21297184301975813</v>
      </c>
      <c r="AG397" s="62">
        <v>0.576502469206986</v>
      </c>
      <c r="AH397" s="63">
        <v>0.15055878316746968</v>
      </c>
      <c r="AI397" s="78">
        <v>13.953297863116843</v>
      </c>
    </row>
    <row r="398" spans="17:35" x14ac:dyDescent="0.25">
      <c r="Q398" s="57"/>
      <c r="R398" s="57"/>
      <c r="Z398">
        <v>366</v>
      </c>
      <c r="AA398" s="58">
        <v>154.4101479409421</v>
      </c>
      <c r="AB398" s="59">
        <v>85.103335121853419</v>
      </c>
      <c r="AC398" s="59">
        <v>239.5134830627955</v>
      </c>
      <c r="AD398" s="60">
        <v>69.306812819088677</v>
      </c>
      <c r="AE398" s="61">
        <v>0.36215338480766746</v>
      </c>
      <c r="AF398" s="62">
        <v>0.21149344013347246</v>
      </c>
      <c r="AG398" s="62">
        <v>0.57364682494113994</v>
      </c>
      <c r="AH398" s="63">
        <v>0.150659944674195</v>
      </c>
      <c r="AI398" s="78">
        <v>13.891137327023936</v>
      </c>
    </row>
    <row r="399" spans="17:35" x14ac:dyDescent="0.25">
      <c r="Q399" s="57"/>
      <c r="R399" s="57"/>
      <c r="Z399">
        <v>367</v>
      </c>
      <c r="AA399" s="58">
        <v>153.83011874867057</v>
      </c>
      <c r="AB399" s="59">
        <v>84.495880914159571</v>
      </c>
      <c r="AC399" s="59">
        <v>238.32599966283016</v>
      </c>
      <c r="AD399" s="60">
        <v>69.334237834511001</v>
      </c>
      <c r="AE399" s="61">
        <v>0.36077614342810699</v>
      </c>
      <c r="AF399" s="62">
        <v>0.21001616713887478</v>
      </c>
      <c r="AG399" s="62">
        <v>0.57079231056698176</v>
      </c>
      <c r="AH399" s="63">
        <v>0.15075997628923221</v>
      </c>
      <c r="AI399" s="78">
        <v>13.86150115331014</v>
      </c>
    </row>
    <row r="400" spans="17:35" x14ac:dyDescent="0.25">
      <c r="Q400" s="57"/>
      <c r="R400" s="57"/>
      <c r="Z400">
        <v>368</v>
      </c>
      <c r="AA400" s="58">
        <v>153.25008955639908</v>
      </c>
      <c r="AB400" s="59">
        <v>83.88894836176047</v>
      </c>
      <c r="AC400" s="59">
        <v>237.13903791815954</v>
      </c>
      <c r="AD400" s="60">
        <v>69.361141194638606</v>
      </c>
      <c r="AE400" s="61">
        <v>0.35939890204854669</v>
      </c>
      <c r="AF400" s="62">
        <v>0.20854004804802259</v>
      </c>
      <c r="AG400" s="62">
        <v>0.56793895009656925</v>
      </c>
      <c r="AH400" s="63">
        <v>0.1508588540005241</v>
      </c>
      <c r="AI400" s="78">
        <v>13.836594041188558</v>
      </c>
    </row>
    <row r="401" spans="17:35" x14ac:dyDescent="0.25">
      <c r="Q401" s="57"/>
      <c r="R401" s="57"/>
      <c r="Z401">
        <v>369</v>
      </c>
      <c r="AA401" s="58">
        <v>152.67006036412761</v>
      </c>
      <c r="AB401" s="59">
        <v>83.282548869551917</v>
      </c>
      <c r="AC401" s="59">
        <v>235.95260923367954</v>
      </c>
      <c r="AD401" s="60">
        <v>69.387511494575691</v>
      </c>
      <c r="AE401" s="61">
        <v>0.35802166066898633</v>
      </c>
      <c r="AF401" s="62">
        <v>0.20706510753865398</v>
      </c>
      <c r="AG401" s="62">
        <v>0.56508676820764037</v>
      </c>
      <c r="AH401" s="63">
        <v>0.15095655313033235</v>
      </c>
      <c r="AI401" s="78">
        <v>13.811686929066976</v>
      </c>
    </row>
    <row r="402" spans="17:35" x14ac:dyDescent="0.25">
      <c r="Q402" s="57"/>
      <c r="R402" s="57"/>
      <c r="Z402">
        <v>370</v>
      </c>
      <c r="AA402" s="58">
        <v>152.09003117185611</v>
      </c>
      <c r="AB402" s="59">
        <v>82.676694166865445</v>
      </c>
      <c r="AC402" s="59">
        <v>234.76672533872156</v>
      </c>
      <c r="AD402" s="60">
        <v>69.413337004990666</v>
      </c>
      <c r="AE402" s="61">
        <v>0.35664441928942597</v>
      </c>
      <c r="AF402" s="62">
        <v>0.20559137097668237</v>
      </c>
      <c r="AG402" s="62">
        <v>0.56223579026610837</v>
      </c>
      <c r="AH402" s="63">
        <v>0.1510530483127436</v>
      </c>
      <c r="AI402" s="78">
        <v>13.786779816945394</v>
      </c>
    </row>
    <row r="403" spans="17:35" x14ac:dyDescent="0.25">
      <c r="Q403" s="57"/>
      <c r="R403" s="57"/>
      <c r="Z403">
        <v>371</v>
      </c>
      <c r="AA403" s="58">
        <v>151.51000197958462</v>
      </c>
      <c r="AB403" s="59">
        <v>82.071396318683668</v>
      </c>
      <c r="AC403" s="59">
        <v>233.58139829826828</v>
      </c>
      <c r="AD403" s="60">
        <v>69.438605660900947</v>
      </c>
      <c r="AE403" s="61">
        <v>0.35526717790986551</v>
      </c>
      <c r="AF403" s="62">
        <v>0.20411886443958163</v>
      </c>
      <c r="AG403" s="62">
        <v>0.55938604234944711</v>
      </c>
      <c r="AH403" s="63">
        <v>0.15114831347028387</v>
      </c>
      <c r="AI403" s="78">
        <v>13.761872704823812</v>
      </c>
    </row>
    <row r="404" spans="17:35" x14ac:dyDescent="0.25">
      <c r="Q404" s="57"/>
      <c r="R404" s="57"/>
      <c r="Z404">
        <v>372</v>
      </c>
      <c r="AA404" s="58">
        <v>150.92997278731312</v>
      </c>
      <c r="AB404" s="59">
        <v>81.466667737304732</v>
      </c>
      <c r="AC404" s="59">
        <v>232.39664052461785</v>
      </c>
      <c r="AD404" s="60">
        <v>69.463305050008387</v>
      </c>
      <c r="AE404" s="61">
        <v>0.35388993653030515</v>
      </c>
      <c r="AF404" s="62">
        <v>0.20264761474069096</v>
      </c>
      <c r="AG404" s="62">
        <v>0.55653755127099613</v>
      </c>
      <c r="AH404" s="63">
        <v>0.15124232178961419</v>
      </c>
      <c r="AI404" s="78">
        <v>13.73696559270223</v>
      </c>
    </row>
    <row r="405" spans="17:35" x14ac:dyDescent="0.25">
      <c r="Q405" s="57"/>
      <c r="R405" s="57"/>
      <c r="Z405">
        <v>373</v>
      </c>
      <c r="AA405" s="58">
        <v>150.34994359504162</v>
      </c>
      <c r="AB405" s="59">
        <v>80.86252119447731</v>
      </c>
      <c r="AC405" s="59">
        <v>231.21246478951895</v>
      </c>
      <c r="AD405" s="60">
        <v>69.487422400564313</v>
      </c>
      <c r="AE405" s="61">
        <v>0.35251269515074474</v>
      </c>
      <c r="AF405" s="62">
        <v>0.2011776494544896</v>
      </c>
      <c r="AG405" s="62">
        <v>0.55369034460523436</v>
      </c>
      <c r="AH405" s="63">
        <v>0.15133504569625514</v>
      </c>
      <c r="AI405" s="78">
        <v>13.712058480580648</v>
      </c>
    </row>
    <row r="406" spans="17:35" x14ac:dyDescent="0.25">
      <c r="Q406" s="57"/>
      <c r="R406" s="57"/>
      <c r="Z406">
        <v>374</v>
      </c>
      <c r="AA406" s="58">
        <v>149.76987318839875</v>
      </c>
      <c r="AB406" s="59">
        <v>80.258907377295969</v>
      </c>
      <c r="AC406" s="59">
        <v>230.02878056569472</v>
      </c>
      <c r="AD406" s="60">
        <v>69.510965811102778</v>
      </c>
      <c r="AE406" s="61">
        <v>0.35113535477631519</v>
      </c>
      <c r="AF406" s="62">
        <v>0.19970884573356018</v>
      </c>
      <c r="AG406" s="62">
        <v>0.55084420050987537</v>
      </c>
      <c r="AH406" s="63">
        <v>0.15142650904275501</v>
      </c>
      <c r="AI406" s="78">
        <v>13.687151368459066</v>
      </c>
    </row>
    <row r="407" spans="17:35" x14ac:dyDescent="0.25">
      <c r="Q407" s="57"/>
      <c r="R407" s="57"/>
      <c r="Z407">
        <v>375</v>
      </c>
      <c r="AA407" s="58">
        <v>149.18694868653611</v>
      </c>
      <c r="AB407" s="59">
        <v>79.651584032375325</v>
      </c>
      <c r="AC407" s="59">
        <v>228.83853271891144</v>
      </c>
      <c r="AD407" s="60">
        <v>69.535364654160787</v>
      </c>
      <c r="AE407" s="61">
        <v>0.34975115900718845</v>
      </c>
      <c r="AF407" s="62">
        <v>0.19823092788022251</v>
      </c>
      <c r="AG407" s="62">
        <v>0.54798208688741101</v>
      </c>
      <c r="AH407" s="63">
        <v>0.15152023112696594</v>
      </c>
      <c r="AI407" s="78">
        <v>13.662244256337484</v>
      </c>
    </row>
    <row r="408" spans="17:35" x14ac:dyDescent="0.25">
      <c r="Q408" s="57"/>
      <c r="R408" s="57"/>
      <c r="Z408">
        <v>376</v>
      </c>
      <c r="AA408" s="58">
        <v>148.60228287748166</v>
      </c>
      <c r="AB408" s="59">
        <v>79.042266708975291</v>
      </c>
      <c r="AC408" s="59">
        <v>227.64454958645695</v>
      </c>
      <c r="AD408" s="60">
        <v>69.560016168506365</v>
      </c>
      <c r="AE408" s="61">
        <v>0.34836278070483501</v>
      </c>
      <c r="AF408" s="62">
        <v>0.19674804219511005</v>
      </c>
      <c r="AG408" s="62">
        <v>0.54511082289994506</v>
      </c>
      <c r="AH408" s="63">
        <v>0.15161473850972496</v>
      </c>
      <c r="AI408" s="78">
        <v>13.637337144215902</v>
      </c>
    </row>
    <row r="409" spans="17:35" x14ac:dyDescent="0.25">
      <c r="Q409" s="57"/>
      <c r="R409" s="57"/>
      <c r="Z409">
        <v>377</v>
      </c>
      <c r="AA409" s="58">
        <v>148.01761706842717</v>
      </c>
      <c r="AB409" s="59">
        <v>78.433609245175091</v>
      </c>
      <c r="AC409" s="59">
        <v>226.45122631360226</v>
      </c>
      <c r="AD409" s="60">
        <v>69.58400782325208</v>
      </c>
      <c r="AE409" s="61">
        <v>0.34697440240248162</v>
      </c>
      <c r="AF409" s="62">
        <v>0.1952666096695311</v>
      </c>
      <c r="AG409" s="62">
        <v>0.5422410120720127</v>
      </c>
      <c r="AH409" s="63">
        <v>0.15170779273295051</v>
      </c>
      <c r="AI409" s="78">
        <v>13.61243003209432</v>
      </c>
    </row>
    <row r="410" spans="17:35" x14ac:dyDescent="0.25">
      <c r="Q410" s="57"/>
      <c r="R410" s="57"/>
      <c r="Z410">
        <v>378</v>
      </c>
      <c r="AA410" s="58">
        <v>147.43295125937274</v>
      </c>
      <c r="AB410" s="59">
        <v>77.825627122835499</v>
      </c>
      <c r="AC410" s="59">
        <v>225.25857838220824</v>
      </c>
      <c r="AD410" s="60">
        <v>69.607324136537244</v>
      </c>
      <c r="AE410" s="61">
        <v>0.34558602410012823</v>
      </c>
      <c r="AF410" s="62">
        <v>0.19378666363020619</v>
      </c>
      <c r="AG410" s="62">
        <v>0.53937268773033442</v>
      </c>
      <c r="AH410" s="63">
        <v>0.15179936046992204</v>
      </c>
      <c r="AI410" s="78">
        <v>13.587522919972738</v>
      </c>
    </row>
    <row r="411" spans="17:35" x14ac:dyDescent="0.25">
      <c r="Q411" s="57"/>
      <c r="R411" s="57"/>
      <c r="Z411">
        <v>379</v>
      </c>
      <c r="AA411" s="58">
        <v>146.84828545031826</v>
      </c>
      <c r="AB411" s="59">
        <v>77.21833629395455</v>
      </c>
      <c r="AC411" s="59">
        <v>224.06662174427282</v>
      </c>
      <c r="AD411" s="60">
        <v>69.629949156363708</v>
      </c>
      <c r="AE411" s="61">
        <v>0.34419764579777473</v>
      </c>
      <c r="AF411" s="62">
        <v>0.19230823839578448</v>
      </c>
      <c r="AG411" s="62">
        <v>0.53650588419355927</v>
      </c>
      <c r="AH411" s="63">
        <v>0.15188940740199025</v>
      </c>
      <c r="AI411" s="78">
        <v>13.562615807851156</v>
      </c>
    </row>
    <row r="412" spans="17:35" x14ac:dyDescent="0.25">
      <c r="Q412" s="57"/>
      <c r="R412" s="57"/>
      <c r="Z412">
        <v>380</v>
      </c>
      <c r="AA412" s="58">
        <v>146.26361964126383</v>
      </c>
      <c r="AB412" s="59">
        <v>76.611753197898238</v>
      </c>
      <c r="AC412" s="59">
        <v>222.87537283916208</v>
      </c>
      <c r="AD412" s="60">
        <v>69.651866443365591</v>
      </c>
      <c r="AE412" s="61">
        <v>0.34280926749542134</v>
      </c>
      <c r="AF412" s="62">
        <v>0.19083136931260142</v>
      </c>
      <c r="AG412" s="62">
        <v>0.53364063680802276</v>
      </c>
      <c r="AH412" s="63">
        <v>0.15197789818281993</v>
      </c>
      <c r="AI412" s="78">
        <v>13.537708695729574</v>
      </c>
    </row>
    <row r="413" spans="17:35" x14ac:dyDescent="0.25">
      <c r="Q413" s="57"/>
      <c r="R413" s="57"/>
      <c r="Z413">
        <v>381</v>
      </c>
      <c r="AA413" s="58">
        <v>145.67895383220937</v>
      </c>
      <c r="AB413" s="59">
        <v>76.005894779358229</v>
      </c>
      <c r="AC413" s="59">
        <v>221.68484861156759</v>
      </c>
      <c r="AD413" s="60">
        <v>69.673059052851144</v>
      </c>
      <c r="AE413" s="61">
        <v>0.3414208891930679</v>
      </c>
      <c r="AF413" s="62">
        <v>0.18935609279192625</v>
      </c>
      <c r="AG413" s="62">
        <v>0.53077698198499412</v>
      </c>
      <c r="AH413" s="63">
        <v>0.15206479640114165</v>
      </c>
      <c r="AI413" s="78">
        <v>13.512801583607992</v>
      </c>
    </row>
    <row r="414" spans="17:35" x14ac:dyDescent="0.25">
      <c r="Q414" s="57"/>
      <c r="R414" s="57"/>
      <c r="Z414">
        <v>382</v>
      </c>
      <c r="AA414" s="58">
        <v>145.09428802315489</v>
      </c>
      <c r="AB414" s="59">
        <v>75.400778507067713</v>
      </c>
      <c r="AC414" s="59">
        <v>220.4950665302226</v>
      </c>
      <c r="AD414" s="60">
        <v>69.693509516087175</v>
      </c>
      <c r="AE414" s="61">
        <v>0.34003251089071451</v>
      </c>
      <c r="AF414" s="62">
        <v>0.18788244634876355</v>
      </c>
      <c r="AG414" s="62">
        <v>0.52791495723947812</v>
      </c>
      <c r="AH414" s="63">
        <v>0.15215006454195096</v>
      </c>
      <c r="AI414" s="78">
        <v>13.48789447148641</v>
      </c>
    </row>
    <row r="415" spans="17:35" x14ac:dyDescent="0.25">
      <c r="Q415" s="57"/>
      <c r="R415" s="57"/>
      <c r="Z415">
        <v>383</v>
      </c>
      <c r="AA415" s="58">
        <v>144.50962221410043</v>
      </c>
      <c r="AB415" s="59">
        <v>74.796422393311531</v>
      </c>
      <c r="AC415" s="59">
        <v>219.30604460741196</v>
      </c>
      <c r="AD415" s="60">
        <v>69.713199820788901</v>
      </c>
      <c r="AE415" s="61">
        <v>0.33864413258836107</v>
      </c>
      <c r="AF415" s="62">
        <v>0.18641046864228686</v>
      </c>
      <c r="AG415" s="62">
        <v>0.52505460123064795</v>
      </c>
      <c r="AH415" s="63">
        <v>0.15223366394607421</v>
      </c>
      <c r="AI415" s="78">
        <v>13.462987359364828</v>
      </c>
    </row>
    <row r="416" spans="17:35" x14ac:dyDescent="0.25">
      <c r="Q416" s="57"/>
      <c r="R416" s="57"/>
      <c r="Z416">
        <v>384</v>
      </c>
      <c r="AA416" s="58">
        <v>143.924956405046</v>
      </c>
      <c r="AB416" s="59">
        <v>74.192845014268514</v>
      </c>
      <c r="AC416" s="59">
        <v>218.1178014193145</v>
      </c>
      <c r="AD416" s="60">
        <v>69.73211139077749</v>
      </c>
      <c r="AE416" s="61">
        <v>0.33725575428600768</v>
      </c>
      <c r="AF416" s="62">
        <v>0.18494019951797239</v>
      </c>
      <c r="AG416" s="62">
        <v>0.5221959538039801</v>
      </c>
      <c r="AH416" s="63">
        <v>0.15231555476803529</v>
      </c>
      <c r="AI416" s="78">
        <v>13.438080247243246</v>
      </c>
    </row>
    <row r="417" spans="17:35" x14ac:dyDescent="0.25">
      <c r="Q417" s="57"/>
      <c r="R417" s="57"/>
      <c r="Z417">
        <v>385</v>
      </c>
      <c r="AA417" s="58">
        <v>143.34029059599152</v>
      </c>
      <c r="AB417" s="59">
        <v>73.590065531222734</v>
      </c>
      <c r="AC417" s="59">
        <v>216.93035612721425</v>
      </c>
      <c r="AD417" s="60">
        <v>69.750225064768784</v>
      </c>
      <c r="AE417" s="61">
        <v>0.33586737598365418</v>
      </c>
      <c r="AF417" s="62">
        <v>0.18347168005152004</v>
      </c>
      <c r="AG417" s="62">
        <v>0.51933905603517427</v>
      </c>
      <c r="AH417" s="63">
        <v>0.15239569593213415</v>
      </c>
      <c r="AI417" s="78">
        <v>13.413173135121664</v>
      </c>
    </row>
    <row r="418" spans="17:35" x14ac:dyDescent="0.25">
      <c r="Q418" s="57"/>
      <c r="R418" s="57"/>
      <c r="Z418">
        <v>386</v>
      </c>
      <c r="AA418" s="58">
        <v>142.75562478693709</v>
      </c>
      <c r="AB418" s="59">
        <v>72.988103712686197</v>
      </c>
      <c r="AC418" s="59">
        <v>215.74372849962327</v>
      </c>
      <c r="AD418" s="60">
        <v>69.767521074250894</v>
      </c>
      <c r="AE418" s="61">
        <v>0.33447899768130079</v>
      </c>
      <c r="AF418" s="62">
        <v>0.18200495259463859</v>
      </c>
      <c r="AG418" s="62">
        <v>0.51648395027593941</v>
      </c>
      <c r="AH418" s="63">
        <v>0.15247404508666221</v>
      </c>
      <c r="AI418" s="78">
        <v>13.388266023000082</v>
      </c>
    </row>
    <row r="419" spans="17:35" x14ac:dyDescent="0.25">
      <c r="Q419" s="57"/>
      <c r="R419" s="57"/>
      <c r="Z419">
        <v>387</v>
      </c>
      <c r="AA419" s="58">
        <v>142.17095897788261</v>
      </c>
      <c r="AB419" s="59">
        <v>72.386979957474495</v>
      </c>
      <c r="AC419" s="59">
        <v>214.5579389353571</v>
      </c>
      <c r="AD419" s="60">
        <v>69.783979020408111</v>
      </c>
      <c r="AE419" s="61">
        <v>0.33309061937894729</v>
      </c>
      <c r="AF419" s="62">
        <v>0.18054006082278656</v>
      </c>
      <c r="AG419" s="62">
        <v>0.51363068020173386</v>
      </c>
      <c r="AH419" s="63">
        <v>0.15255055855616073</v>
      </c>
      <c r="AI419" s="78">
        <v>13.372436579582507</v>
      </c>
    </row>
    <row r="420" spans="17:35" x14ac:dyDescent="0.25">
      <c r="Q420" s="57"/>
      <c r="R420" s="57"/>
      <c r="Z420">
        <v>388</v>
      </c>
      <c r="AA420" s="58">
        <v>141.58629316882812</v>
      </c>
      <c r="AB420" s="59">
        <v>71.786715318780224</v>
      </c>
      <c r="AC420" s="59">
        <v>213.37300848760833</v>
      </c>
      <c r="AD420" s="60">
        <v>69.799577850047896</v>
      </c>
      <c r="AE420" s="61">
        <v>0.33170224107659391</v>
      </c>
      <c r="AF420" s="62">
        <v>0.17907704978495637</v>
      </c>
      <c r="AG420" s="62">
        <v>0.51077929086155027</v>
      </c>
      <c r="AH420" s="63">
        <v>0.15262519129163754</v>
      </c>
      <c r="AI420" s="78">
        <v>13.40440673543446</v>
      </c>
    </row>
    <row r="421" spans="17:35" x14ac:dyDescent="0.25">
      <c r="Q421" s="57"/>
      <c r="R421" s="57"/>
      <c r="Z421">
        <v>389</v>
      </c>
      <c r="AA421" s="58">
        <v>141.00162735977369</v>
      </c>
      <c r="AB421" s="59">
        <v>71.187331529290802</v>
      </c>
      <c r="AC421" s="59">
        <v>212.18895888906451</v>
      </c>
      <c r="AD421" s="60">
        <v>69.814295830482891</v>
      </c>
      <c r="AE421" s="61">
        <v>0.33031386277424052</v>
      </c>
      <c r="AF421" s="62">
        <v>0.17761596595560158</v>
      </c>
      <c r="AG421" s="62">
        <v>0.50792982872984216</v>
      </c>
      <c r="AH421" s="63">
        <v>0.15269789681863893</v>
      </c>
      <c r="AI421" s="78">
        <v>13.443326981387921</v>
      </c>
    </row>
    <row r="422" spans="17:35" x14ac:dyDescent="0.25">
      <c r="Q422" s="57"/>
      <c r="R422" s="57"/>
      <c r="Z422">
        <v>390</v>
      </c>
      <c r="AA422" s="58">
        <v>140.41696155071926</v>
      </c>
      <c r="AB422" s="59">
        <v>70.588851027400324</v>
      </c>
      <c r="AC422" s="59">
        <v>211.00581257811959</v>
      </c>
      <c r="AD422" s="60">
        <v>69.828110523318941</v>
      </c>
      <c r="AE422" s="61">
        <v>0.32892548447188713</v>
      </c>
      <c r="AF422" s="62">
        <v>0.17615685728880537</v>
      </c>
      <c r="AG422" s="62">
        <v>0.50508234176069244</v>
      </c>
      <c r="AH422" s="63">
        <v>0.15276862718308176</v>
      </c>
      <c r="AI422" s="78">
        <v>13.482247227341382</v>
      </c>
    </row>
    <row r="423" spans="17:35" x14ac:dyDescent="0.25">
      <c r="Q423" s="57"/>
      <c r="R423" s="57"/>
      <c r="Z423">
        <v>391</v>
      </c>
      <c r="AA423" s="58">
        <v>139.83229574166481</v>
      </c>
      <c r="AB423" s="59">
        <v>69.991296984565636</v>
      </c>
      <c r="AC423" s="59">
        <v>209.82359272623046</v>
      </c>
      <c r="AD423" s="60">
        <v>69.840998757099172</v>
      </c>
      <c r="AE423" s="61">
        <v>0.32753710616953369</v>
      </c>
      <c r="AF423" s="62">
        <v>0.17469977327479599</v>
      </c>
      <c r="AG423" s="62">
        <v>0.50223687944432971</v>
      </c>
      <c r="AH423" s="63">
        <v>0.15283733289473769</v>
      </c>
      <c r="AI423" s="78">
        <v>13.521167473294842</v>
      </c>
    </row>
    <row r="424" spans="17:35" x14ac:dyDescent="0.25">
      <c r="Q424" s="57"/>
      <c r="R424" s="57"/>
      <c r="Z424">
        <v>392</v>
      </c>
      <c r="AA424" s="58">
        <v>139.24744389189075</v>
      </c>
      <c r="AB424" s="59">
        <v>69.394680361156773</v>
      </c>
      <c r="AC424" s="59">
        <v>208.64212425304754</v>
      </c>
      <c r="AD424" s="60">
        <v>69.852763530733981</v>
      </c>
      <c r="AE424" s="61">
        <v>0.32614829620808833</v>
      </c>
      <c r="AF424" s="62">
        <v>0.17324474846401747</v>
      </c>
      <c r="AG424" s="62">
        <v>0.49939304467210577</v>
      </c>
      <c r="AH424" s="63">
        <v>0.15290354774407086</v>
      </c>
      <c r="AI424" s="78">
        <v>13.560087719248299</v>
      </c>
    </row>
    <row r="425" spans="17:35" x14ac:dyDescent="0.25">
      <c r="Q425" s="57"/>
      <c r="R425" s="57"/>
      <c r="Z425">
        <v>393</v>
      </c>
      <c r="AA425" s="58">
        <v>138.64610655631429</v>
      </c>
      <c r="AB425" s="59">
        <v>68.797785133143364</v>
      </c>
      <c r="AC425" s="59">
        <v>207.44389168945764</v>
      </c>
      <c r="AD425" s="60">
        <v>69.84832142317093</v>
      </c>
      <c r="AE425" s="61">
        <v>0.32472123596547919</v>
      </c>
      <c r="AF425" s="62">
        <v>0.17179016074808859</v>
      </c>
      <c r="AG425" s="62">
        <v>0.49651139671356781</v>
      </c>
      <c r="AH425" s="63">
        <v>0.15293107521739061</v>
      </c>
      <c r="AI425" s="78">
        <v>13.599007965201762</v>
      </c>
    </row>
    <row r="426" spans="17:35" x14ac:dyDescent="0.25">
      <c r="Q426" s="57"/>
      <c r="R426" s="57"/>
      <c r="Z426">
        <v>394</v>
      </c>
      <c r="AA426" s="58">
        <v>138.03410415173289</v>
      </c>
      <c r="AB426" s="59">
        <v>68.200814620288128</v>
      </c>
      <c r="AC426" s="59">
        <v>206.23491877202102</v>
      </c>
      <c r="AD426" s="60">
        <v>69.833289531444763</v>
      </c>
      <c r="AE426" s="61">
        <v>0.3232694302047241</v>
      </c>
      <c r="AF426" s="62">
        <v>0.17033608675962911</v>
      </c>
      <c r="AG426" s="62">
        <v>0.49360551696435317</v>
      </c>
      <c r="AH426" s="63">
        <v>0.15293334344509499</v>
      </c>
      <c r="AI426" s="78">
        <v>13.637928211155224</v>
      </c>
    </row>
    <row r="427" spans="17:35" x14ac:dyDescent="0.25">
      <c r="Q427" s="57"/>
      <c r="R427" s="57"/>
      <c r="Z427">
        <v>395</v>
      </c>
      <c r="AA427" s="58">
        <v>137.42210174715152</v>
      </c>
      <c r="AB427" s="59">
        <v>67.604532684867507</v>
      </c>
      <c r="AC427" s="59">
        <v>205.02663443201902</v>
      </c>
      <c r="AD427" s="60">
        <v>69.817569062284008</v>
      </c>
      <c r="AE427" s="61">
        <v>0.32181762444396916</v>
      </c>
      <c r="AF427" s="62">
        <v>0.16888351748171862</v>
      </c>
      <c r="AG427" s="62">
        <v>0.49070114192568781</v>
      </c>
      <c r="AH427" s="63">
        <v>0.15293410696225054</v>
      </c>
      <c r="AI427" s="78">
        <v>13.676848457108683</v>
      </c>
    </row>
    <row r="428" spans="17:35" x14ac:dyDescent="0.25">
      <c r="Q428" s="57"/>
      <c r="R428" s="57"/>
      <c r="Z428">
        <v>396</v>
      </c>
      <c r="AA428" s="58">
        <v>136.81009934257011</v>
      </c>
      <c r="AB428" s="59">
        <v>67.008957708886754</v>
      </c>
      <c r="AC428" s="59">
        <v>203.81905705145687</v>
      </c>
      <c r="AD428" s="60">
        <v>69.801141633683358</v>
      </c>
      <c r="AE428" s="61">
        <v>0.32036581868321407</v>
      </c>
      <c r="AF428" s="62">
        <v>0.16743249207694541</v>
      </c>
      <c r="AG428" s="62">
        <v>0.48779831076015945</v>
      </c>
      <c r="AH428" s="63">
        <v>0.15293332660626865</v>
      </c>
      <c r="AI428" s="78">
        <v>13.715768703062142</v>
      </c>
    </row>
    <row r="429" spans="17:35" x14ac:dyDescent="0.25">
      <c r="Q429" s="57"/>
      <c r="R429" s="57"/>
      <c r="Z429">
        <v>397</v>
      </c>
      <c r="AA429" s="58">
        <v>136.19809693798874</v>
      </c>
      <c r="AB429" s="59">
        <v>66.414108711531298</v>
      </c>
      <c r="AC429" s="59">
        <v>202.61220564952004</v>
      </c>
      <c r="AD429" s="60">
        <v>69.783988226457438</v>
      </c>
      <c r="AE429" s="61">
        <v>0.31891401292245897</v>
      </c>
      <c r="AF429" s="62">
        <v>0.1659830510349754</v>
      </c>
      <c r="AG429" s="62">
        <v>0.48489706395743437</v>
      </c>
      <c r="AH429" s="63">
        <v>0.15293096188748356</v>
      </c>
      <c r="AI429" s="78">
        <v>13.754688949015604</v>
      </c>
    </row>
    <row r="430" spans="17:35" x14ac:dyDescent="0.25">
      <c r="Q430" s="57"/>
      <c r="R430" s="57"/>
      <c r="Z430">
        <v>398</v>
      </c>
      <c r="AA430" s="58">
        <v>135.58609453340736</v>
      </c>
      <c r="AB430" s="59">
        <v>65.820005375922634</v>
      </c>
      <c r="AC430" s="59">
        <v>201.40609990933001</v>
      </c>
      <c r="AD430" s="60">
        <v>69.766089157484728</v>
      </c>
      <c r="AE430" s="61">
        <v>0.31746220716170387</v>
      </c>
      <c r="AF430" s="62">
        <v>0.16453523622721783</v>
      </c>
      <c r="AG430" s="62">
        <v>0.4819974433889217</v>
      </c>
      <c r="AH430" s="63">
        <v>0.15292697093448604</v>
      </c>
      <c r="AI430" s="78">
        <v>13.774704227589849</v>
      </c>
    </row>
    <row r="431" spans="17:35" x14ac:dyDescent="0.25">
      <c r="Q431" s="57"/>
      <c r="R431" s="57"/>
      <c r="Z431">
        <v>399</v>
      </c>
      <c r="AA431" s="58">
        <v>134.97409212882596</v>
      </c>
      <c r="AB431" s="59">
        <v>65.226668077171766</v>
      </c>
      <c r="AC431" s="59">
        <v>200.20076020599771</v>
      </c>
      <c r="AD431" s="60">
        <v>69.747424051654193</v>
      </c>
      <c r="AE431" s="61">
        <v>0.31601040140094888</v>
      </c>
      <c r="AF431" s="62">
        <v>0.16308909096410415</v>
      </c>
      <c r="AG431" s="62">
        <v>0.479099492365053</v>
      </c>
      <c r="AH431" s="63">
        <v>0.15292131043684473</v>
      </c>
      <c r="AI431" s="78">
        <v>13.588795977190506</v>
      </c>
    </row>
    <row r="432" spans="17:35" x14ac:dyDescent="0.25">
      <c r="Q432" s="57"/>
      <c r="R432" s="57"/>
      <c r="Z432">
        <v>400</v>
      </c>
      <c r="AA432" s="58">
        <v>134.36208972424458</v>
      </c>
      <c r="AB432" s="59">
        <v>64.634117911798285</v>
      </c>
      <c r="AC432" s="59">
        <v>198.99620763604287</v>
      </c>
      <c r="AD432" s="60">
        <v>69.727971812446299</v>
      </c>
      <c r="AE432" s="61">
        <v>0.31455859564019389</v>
      </c>
      <c r="AF432" s="62">
        <v>0.16164466005511494</v>
      </c>
      <c r="AG432" s="62">
        <v>0.47620325569530886</v>
      </c>
      <c r="AH432" s="63">
        <v>0.15291393558507896</v>
      </c>
      <c r="AI432" s="78">
        <v>13.261093346520886</v>
      </c>
    </row>
    <row r="433" spans="17:35" x14ac:dyDescent="0.25">
      <c r="Q433" s="57"/>
      <c r="R433" s="57"/>
      <c r="Z433">
        <v>401</v>
      </c>
      <c r="AA433" s="58">
        <v>133.75008731966321</v>
      </c>
      <c r="AB433" s="59">
        <v>64.04237672858973</v>
      </c>
      <c r="AC433" s="59">
        <v>197.79246404825295</v>
      </c>
      <c r="AD433" s="60">
        <v>69.707710591073479</v>
      </c>
      <c r="AE433" s="61">
        <v>0.3131067898794388</v>
      </c>
      <c r="AF433" s="62">
        <v>0.1602019898717052</v>
      </c>
      <c r="AG433" s="62">
        <v>0.47330877975114399</v>
      </c>
      <c r="AH433" s="63">
        <v>0.1529048000077336</v>
      </c>
      <c r="AI433" s="78">
        <v>11.919143390655517</v>
      </c>
    </row>
    <row r="434" spans="17:35" x14ac:dyDescent="0.25">
      <c r="Q434" s="57"/>
      <c r="R434" s="57"/>
      <c r="Z434">
        <v>402</v>
      </c>
      <c r="AA434" s="58">
        <v>133.13808491508181</v>
      </c>
      <c r="AB434" s="59">
        <v>63.451467160977742</v>
      </c>
      <c r="AC434" s="59">
        <v>196.58955207605953</v>
      </c>
      <c r="AD434" s="60">
        <v>69.686617754104063</v>
      </c>
      <c r="AE434" s="61">
        <v>0.31165498411868375</v>
      </c>
      <c r="AF434" s="62">
        <v>0.15876112841328149</v>
      </c>
      <c r="AG434" s="62">
        <v>0.47041611253196525</v>
      </c>
      <c r="AH434" s="63">
        <v>0.15289385570540226</v>
      </c>
      <c r="AI434" s="78">
        <v>10.282678318023681</v>
      </c>
    </row>
    <row r="435" spans="17:35" x14ac:dyDescent="0.25">
      <c r="Q435" s="57"/>
      <c r="R435" s="57"/>
      <c r="Z435">
        <v>403</v>
      </c>
      <c r="AA435" s="58">
        <v>132.52608251050043</v>
      </c>
      <c r="AB435" s="59">
        <v>62.861412661014285</v>
      </c>
      <c r="AC435" s="59">
        <v>195.38749517151473</v>
      </c>
      <c r="AD435" s="60">
        <v>69.664669849486145</v>
      </c>
      <c r="AE435" s="61">
        <v>0.31020317835792866</v>
      </c>
      <c r="AF435" s="62">
        <v>0.15732212537639889</v>
      </c>
      <c r="AG435" s="62">
        <v>0.46752530373432755</v>
      </c>
      <c r="AH435" s="63">
        <v>0.15288105298152976</v>
      </c>
      <c r="AI435" s="78">
        <v>9.3488693280220048</v>
      </c>
    </row>
    <row r="436" spans="17:35" x14ac:dyDescent="0.25">
      <c r="Q436" s="57"/>
      <c r="R436" s="57"/>
      <c r="Z436">
        <v>404</v>
      </c>
      <c r="AA436" s="58">
        <v>131.91539042594388</v>
      </c>
      <c r="AB436" s="59">
        <v>62.27410401415068</v>
      </c>
      <c r="AC436" s="59">
        <v>194.18949444009456</v>
      </c>
      <c r="AD436" s="60">
        <v>69.641286411793203</v>
      </c>
      <c r="AE436" s="61">
        <v>0.30875451992067132</v>
      </c>
      <c r="AF436" s="62">
        <v>0.15588957923549784</v>
      </c>
      <c r="AG436" s="62">
        <v>0.46464409915616917</v>
      </c>
      <c r="AH436" s="63">
        <v>0.15286494068517348</v>
      </c>
      <c r="AI436" s="78">
        <v>9.6355909729003919</v>
      </c>
    </row>
    <row r="437" spans="17:35" x14ac:dyDescent="0.25">
      <c r="Q437" s="57"/>
      <c r="R437" s="57"/>
      <c r="Z437">
        <v>405</v>
      </c>
      <c r="AA437" s="58">
        <v>131.37778508055132</v>
      </c>
      <c r="AB437" s="59">
        <v>61.791564932977877</v>
      </c>
      <c r="AC437" s="59">
        <v>193.1693500135292</v>
      </c>
      <c r="AD437" s="60">
        <v>69.586220147573442</v>
      </c>
      <c r="AE437" s="61">
        <v>0.30748141219406472</v>
      </c>
      <c r="AF437" s="62">
        <v>0.15471209129507674</v>
      </c>
      <c r="AG437" s="62">
        <v>0.46219350348914146</v>
      </c>
      <c r="AH437" s="63">
        <v>0.15276932089898798</v>
      </c>
      <c r="AI437" s="78">
        <v>9.9223442952535983</v>
      </c>
    </row>
    <row r="438" spans="17:35" x14ac:dyDescent="0.25">
      <c r="Q438" s="57"/>
      <c r="R438" s="57"/>
      <c r="Z438">
        <v>406</v>
      </c>
      <c r="AA438" s="58">
        <v>130.88225556706789</v>
      </c>
      <c r="AB438" s="59">
        <v>61.369194714753959</v>
      </c>
      <c r="AC438" s="59">
        <v>192.25145028182186</v>
      </c>
      <c r="AD438" s="60">
        <v>69.513060852313927</v>
      </c>
      <c r="AE438" s="61">
        <v>0.30630936852199608</v>
      </c>
      <c r="AF438" s="62">
        <v>0.15368112155957478</v>
      </c>
      <c r="AG438" s="62">
        <v>0.45999049008157089</v>
      </c>
      <c r="AH438" s="63">
        <v>0.1526282469624213</v>
      </c>
      <c r="AI438" s="78">
        <v>9.9495690198448621</v>
      </c>
    </row>
    <row r="439" spans="17:35" x14ac:dyDescent="0.25">
      <c r="Q439" s="57"/>
      <c r="R439" s="57"/>
      <c r="Z439">
        <v>407</v>
      </c>
      <c r="AA439" s="58">
        <v>130.3884510758395</v>
      </c>
      <c r="AB439" s="59">
        <v>60.944368021329744</v>
      </c>
      <c r="AC439" s="59">
        <v>191.33281909716925</v>
      </c>
      <c r="AD439" s="60">
        <v>69.444083054509747</v>
      </c>
      <c r="AE439" s="61">
        <v>0.30514113208729082</v>
      </c>
      <c r="AF439" s="62">
        <v>0.15264478191143555</v>
      </c>
      <c r="AG439" s="62">
        <v>0.45778591399872637</v>
      </c>
      <c r="AH439" s="63">
        <v>0.15249635017585528</v>
      </c>
      <c r="AI439" s="78">
        <v>9.9014323474915038</v>
      </c>
    </row>
    <row r="440" spans="17:35" x14ac:dyDescent="0.25">
      <c r="Q440" s="57"/>
      <c r="R440" s="57"/>
      <c r="Z440">
        <v>408</v>
      </c>
      <c r="AA440" s="58">
        <v>129.89782062556046</v>
      </c>
      <c r="AB440" s="59">
        <v>60.514804593731121</v>
      </c>
      <c r="AC440" s="59">
        <v>190.41262521929158</v>
      </c>
      <c r="AD440" s="60">
        <v>69.383016031829328</v>
      </c>
      <c r="AE440" s="61">
        <v>0.30397990096933425</v>
      </c>
      <c r="AF440" s="62">
        <v>0.15159809078873726</v>
      </c>
      <c r="AG440" s="62">
        <v>0.45557799175807151</v>
      </c>
      <c r="AH440" s="63">
        <v>0.15238181018059699</v>
      </c>
      <c r="AI440" s="78">
        <v>9.8532956751381491</v>
      </c>
    </row>
    <row r="441" spans="17:35" x14ac:dyDescent="0.25">
      <c r="Q441" s="57"/>
      <c r="R441" s="57"/>
      <c r="Z441">
        <v>409</v>
      </c>
      <c r="AA441" s="58">
        <v>129.40725917617164</v>
      </c>
      <c r="AB441" s="59">
        <v>60.0853812421866</v>
      </c>
      <c r="AC441" s="59">
        <v>189.49264041835823</v>
      </c>
      <c r="AD441" s="60">
        <v>69.321877933985036</v>
      </c>
      <c r="AE441" s="61">
        <v>0.30281882214087213</v>
      </c>
      <c r="AF441" s="62">
        <v>0.15055170207644453</v>
      </c>
      <c r="AG441" s="62">
        <v>0.45337052421731666</v>
      </c>
      <c r="AH441" s="63">
        <v>0.15226712006442761</v>
      </c>
      <c r="AI441" s="78">
        <v>9.8051590027847908</v>
      </c>
    </row>
    <row r="442" spans="17:35" x14ac:dyDescent="0.25">
      <c r="Q442" s="57"/>
      <c r="R442" s="57"/>
      <c r="Z442">
        <v>410</v>
      </c>
      <c r="AA442" s="58">
        <v>128.91669772678279</v>
      </c>
      <c r="AB442" s="59">
        <v>59.656211697294708</v>
      </c>
      <c r="AC442" s="59">
        <v>188.57290942407749</v>
      </c>
      <c r="AD442" s="60">
        <v>69.260486029488078</v>
      </c>
      <c r="AE442" s="61">
        <v>0.30165774331240996</v>
      </c>
      <c r="AF442" s="62">
        <v>0.14950586383509254</v>
      </c>
      <c r="AG442" s="62">
        <v>0.45116360714750248</v>
      </c>
      <c r="AH442" s="63">
        <v>0.15215187947731743</v>
      </c>
      <c r="AI442" s="78">
        <v>9.7570223304314343</v>
      </c>
    </row>
    <row r="443" spans="17:35" x14ac:dyDescent="0.25">
      <c r="Q443" s="57"/>
      <c r="R443" s="57"/>
      <c r="Z443">
        <v>411</v>
      </c>
      <c r="AA443" s="58">
        <v>128.42613627739394</v>
      </c>
      <c r="AB443" s="59">
        <v>59.227301476414311</v>
      </c>
      <c r="AC443" s="59">
        <v>187.65343775380825</v>
      </c>
      <c r="AD443" s="60">
        <v>69.198834800979625</v>
      </c>
      <c r="AE443" s="61">
        <v>0.30049666448394791</v>
      </c>
      <c r="AF443" s="62">
        <v>0.14846058769814402</v>
      </c>
      <c r="AG443" s="62">
        <v>0.44895725218209193</v>
      </c>
      <c r="AH443" s="63">
        <v>0.15203607678580389</v>
      </c>
      <c r="AI443" s="78">
        <v>9.7190529785945685</v>
      </c>
    </row>
    <row r="444" spans="17:35" x14ac:dyDescent="0.25">
      <c r="Q444" s="57"/>
      <c r="R444" s="57"/>
      <c r="Z444">
        <v>412</v>
      </c>
      <c r="AA444" s="58">
        <v>127.93557482800509</v>
      </c>
      <c r="AB444" s="59">
        <v>58.798656254508018</v>
      </c>
      <c r="AC444" s="59">
        <v>186.73423108251311</v>
      </c>
      <c r="AD444" s="60">
        <v>69.13691857349707</v>
      </c>
      <c r="AE444" s="61">
        <v>0.29933558565548579</v>
      </c>
      <c r="AF444" s="62">
        <v>0.14741588562267569</v>
      </c>
      <c r="AG444" s="62">
        <v>0.4467514712781615</v>
      </c>
      <c r="AH444" s="63">
        <v>0.15191970003281011</v>
      </c>
      <c r="AI444" s="78">
        <v>10.016605203801936</v>
      </c>
    </row>
    <row r="445" spans="17:35" x14ac:dyDescent="0.25">
      <c r="Q445" s="57"/>
      <c r="R445" s="57"/>
      <c r="Z445">
        <v>413</v>
      </c>
      <c r="AA445" s="58">
        <v>127.44501337861625</v>
      </c>
      <c r="AB445" s="59">
        <v>58.370281869677314</v>
      </c>
      <c r="AC445" s="59">
        <v>185.81529524829358</v>
      </c>
      <c r="AD445" s="60">
        <v>69.074731508938939</v>
      </c>
      <c r="AE445" s="61">
        <v>0.29817450682702368</v>
      </c>
      <c r="AF445" s="62">
        <v>0.14637176990046874</v>
      </c>
      <c r="AG445" s="62">
        <v>0.44454627672749242</v>
      </c>
      <c r="AH445" s="63">
        <v>0.15180273692655494</v>
      </c>
      <c r="AI445" s="78">
        <v>10.476834557273172</v>
      </c>
    </row>
    <row r="446" spans="17:35" x14ac:dyDescent="0.25">
      <c r="Q446" s="57"/>
      <c r="R446" s="57"/>
      <c r="Z446">
        <v>414</v>
      </c>
      <c r="AA446" s="58">
        <v>126.9544519292274</v>
      </c>
      <c r="AB446" s="59">
        <v>57.942184328928043</v>
      </c>
      <c r="AC446" s="59">
        <v>184.89663625815544</v>
      </c>
      <c r="AD446" s="60">
        <v>69.012267600299367</v>
      </c>
      <c r="AE446" s="61">
        <v>0.29701342799856162</v>
      </c>
      <c r="AF446" s="62">
        <v>0.14532825316954734</v>
      </c>
      <c r="AG446" s="62">
        <v>0.44234168116810896</v>
      </c>
      <c r="AH446" s="63">
        <v>0.15168517482901428</v>
      </c>
      <c r="AI446" s="78">
        <v>10.937063910744406</v>
      </c>
    </row>
    <row r="447" spans="17:35" x14ac:dyDescent="0.25">
      <c r="Q447" s="57"/>
      <c r="R447" s="57"/>
      <c r="Z447">
        <v>415</v>
      </c>
      <c r="AA447" s="58">
        <v>126.46389047983855</v>
      </c>
      <c r="AB447" s="59">
        <v>57.514369814173023</v>
      </c>
      <c r="AC447" s="59">
        <v>183.97826029401159</v>
      </c>
      <c r="AD447" s="60">
        <v>68.949520665665531</v>
      </c>
      <c r="AE447" s="61">
        <v>0.2958523491700995</v>
      </c>
      <c r="AF447" s="62">
        <v>0.14428534842618915</v>
      </c>
      <c r="AG447" s="62">
        <v>0.44013769759628862</v>
      </c>
      <c r="AH447" s="63">
        <v>0.15156700074391036</v>
      </c>
      <c r="AI447" s="78">
        <v>11.397293264215644</v>
      </c>
    </row>
    <row r="448" spans="17:35" x14ac:dyDescent="0.25">
      <c r="Q448" s="57"/>
      <c r="R448" s="57"/>
      <c r="Z448">
        <v>416</v>
      </c>
      <c r="AA448" s="58">
        <v>125.97332903044973</v>
      </c>
      <c r="AB448" s="59">
        <v>57.086844688487638</v>
      </c>
      <c r="AC448" s="59">
        <v>183.06017371893736</v>
      </c>
      <c r="AD448" s="60">
        <v>68.886484341962102</v>
      </c>
      <c r="AE448" s="61">
        <v>0.29469127034163739</v>
      </c>
      <c r="AF448" s="62">
        <v>0.14324306903742312</v>
      </c>
      <c r="AG448" s="62">
        <v>0.43793433937906051</v>
      </c>
      <c r="AH448" s="63">
        <v>0.15144820130421427</v>
      </c>
      <c r="AI448" s="78">
        <v>11.857522617686879</v>
      </c>
    </row>
    <row r="449" spans="17:35" x14ac:dyDescent="0.25">
      <c r="Q449" s="57"/>
      <c r="R449" s="57"/>
      <c r="Z449">
        <v>417</v>
      </c>
      <c r="AA449" s="58">
        <v>125.4827675810609</v>
      </c>
      <c r="AB449" s="59">
        <v>56.65961550262822</v>
      </c>
      <c r="AC449" s="59">
        <v>182.14238308368911</v>
      </c>
      <c r="AD449" s="60">
        <v>68.823152078432685</v>
      </c>
      <c r="AE449" s="61">
        <v>0.29353019151317533</v>
      </c>
      <c r="AF449" s="62">
        <v>0.14220142875404435</v>
      </c>
      <c r="AG449" s="62">
        <v>0.43573162026721968</v>
      </c>
      <c r="AH449" s="63">
        <v>0.15132876275913099</v>
      </c>
      <c r="AI449" s="78">
        <v>12.317751971158113</v>
      </c>
    </row>
    <row r="450" spans="17:35" x14ac:dyDescent="0.25">
      <c r="Q450" s="57"/>
      <c r="R450" s="57"/>
      <c r="Z450">
        <v>418</v>
      </c>
      <c r="AA450" s="58">
        <v>124.99220613167203</v>
      </c>
      <c r="AB450" s="59">
        <v>56.232689001824468</v>
      </c>
      <c r="AC450" s="59">
        <v>181.22489513349649</v>
      </c>
      <c r="AD450" s="60">
        <v>68.759517129847566</v>
      </c>
      <c r="AE450" s="61">
        <v>0.29236911268471322</v>
      </c>
      <c r="AF450" s="62">
        <v>0.14116044172416564</v>
      </c>
      <c r="AG450" s="62">
        <v>0.43352955440887886</v>
      </c>
      <c r="AH450" s="63">
        <v>0.15120867096054758</v>
      </c>
      <c r="AI450" s="78">
        <v>12.77798132462935</v>
      </c>
    </row>
    <row r="451" spans="17:35" x14ac:dyDescent="0.25">
      <c r="Q451" s="57"/>
      <c r="R451" s="57"/>
      <c r="Z451">
        <v>419</v>
      </c>
      <c r="AA451" s="58">
        <v>124.5016446822832</v>
      </c>
      <c r="AB451" s="59">
        <v>55.806072132862397</v>
      </c>
      <c r="AC451" s="59">
        <v>180.3077168151456</v>
      </c>
      <c r="AD451" s="60">
        <v>68.695572549420802</v>
      </c>
      <c r="AE451" s="61">
        <v>0.2912080338562511</v>
      </c>
      <c r="AF451" s="62">
        <v>0.14012012250733286</v>
      </c>
      <c r="AG451" s="62">
        <v>0.43132815636358396</v>
      </c>
      <c r="AH451" s="63">
        <v>0.15108791134891825</v>
      </c>
      <c r="AI451" s="78">
        <v>13.300046821309278</v>
      </c>
    </row>
    <row r="452" spans="17:35" x14ac:dyDescent="0.25">
      <c r="Q452" s="57"/>
      <c r="R452" s="57"/>
      <c r="Z452">
        <v>420</v>
      </c>
      <c r="AA452" s="58">
        <v>124.01108323289436</v>
      </c>
      <c r="AB452" s="59">
        <v>55.379772051468862</v>
      </c>
      <c r="AC452" s="59">
        <v>179.39085528436323</v>
      </c>
      <c r="AD452" s="60">
        <v>68.631311181425502</v>
      </c>
      <c r="AE452" s="61">
        <v>0.29004695502778899</v>
      </c>
      <c r="AF452" s="62">
        <v>0.13908048608923101</v>
      </c>
      <c r="AG452" s="62">
        <v>0.42912744111702</v>
      </c>
      <c r="AH452" s="63">
        <v>0.15096646893855797</v>
      </c>
      <c r="AI452" s="78">
        <v>13.923465049757301</v>
      </c>
    </row>
    <row r="453" spans="17:35" x14ac:dyDescent="0.25">
      <c r="Q453" s="57"/>
      <c r="R453" s="57"/>
      <c r="Z453">
        <v>421</v>
      </c>
      <c r="AA453" s="58">
        <v>123.52052178350552</v>
      </c>
      <c r="AB453" s="59">
        <v>54.953796130014119</v>
      </c>
      <c r="AC453" s="59">
        <v>178.47431791351963</v>
      </c>
      <c r="AD453" s="60">
        <v>68.566725653491403</v>
      </c>
      <c r="AE453" s="61">
        <v>0.28888587619932687</v>
      </c>
      <c r="AF453" s="62">
        <v>0.1380415478970082</v>
      </c>
      <c r="AG453" s="62">
        <v>0.42692742409633511</v>
      </c>
      <c r="AH453" s="63">
        <v>0.15084432830231867</v>
      </c>
      <c r="AI453" s="78">
        <v>14.548346855559373</v>
      </c>
    </row>
    <row r="454" spans="17:35" x14ac:dyDescent="0.25">
      <c r="Q454" s="57"/>
      <c r="R454" s="57"/>
      <c r="Z454">
        <v>422</v>
      </c>
      <c r="AA454" s="58">
        <v>123.02996033411667</v>
      </c>
      <c r="AB454" s="59">
        <v>54.528151965546719</v>
      </c>
      <c r="AC454" s="59">
        <v>177.55811229966338</v>
      </c>
      <c r="AD454" s="60">
        <v>68.501808368569954</v>
      </c>
      <c r="AE454" s="61">
        <v>0.28772479737086482</v>
      </c>
      <c r="AF454" s="62">
        <v>0.13700332381524785</v>
      </c>
      <c r="AG454" s="62">
        <v>0.42472812118611269</v>
      </c>
      <c r="AH454" s="63">
        <v>0.15072147355561696</v>
      </c>
      <c r="AI454" s="78">
        <v>15.173228661361447</v>
      </c>
    </row>
    <row r="455" spans="17:35" x14ac:dyDescent="0.25">
      <c r="Q455" s="57"/>
      <c r="R455" s="57"/>
      <c r="Z455">
        <v>423</v>
      </c>
      <c r="AA455" s="58">
        <v>122.53939888472785</v>
      </c>
      <c r="AB455" s="59">
        <v>54.102847388177487</v>
      </c>
      <c r="AC455" s="59">
        <v>176.64224627290534</v>
      </c>
      <c r="AD455" s="60">
        <v>68.436551496550351</v>
      </c>
      <c r="AE455" s="61">
        <v>0.2865637185424027</v>
      </c>
      <c r="AF455" s="62">
        <v>0.13596583020261999</v>
      </c>
      <c r="AG455" s="62">
        <v>0.42252954874502269</v>
      </c>
      <c r="AH455" s="63">
        <v>0.15059788833978272</v>
      </c>
      <c r="AI455" s="78">
        <v>15.798110467163522</v>
      </c>
    </row>
    <row r="456" spans="17:35" x14ac:dyDescent="0.25">
      <c r="Q456" s="57"/>
      <c r="R456" s="57"/>
      <c r="Z456">
        <v>424</v>
      </c>
      <c r="AA456" s="58">
        <v>122.048837435339</v>
      </c>
      <c r="AB456" s="59">
        <v>53.677890469831254</v>
      </c>
      <c r="AC456" s="59">
        <v>175.72672790517026</v>
      </c>
      <c r="AD456" s="60">
        <v>68.370946965507741</v>
      </c>
      <c r="AE456" s="61">
        <v>0.28540263971394059</v>
      </c>
      <c r="AF456" s="62">
        <v>0.13492908390924543</v>
      </c>
      <c r="AG456" s="62">
        <v>0.42033172362318605</v>
      </c>
      <c r="AH456" s="63">
        <v>0.15047355580469515</v>
      </c>
      <c r="AI456" s="78">
        <v>16.422992272965594</v>
      </c>
    </row>
    <row r="457" spans="17:35" x14ac:dyDescent="0.25">
      <c r="Q457" s="57"/>
      <c r="R457" s="57"/>
      <c r="Z457">
        <v>425</v>
      </c>
      <c r="AA457" s="58">
        <v>121.5594221990545</v>
      </c>
      <c r="AB457" s="59">
        <v>53.254866378203097</v>
      </c>
      <c r="AC457" s="59">
        <v>174.8142885772576</v>
      </c>
      <c r="AD457" s="60">
        <v>68.304555820851391</v>
      </c>
      <c r="AE457" s="61">
        <v>0.2842443140323192</v>
      </c>
      <c r="AF457" s="62">
        <v>0.1338969591832791</v>
      </c>
      <c r="AG457" s="62">
        <v>0.4181412732155983</v>
      </c>
      <c r="AH457" s="63">
        <v>0.1503473548490401</v>
      </c>
      <c r="AI457" s="78">
        <v>17.04787407876767</v>
      </c>
    </row>
    <row r="458" spans="17:35" x14ac:dyDescent="0.25">
      <c r="Q458" s="57"/>
      <c r="R458" s="57"/>
      <c r="Z458">
        <v>426</v>
      </c>
      <c r="AA458" s="58">
        <v>121.14938222024671</v>
      </c>
      <c r="AB458" s="59">
        <v>52.941245564564269</v>
      </c>
      <c r="AC458" s="59">
        <v>174.09062778481098</v>
      </c>
      <c r="AD458" s="60">
        <v>68.208136655682438</v>
      </c>
      <c r="AE458" s="61">
        <v>0.28327664376941691</v>
      </c>
      <c r="AF458" s="62">
        <v>0.13313236778635756</v>
      </c>
      <c r="AG458" s="62">
        <v>0.41640901155577448</v>
      </c>
      <c r="AH458" s="63">
        <v>0.15014427598305935</v>
      </c>
      <c r="AI458" s="78">
        <v>17.672755884569746</v>
      </c>
    </row>
    <row r="459" spans="17:35" x14ac:dyDescent="0.25">
      <c r="Q459" s="57"/>
      <c r="R459" s="57"/>
      <c r="Z459">
        <v>427</v>
      </c>
      <c r="AA459" s="58">
        <v>120.78776974509799</v>
      </c>
      <c r="AB459" s="59">
        <v>52.694222891272659</v>
      </c>
      <c r="AC459" s="59">
        <v>173.48199263637065</v>
      </c>
      <c r="AD459" s="60">
        <v>68.09354685382533</v>
      </c>
      <c r="AE459" s="61">
        <v>0.28242529396053456</v>
      </c>
      <c r="AF459" s="62">
        <v>0.13253067926385412</v>
      </c>
      <c r="AG459" s="62">
        <v>0.41495597322438871</v>
      </c>
      <c r="AH459" s="63">
        <v>0.14989461469668044</v>
      </c>
      <c r="AI459" s="78">
        <v>18.297637690371818</v>
      </c>
    </row>
    <row r="460" spans="17:35" x14ac:dyDescent="0.25">
      <c r="Q460" s="57"/>
      <c r="R460" s="57"/>
      <c r="Z460">
        <v>428</v>
      </c>
      <c r="AA460" s="58">
        <v>120.42615726994923</v>
      </c>
      <c r="AB460" s="59">
        <v>52.447200506054692</v>
      </c>
      <c r="AC460" s="59">
        <v>172.87335777600393</v>
      </c>
      <c r="AD460" s="60">
        <v>67.97895676389453</v>
      </c>
      <c r="AE460" s="61">
        <v>0.2815739441516521</v>
      </c>
      <c r="AF460" s="62">
        <v>0.13192899132628455</v>
      </c>
      <c r="AG460" s="62">
        <v>0.41350293547793665</v>
      </c>
      <c r="AH460" s="63">
        <v>0.14964495282536755</v>
      </c>
      <c r="AI460" s="78">
        <v>18.754903227199595</v>
      </c>
    </row>
    <row r="461" spans="17:35" x14ac:dyDescent="0.25">
      <c r="Q461" s="57"/>
      <c r="R461" s="57"/>
      <c r="Z461">
        <v>429</v>
      </c>
      <c r="AA461" s="58">
        <v>120.0645447948005</v>
      </c>
      <c r="AB461" s="59">
        <v>52.200178413000046</v>
      </c>
      <c r="AC461" s="59">
        <v>172.26472320780056</v>
      </c>
      <c r="AD461" s="60">
        <v>67.864366381800451</v>
      </c>
      <c r="AE461" s="61">
        <v>0.2807225943427698</v>
      </c>
      <c r="AF461" s="62">
        <v>0.13132730398168849</v>
      </c>
      <c r="AG461" s="62">
        <v>0.41204989832445826</v>
      </c>
      <c r="AH461" s="63">
        <v>0.14939529036108132</v>
      </c>
      <c r="AI461" s="78">
        <v>18.383784228104812</v>
      </c>
    </row>
    <row r="462" spans="17:35" x14ac:dyDescent="0.25">
      <c r="Q462" s="57"/>
      <c r="R462" s="57"/>
      <c r="Z462">
        <v>430</v>
      </c>
      <c r="AA462" s="58">
        <v>119.70293231965177</v>
      </c>
      <c r="AB462" s="59">
        <v>51.953156616276111</v>
      </c>
      <c r="AC462" s="59">
        <v>171.65608893592787</v>
      </c>
      <c r="AD462" s="60">
        <v>67.749775703375661</v>
      </c>
      <c r="AE462" s="61">
        <v>0.2798712445338874</v>
      </c>
      <c r="AF462" s="62">
        <v>0.13072561723825366</v>
      </c>
      <c r="AG462" s="62">
        <v>0.41059686177214105</v>
      </c>
      <c r="AH462" s="63">
        <v>0.14914562729563374</v>
      </c>
      <c r="AI462" s="78">
        <v>17.900459296886734</v>
      </c>
    </row>
    <row r="463" spans="17:35" x14ac:dyDescent="0.25">
      <c r="Q463" s="57"/>
      <c r="R463" s="57"/>
      <c r="Z463">
        <v>431</v>
      </c>
      <c r="AA463" s="58">
        <v>119.34131984450302</v>
      </c>
      <c r="AB463" s="59">
        <v>51.706135120129971</v>
      </c>
      <c r="AC463" s="59">
        <v>171.047454964633</v>
      </c>
      <c r="AD463" s="60">
        <v>67.635184724373048</v>
      </c>
      <c r="AE463" s="61">
        <v>0.27901989472500505</v>
      </c>
      <c r="AF463" s="62">
        <v>0.13012393110431936</v>
      </c>
      <c r="AG463" s="62">
        <v>0.4091438258293244</v>
      </c>
      <c r="AH463" s="63">
        <v>0.14889596362068569</v>
      </c>
      <c r="AI463" s="78">
        <v>17.417134365668666</v>
      </c>
    </row>
    <row r="464" spans="17:35" x14ac:dyDescent="0.25">
      <c r="Q464" s="57"/>
      <c r="R464" s="57"/>
      <c r="Z464">
        <v>432</v>
      </c>
      <c r="AA464" s="58">
        <v>118.97970736935429</v>
      </c>
      <c r="AB464" s="59">
        <v>51.459113928890361</v>
      </c>
      <c r="AC464" s="59">
        <v>170.43882129824465</v>
      </c>
      <c r="AD464" s="60">
        <v>67.520593440463927</v>
      </c>
      <c r="AE464" s="61">
        <v>0.2781685449161227</v>
      </c>
      <c r="AF464" s="62">
        <v>0.12952224558838002</v>
      </c>
      <c r="AG464" s="62">
        <v>0.40769079050450274</v>
      </c>
      <c r="AH464" s="63">
        <v>0.14864629932774268</v>
      </c>
      <c r="AI464" s="78">
        <v>16.933809434450588</v>
      </c>
    </row>
    <row r="465" spans="17:35" x14ac:dyDescent="0.25">
      <c r="Q465" s="57"/>
      <c r="R465" s="57"/>
      <c r="Z465">
        <v>433</v>
      </c>
      <c r="AA465" s="58">
        <v>118.61809489420556</v>
      </c>
      <c r="AB465" s="59">
        <v>51.212093046969279</v>
      </c>
      <c r="AC465" s="59">
        <v>169.83018794117484</v>
      </c>
      <c r="AD465" s="60">
        <v>67.406001847236269</v>
      </c>
      <c r="AE465" s="61">
        <v>0.27731719510724029</v>
      </c>
      <c r="AF465" s="62">
        <v>0.12892056069908825</v>
      </c>
      <c r="AG465" s="62">
        <v>0.40623775580632854</v>
      </c>
      <c r="AH465" s="63">
        <v>0.14839663440815204</v>
      </c>
      <c r="AI465" s="78">
        <v>16.450484503232516</v>
      </c>
    </row>
    <row r="466" spans="17:35" x14ac:dyDescent="0.25">
      <c r="Q466" s="57"/>
      <c r="R466" s="57"/>
      <c r="Z466">
        <v>434</v>
      </c>
      <c r="AA466" s="58">
        <v>118.25648241905681</v>
      </c>
      <c r="AB466" s="59">
        <v>50.965072478864521</v>
      </c>
      <c r="AC466" s="59">
        <v>169.22155489792132</v>
      </c>
      <c r="AD466" s="60">
        <v>67.291409940192295</v>
      </c>
      <c r="AE466" s="61">
        <v>0.27646584529835794</v>
      </c>
      <c r="AF466" s="62">
        <v>0.12831887644525869</v>
      </c>
      <c r="AG466" s="62">
        <v>0.40478472174361663</v>
      </c>
      <c r="AH466" s="63">
        <v>0.14814696885309925</v>
      </c>
      <c r="AI466" s="78">
        <v>15.967159572014442</v>
      </c>
    </row>
    <row r="467" spans="17:35" x14ac:dyDescent="0.25">
      <c r="Q467" s="57"/>
      <c r="R467" s="57"/>
      <c r="Z467">
        <v>435</v>
      </c>
      <c r="AA467" s="58">
        <v>117.89486994390809</v>
      </c>
      <c r="AB467" s="59">
        <v>50.718052229161366</v>
      </c>
      <c r="AC467" s="59">
        <v>168.61292217306945</v>
      </c>
      <c r="AD467" s="60">
        <v>67.176817714746733</v>
      </c>
      <c r="AE467" s="61">
        <v>0.27561449548947564</v>
      </c>
      <c r="AF467" s="62">
        <v>0.12771719283587285</v>
      </c>
      <c r="AG467" s="62">
        <v>0.40333168832534849</v>
      </c>
      <c r="AH467" s="63">
        <v>0.14789730265360279</v>
      </c>
      <c r="AI467" s="78">
        <v>15.483834640796367</v>
      </c>
    </row>
    <row r="468" spans="17:35" x14ac:dyDescent="0.25">
      <c r="Q468" s="57"/>
      <c r="R468" s="57"/>
      <c r="Z468">
        <v>436</v>
      </c>
      <c r="AA468" s="58">
        <v>117.53325746875934</v>
      </c>
      <c r="AB468" s="59">
        <v>50.471032302534852</v>
      </c>
      <c r="AC468" s="59">
        <v>168.0042897712942</v>
      </c>
      <c r="AD468" s="60">
        <v>67.062225166224493</v>
      </c>
      <c r="AE468" s="61">
        <v>0.27476314568059318</v>
      </c>
      <c r="AF468" s="62">
        <v>0.1271155098800818</v>
      </c>
      <c r="AG468" s="62">
        <v>0.40187865556067498</v>
      </c>
      <c r="AH468" s="63">
        <v>0.14764763580051138</v>
      </c>
      <c r="AI468" s="78">
        <v>15.000509709578294</v>
      </c>
    </row>
    <row r="469" spans="17:35" x14ac:dyDescent="0.25">
      <c r="Q469" s="57"/>
      <c r="R469" s="57"/>
      <c r="Z469">
        <v>437</v>
      </c>
      <c r="AA469" s="58">
        <v>117.18272741187968</v>
      </c>
      <c r="AB469" s="59">
        <v>50.2265289830477</v>
      </c>
      <c r="AC469" s="59">
        <v>167.40925639492738</v>
      </c>
      <c r="AD469" s="60">
        <v>66.956198428831982</v>
      </c>
      <c r="AE469" s="61">
        <v>0.27393750974025233</v>
      </c>
      <c r="AF469" s="62">
        <v>0.1265185817378546</v>
      </c>
      <c r="AG469" s="62">
        <v>0.4004560914781069</v>
      </c>
      <c r="AH469" s="63">
        <v>0.14741892800239773</v>
      </c>
      <c r="AI469" s="78">
        <v>14.517184778360219</v>
      </c>
    </row>
    <row r="470" spans="17:35" x14ac:dyDescent="0.25">
      <c r="Q470" s="57"/>
      <c r="R470" s="57"/>
      <c r="Z470">
        <v>438</v>
      </c>
      <c r="AA470" s="58">
        <v>116.87265892640893</v>
      </c>
      <c r="AB470" s="59">
        <v>49.991316942161738</v>
      </c>
      <c r="AC470" s="59">
        <v>166.86397586857066</v>
      </c>
      <c r="AD470" s="60">
        <v>66.8813419842472</v>
      </c>
      <c r="AE470" s="61">
        <v>0.27320575435043121</v>
      </c>
      <c r="AF470" s="62">
        <v>0.12593923468678078</v>
      </c>
      <c r="AG470" s="62">
        <v>0.39914498903721196</v>
      </c>
      <c r="AH470" s="63">
        <v>0.14726651966365042</v>
      </c>
      <c r="AI470" s="78">
        <v>14.033859847142146</v>
      </c>
    </row>
    <row r="471" spans="17:35" x14ac:dyDescent="0.25">
      <c r="Q471" s="57"/>
      <c r="R471" s="57"/>
      <c r="Z471">
        <v>439</v>
      </c>
      <c r="AA471" s="58">
        <v>116.56630504650759</v>
      </c>
      <c r="AB471" s="59">
        <v>49.757147147672775</v>
      </c>
      <c r="AC471" s="59">
        <v>166.32345219418036</v>
      </c>
      <c r="AD471" s="60">
        <v>66.809157898834826</v>
      </c>
      <c r="AE471" s="61">
        <v>0.27248261773649235</v>
      </c>
      <c r="AF471" s="62">
        <v>0.12536190738235753</v>
      </c>
      <c r="AG471" s="62">
        <v>0.39784452511884988</v>
      </c>
      <c r="AH471" s="63">
        <v>0.14712071035413482</v>
      </c>
      <c r="AI471" s="78">
        <v>13.550534915924072</v>
      </c>
    </row>
    <row r="472" spans="17:35" x14ac:dyDescent="0.25">
      <c r="Q472" s="57"/>
      <c r="R472" s="57"/>
      <c r="Z472">
        <v>440</v>
      </c>
      <c r="AA472" s="58">
        <v>116.25995116660629</v>
      </c>
      <c r="AB472" s="59">
        <v>49.523178198865921</v>
      </c>
      <c r="AC472" s="59">
        <v>165.78312936547221</v>
      </c>
      <c r="AD472" s="60">
        <v>66.736772967740364</v>
      </c>
      <c r="AE472" s="61">
        <v>0.2717594811225536</v>
      </c>
      <c r="AF472" s="62">
        <v>0.12478501049341365</v>
      </c>
      <c r="AG472" s="62">
        <v>0.39654449161596728</v>
      </c>
      <c r="AH472" s="63">
        <v>0.14697447062913996</v>
      </c>
      <c r="AI472" s="78">
        <v>13.067209984705999</v>
      </c>
    </row>
    <row r="473" spans="17:35" x14ac:dyDescent="0.25">
      <c r="Q473" s="57"/>
      <c r="R473" s="57"/>
      <c r="Z473">
        <v>441</v>
      </c>
      <c r="AA473" s="58">
        <v>115.95359728670496</v>
      </c>
      <c r="AB473" s="59">
        <v>49.289412955888267</v>
      </c>
      <c r="AC473" s="59">
        <v>165.24301024259324</v>
      </c>
      <c r="AD473" s="60">
        <v>66.664184330816695</v>
      </c>
      <c r="AE473" s="61">
        <v>0.27103634450861486</v>
      </c>
      <c r="AF473" s="62">
        <v>0.12420855001725054</v>
      </c>
      <c r="AG473" s="62">
        <v>0.39524489452586542</v>
      </c>
      <c r="AH473" s="63">
        <v>0.14682779449136432</v>
      </c>
      <c r="AI473" s="78">
        <v>13.849301080428637</v>
      </c>
    </row>
    <row r="474" spans="17:35" x14ac:dyDescent="0.25">
      <c r="Q474" s="57"/>
      <c r="R474" s="57"/>
      <c r="Z474">
        <v>442</v>
      </c>
      <c r="AA474" s="58">
        <v>115.64724340680363</v>
      </c>
      <c r="AB474" s="59">
        <v>49.055854330890192</v>
      </c>
      <c r="AC474" s="59">
        <v>164.70309773769381</v>
      </c>
      <c r="AD474" s="60">
        <v>66.59138907591344</v>
      </c>
      <c r="AE474" s="61">
        <v>0.270313207894676</v>
      </c>
      <c r="AF474" s="62">
        <v>0.12363253205844421</v>
      </c>
      <c r="AG474" s="62">
        <v>0.39394573995312021</v>
      </c>
      <c r="AH474" s="63">
        <v>0.14668067583623179</v>
      </c>
      <c r="AI474" s="78">
        <v>16.000861612558364</v>
      </c>
    </row>
    <row r="475" spans="17:35" x14ac:dyDescent="0.25">
      <c r="Q475" s="57"/>
      <c r="R475" s="57"/>
      <c r="Z475">
        <v>443</v>
      </c>
      <c r="AA475" s="58">
        <v>115.3408895269023</v>
      </c>
      <c r="AB475" s="59">
        <v>48.822505289148452</v>
      </c>
      <c r="AC475" s="59">
        <v>164.16339481605075</v>
      </c>
      <c r="AD475" s="60">
        <v>66.51838423775385</v>
      </c>
      <c r="AE475" s="61">
        <v>0.2695900712807372</v>
      </c>
      <c r="AF475" s="62">
        <v>0.1230569628311398</v>
      </c>
      <c r="AG475" s="62">
        <v>0.39264703411187701</v>
      </c>
      <c r="AH475" s="63">
        <v>0.14653310844959738</v>
      </c>
      <c r="AI475" s="78">
        <v>11.924647686465475</v>
      </c>
    </row>
    <row r="476" spans="17:35" x14ac:dyDescent="0.25">
      <c r="Q476" s="57"/>
      <c r="R476" s="57"/>
      <c r="Z476">
        <v>444</v>
      </c>
      <c r="AA476" s="58">
        <v>115.03453564700099</v>
      </c>
      <c r="AB476" s="59">
        <v>48.589368850215827</v>
      </c>
      <c r="AC476" s="59">
        <v>163.62390449721681</v>
      </c>
      <c r="AD476" s="60">
        <v>66.445166796785173</v>
      </c>
      <c r="AE476" s="61">
        <v>0.26886693466679845</v>
      </c>
      <c r="AF476" s="62">
        <v>0.1224818486614024</v>
      </c>
      <c r="AG476" s="62">
        <v>0.39134878332820083</v>
      </c>
      <c r="AH476" s="63">
        <v>0.14638508600539607</v>
      </c>
      <c r="AI476" s="78">
        <v>10.841204553642529</v>
      </c>
    </row>
    <row r="477" spans="17:35" x14ac:dyDescent="0.25">
      <c r="Q477" s="57"/>
      <c r="R477" s="57"/>
      <c r="Z477">
        <v>445</v>
      </c>
      <c r="AA477" s="58">
        <v>114.72818176709966</v>
      </c>
      <c r="AB477" s="59">
        <v>48.356448089098741</v>
      </c>
      <c r="AC477" s="59">
        <v>163.0846298561984</v>
      </c>
      <c r="AD477" s="60">
        <v>66.371733678000908</v>
      </c>
      <c r="AE477" s="61">
        <v>0.26814379805285959</v>
      </c>
      <c r="AF477" s="62">
        <v>0.1219071959896247</v>
      </c>
      <c r="AG477" s="62">
        <v>0.39005099404248428</v>
      </c>
      <c r="AH477" s="63">
        <v>0.14623660206323491</v>
      </c>
      <c r="AI477" s="78">
        <v>10.249852877598876</v>
      </c>
    </row>
    <row r="478" spans="17:35" x14ac:dyDescent="0.25">
      <c r="Q478" s="57"/>
      <c r="R478" s="57"/>
      <c r="Z478">
        <v>446</v>
      </c>
      <c r="AA478" s="58">
        <v>114.44245502520108</v>
      </c>
      <c r="AB478" s="59">
        <v>48.151673923624443</v>
      </c>
      <c r="AC478" s="59">
        <v>162.59412894882553</v>
      </c>
      <c r="AD478" s="60">
        <v>66.290781101576641</v>
      </c>
      <c r="AE478" s="61">
        <v>0.26747020679799</v>
      </c>
      <c r="AF478" s="62">
        <v>0.12140145880824932</v>
      </c>
      <c r="AG478" s="62">
        <v>0.38887166560623931</v>
      </c>
      <c r="AH478" s="63">
        <v>0.14606874798974068</v>
      </c>
      <c r="AI478" s="78">
        <v>9.842570254330262</v>
      </c>
    </row>
    <row r="479" spans="17:35" x14ac:dyDescent="0.25">
      <c r="Q479" s="57"/>
      <c r="R479" s="57"/>
      <c r="Z479">
        <v>447</v>
      </c>
      <c r="AA479" s="58">
        <v>114.19691726771606</v>
      </c>
      <c r="AB479" s="59">
        <v>48.001405548830427</v>
      </c>
      <c r="AC479" s="59">
        <v>162.19832281654649</v>
      </c>
      <c r="AD479" s="60">
        <v>66.195511718885626</v>
      </c>
      <c r="AE479" s="61">
        <v>0.26689314748386411</v>
      </c>
      <c r="AF479" s="62">
        <v>0.12102927939760495</v>
      </c>
      <c r="AG479" s="62">
        <v>0.38792242688146905</v>
      </c>
      <c r="AH479" s="63">
        <v>0.14586386808625917</v>
      </c>
      <c r="AI479" s="78">
        <v>9.5196112597592961</v>
      </c>
    </row>
    <row r="480" spans="17:35" x14ac:dyDescent="0.25">
      <c r="Q480" s="57"/>
      <c r="R480" s="57"/>
      <c r="Z480">
        <v>448</v>
      </c>
      <c r="AA480" s="58">
        <v>113.95241902863933</v>
      </c>
      <c r="AB480" s="59">
        <v>47.852572722066185</v>
      </c>
      <c r="AC480" s="59">
        <v>161.80499175070551</v>
      </c>
      <c r="AD480" s="60">
        <v>66.099846306573141</v>
      </c>
      <c r="AE480" s="61">
        <v>0.26631858504122818</v>
      </c>
      <c r="AF480" s="62">
        <v>0.12066060944961281</v>
      </c>
      <c r="AG480" s="62">
        <v>0.38697919449084101</v>
      </c>
      <c r="AH480" s="63">
        <v>0.14565797559161536</v>
      </c>
      <c r="AI480" s="78">
        <v>9.196652265188332</v>
      </c>
    </row>
    <row r="481" spans="17:35" x14ac:dyDescent="0.25">
      <c r="Q481" s="57"/>
      <c r="R481" s="57"/>
      <c r="Z481">
        <v>449</v>
      </c>
      <c r="AA481" s="58">
        <v>113.70792078956259</v>
      </c>
      <c r="AB481" s="59">
        <v>47.703768017940803</v>
      </c>
      <c r="AC481" s="59">
        <v>161.4116888075034</v>
      </c>
      <c r="AD481" s="60">
        <v>66.00415277162179</v>
      </c>
      <c r="AE481" s="61">
        <v>0.26574402259859231</v>
      </c>
      <c r="AF481" s="62">
        <v>0.12029199952882716</v>
      </c>
      <c r="AG481" s="62">
        <v>0.3860360221274195</v>
      </c>
      <c r="AH481" s="63">
        <v>0.14545202306976515</v>
      </c>
      <c r="AI481" s="78">
        <v>8.8736932706173661</v>
      </c>
    </row>
    <row r="482" spans="17:35" x14ac:dyDescent="0.25">
      <c r="Q482" s="57"/>
      <c r="R482" s="57"/>
      <c r="Z482">
        <v>450</v>
      </c>
      <c r="AA482" s="58">
        <v>113.46342255048584</v>
      </c>
      <c r="AB482" s="59">
        <v>47.554991700450522</v>
      </c>
      <c r="AC482" s="59">
        <v>161.01841425093636</v>
      </c>
      <c r="AD482" s="60">
        <v>65.90843085003533</v>
      </c>
      <c r="AE482" s="61">
        <v>0.26516946015595633</v>
      </c>
      <c r="AF482" s="62">
        <v>0.11992345018876698</v>
      </c>
      <c r="AG482" s="62">
        <v>0.38509291034472332</v>
      </c>
      <c r="AH482" s="63">
        <v>0.14524600996718934</v>
      </c>
      <c r="AI482" s="78">
        <v>8.550734276046402</v>
      </c>
    </row>
    <row r="483" spans="17:35" x14ac:dyDescent="0.25">
      <c r="Q483" s="57"/>
      <c r="R483" s="57"/>
      <c r="Z483">
        <v>451</v>
      </c>
      <c r="AA483" s="58">
        <v>113.21892431140914</v>
      </c>
      <c r="AB483" s="59">
        <v>47.406244036855021</v>
      </c>
      <c r="AC483" s="59">
        <v>160.62516834826417</v>
      </c>
      <c r="AD483" s="60">
        <v>65.812680274554111</v>
      </c>
      <c r="AE483" s="61">
        <v>0.2645948977133204</v>
      </c>
      <c r="AF483" s="62">
        <v>0.11955496198968453</v>
      </c>
      <c r="AG483" s="62">
        <v>0.38414985970300491</v>
      </c>
      <c r="AH483" s="63">
        <v>0.14503993572363588</v>
      </c>
      <c r="AI483" s="78">
        <v>8.2277752814754361</v>
      </c>
    </row>
    <row r="484" spans="17:35" x14ac:dyDescent="0.25">
      <c r="Q484" s="57"/>
      <c r="R484" s="57"/>
      <c r="Z484">
        <v>452</v>
      </c>
      <c r="AA484" s="58">
        <v>112.97442607233239</v>
      </c>
      <c r="AB484" s="59">
        <v>47.257525297727234</v>
      </c>
      <c r="AC484" s="59">
        <v>160.23195137005962</v>
      </c>
      <c r="AD484" s="60">
        <v>65.716900774605165</v>
      </c>
      <c r="AE484" s="61">
        <v>0.26402033527068447</v>
      </c>
      <c r="AF484" s="62">
        <v>0.11918653549866716</v>
      </c>
      <c r="AG484" s="62">
        <v>0.38320687076935162</v>
      </c>
      <c r="AH484" s="63">
        <v>0.14483379977201732</v>
      </c>
      <c r="AI484" s="78">
        <v>7.9048162869044711</v>
      </c>
    </row>
    <row r="485" spans="17:35" x14ac:dyDescent="0.25">
      <c r="Q485" s="57"/>
      <c r="R485" s="57"/>
      <c r="Z485">
        <v>453</v>
      </c>
      <c r="AA485" s="58">
        <v>112.72992783325566</v>
      </c>
      <c r="AB485" s="59">
        <v>47.108835757003561</v>
      </c>
      <c r="AC485" s="59">
        <v>159.83876359025922</v>
      </c>
      <c r="AD485" s="60">
        <v>65.621092076252097</v>
      </c>
      <c r="AE485" s="61">
        <v>0.26344577282804854</v>
      </c>
      <c r="AF485" s="62">
        <v>0.11881817128974043</v>
      </c>
      <c r="AG485" s="62">
        <v>0.38226394411778897</v>
      </c>
      <c r="AH485" s="63">
        <v>0.14462760153830811</v>
      </c>
      <c r="AI485" s="78">
        <v>7.5818572923335061</v>
      </c>
    </row>
    <row r="486" spans="17:35" x14ac:dyDescent="0.25">
      <c r="Q486" s="57"/>
      <c r="R486" s="57"/>
      <c r="Z486">
        <v>454</v>
      </c>
      <c r="AA486" s="58">
        <v>112.48542959417894</v>
      </c>
      <c r="AB486" s="59">
        <v>46.960175692035875</v>
      </c>
      <c r="AC486" s="59">
        <v>159.4456052862148</v>
      </c>
      <c r="AD486" s="60">
        <v>65.525253902143064</v>
      </c>
      <c r="AE486" s="61">
        <v>0.26287121038541267</v>
      </c>
      <c r="AF486" s="62">
        <v>0.11844986994397279</v>
      </c>
      <c r="AG486" s="62">
        <v>0.38132108032938544</v>
      </c>
      <c r="AH486" s="63">
        <v>0.14442134044143989</v>
      </c>
      <c r="AI486" s="78">
        <v>7.2588982977625411</v>
      </c>
    </row>
    <row r="487" spans="17:35" x14ac:dyDescent="0.25">
      <c r="Q487" s="57"/>
      <c r="R487" s="57"/>
      <c r="Z487">
        <v>455</v>
      </c>
      <c r="AA487" s="58">
        <v>112.24093135510221</v>
      </c>
      <c r="AB487" s="59">
        <v>46.811545383643811</v>
      </c>
      <c r="AC487" s="59">
        <v>159.05247673874601</v>
      </c>
      <c r="AD487" s="60">
        <v>65.429385971458402</v>
      </c>
      <c r="AE487" s="61">
        <v>0.26229664794277663</v>
      </c>
      <c r="AF487" s="62">
        <v>0.11808163204958272</v>
      </c>
      <c r="AG487" s="62">
        <v>0.38037827999235935</v>
      </c>
      <c r="AH487" s="63">
        <v>0.14421501589319391</v>
      </c>
      <c r="AI487" s="78">
        <v>6.9359393031915761</v>
      </c>
    </row>
    <row r="488" spans="17:35" x14ac:dyDescent="0.25">
      <c r="Q488" s="57"/>
      <c r="R488" s="57"/>
      <c r="Z488">
        <v>456</v>
      </c>
      <c r="AA488" s="58">
        <v>111.99643311602547</v>
      </c>
      <c r="AB488" s="59">
        <v>46.662945116168501</v>
      </c>
      <c r="AC488" s="59">
        <v>158.65937823219397</v>
      </c>
      <c r="AD488" s="60">
        <v>65.33348799985697</v>
      </c>
      <c r="AE488" s="61">
        <v>0.26172208550014076</v>
      </c>
      <c r="AF488" s="62">
        <v>0.11771345820204596</v>
      </c>
      <c r="AG488" s="62">
        <v>0.37943554370218668</v>
      </c>
      <c r="AH488" s="63">
        <v>0.1440086272980948</v>
      </c>
      <c r="AI488" s="78">
        <v>6.7681039698750061</v>
      </c>
    </row>
    <row r="489" spans="17:35" x14ac:dyDescent="0.25">
      <c r="Q489" s="57"/>
      <c r="R489" s="57"/>
      <c r="Z489">
        <v>457</v>
      </c>
      <c r="AA489" s="58">
        <v>111.75193487694874</v>
      </c>
      <c r="AB489" s="59">
        <v>46.514375177526475</v>
      </c>
      <c r="AC489" s="59">
        <v>158.26631005447521</v>
      </c>
      <c r="AD489" s="60">
        <v>65.237559699422263</v>
      </c>
      <c r="AE489" s="61">
        <v>0.26114752305750483</v>
      </c>
      <c r="AF489" s="62">
        <v>0.11734534900420877</v>
      </c>
      <c r="AG489" s="62">
        <v>0.37849287206171361</v>
      </c>
      <c r="AH489" s="63">
        <v>0.14380217405329604</v>
      </c>
      <c r="AI489" s="78">
        <v>8.2899627318749065</v>
      </c>
    </row>
    <row r="490" spans="17:35" x14ac:dyDescent="0.25">
      <c r="Q490" s="57"/>
      <c r="R490" s="57"/>
      <c r="Z490">
        <v>458</v>
      </c>
      <c r="AA490" s="58">
        <v>111.507436637872</v>
      </c>
      <c r="AB490" s="59">
        <v>46.365835859265637</v>
      </c>
      <c r="AC490" s="59">
        <v>157.87327249713763</v>
      </c>
      <c r="AD490" s="60">
        <v>65.141600778606374</v>
      </c>
      <c r="AE490" s="61">
        <v>0.26057296061486884</v>
      </c>
      <c r="AF490" s="62">
        <v>0.11697730506639839</v>
      </c>
      <c r="AG490" s="62">
        <v>0.37755026568126726</v>
      </c>
      <c r="AH490" s="63">
        <v>0.14359565554847045</v>
      </c>
      <c r="AI490" s="78">
        <v>10.274628450179241</v>
      </c>
    </row>
    <row r="491" spans="17:35" x14ac:dyDescent="0.25">
      <c r="Q491" s="57"/>
      <c r="R491" s="57"/>
      <c r="Z491">
        <v>459</v>
      </c>
      <c r="AA491" s="58">
        <v>111.26293839879527</v>
      </c>
      <c r="AB491" s="59">
        <v>46.217327456621362</v>
      </c>
      <c r="AC491" s="59">
        <v>157.48026585541663</v>
      </c>
      <c r="AD491" s="60">
        <v>65.045610942173909</v>
      </c>
      <c r="AE491" s="61">
        <v>0.25999839817223297</v>
      </c>
      <c r="AF491" s="62">
        <v>0.11660932700653849</v>
      </c>
      <c r="AG491" s="62">
        <v>0.37660772517877145</v>
      </c>
      <c r="AH491" s="63">
        <v>0.14338907116569449</v>
      </c>
      <c r="AI491" s="78">
        <v>12.648692353108277</v>
      </c>
    </row>
    <row r="492" spans="17:35" x14ac:dyDescent="0.25">
      <c r="Q492" s="57"/>
      <c r="R492" s="57"/>
      <c r="Z492">
        <v>460</v>
      </c>
      <c r="AA492" s="58">
        <v>111.01844015971854</v>
      </c>
      <c r="AB492" s="59">
        <v>46.06885026857416</v>
      </c>
      <c r="AC492" s="59">
        <v>157.0872904282927</v>
      </c>
      <c r="AD492" s="60">
        <v>64.94958989114437</v>
      </c>
      <c r="AE492" s="61">
        <v>0.25942383572959699</v>
      </c>
      <c r="AF492" s="62">
        <v>0.11624141545026606</v>
      </c>
      <c r="AG492" s="62">
        <v>0.37566525117986305</v>
      </c>
      <c r="AH492" s="63">
        <v>0.14318242027933092</v>
      </c>
      <c r="AI492" s="78">
        <v>14.730356680817572</v>
      </c>
    </row>
    <row r="493" spans="17:35" x14ac:dyDescent="0.25">
      <c r="Q493" s="57"/>
      <c r="R493" s="57"/>
      <c r="Z493">
        <v>461</v>
      </c>
      <c r="AA493" s="58">
        <v>110.7739419206418</v>
      </c>
      <c r="AB493" s="59">
        <v>45.920404597908139</v>
      </c>
      <c r="AC493" s="59">
        <v>156.69434651854993</v>
      </c>
      <c r="AD493" s="60">
        <v>64.853537322733672</v>
      </c>
      <c r="AE493" s="61">
        <v>0.25884927328696111</v>
      </c>
      <c r="AF493" s="62">
        <v>0.11587357103104985</v>
      </c>
      <c r="AG493" s="62">
        <v>0.37472284431801095</v>
      </c>
      <c r="AH493" s="63">
        <v>0.14297570225591127</v>
      </c>
      <c r="AI493" s="78">
        <v>14.976897166325497</v>
      </c>
    </row>
    <row r="494" spans="17:35" x14ac:dyDescent="0.25">
      <c r="Q494" s="57"/>
      <c r="R494" s="57"/>
      <c r="Z494">
        <v>462</v>
      </c>
      <c r="AA494" s="58">
        <v>110.5294436815651</v>
      </c>
      <c r="AB494" s="59">
        <v>45.771990751270337</v>
      </c>
      <c r="AC494" s="59">
        <v>156.30143443283544</v>
      </c>
      <c r="AD494" s="60">
        <v>64.757452930294761</v>
      </c>
      <c r="AE494" s="61">
        <v>0.25827471084432513</v>
      </c>
      <c r="AF494" s="62">
        <v>0.11550579439031239</v>
      </c>
      <c r="AG494" s="62">
        <v>0.37378050523463752</v>
      </c>
      <c r="AH494" s="63">
        <v>0.14276891645401274</v>
      </c>
      <c r="AI494" s="78">
        <v>15.292996557920405</v>
      </c>
    </row>
    <row r="495" spans="17:35" x14ac:dyDescent="0.25">
      <c r="Q495" s="57"/>
      <c r="R495" s="57"/>
      <c r="Z495">
        <v>463</v>
      </c>
      <c r="AA495" s="58">
        <v>110.28494544248834</v>
      </c>
      <c r="AB495" s="59">
        <v>45.623609039232285</v>
      </c>
      <c r="AC495" s="59">
        <v>155.90855448172061</v>
      </c>
      <c r="AD495" s="60">
        <v>64.661336403256058</v>
      </c>
      <c r="AE495" s="61">
        <v>0.2577001484016892</v>
      </c>
      <c r="AF495" s="62">
        <v>0.11513808617755206</v>
      </c>
      <c r="AG495" s="62">
        <v>0.37283823457924126</v>
      </c>
      <c r="AH495" s="63">
        <v>0.14256206222413714</v>
      </c>
      <c r="AI495" s="78">
        <v>14.451597192764281</v>
      </c>
    </row>
    <row r="496" spans="17:35" x14ac:dyDescent="0.25">
      <c r="Q496" s="57"/>
      <c r="R496" s="57"/>
      <c r="Z496">
        <v>464</v>
      </c>
      <c r="AA496" s="58">
        <v>110.0404472034116</v>
      </c>
      <c r="AB496" s="59">
        <v>45.475259776350761</v>
      </c>
      <c r="AC496" s="59">
        <v>155.51570697976237</v>
      </c>
      <c r="AD496" s="60">
        <v>64.565187427060835</v>
      </c>
      <c r="AE496" s="61">
        <v>0.25712558595905327</v>
      </c>
      <c r="AF496" s="62">
        <v>0.11477044705046924</v>
      </c>
      <c r="AG496" s="62">
        <v>0.37189603300952251</v>
      </c>
      <c r="AH496" s="63">
        <v>0.14235513890858403</v>
      </c>
      <c r="AI496" s="78">
        <v>18.490582367300988</v>
      </c>
    </row>
    <row r="497" spans="17:35" x14ac:dyDescent="0.25">
      <c r="Q497" s="57"/>
      <c r="R497" s="57"/>
      <c r="Z497">
        <v>465</v>
      </c>
      <c r="AA497" s="58">
        <v>109.79594896433487</v>
      </c>
      <c r="AB497" s="59">
        <v>45.326943281231578</v>
      </c>
      <c r="AC497" s="59">
        <v>155.12289224556645</v>
      </c>
      <c r="AD497" s="60">
        <v>64.46900568310329</v>
      </c>
      <c r="AE497" s="61">
        <v>0.25655102351641734</v>
      </c>
      <c r="AF497" s="62">
        <v>0.11440287767509441</v>
      </c>
      <c r="AG497" s="62">
        <v>0.37095390119151173</v>
      </c>
      <c r="AH497" s="63">
        <v>0.14214814584132293</v>
      </c>
      <c r="AI497" s="78">
        <v>19.244009750500414</v>
      </c>
    </row>
    <row r="498" spans="17:35" x14ac:dyDescent="0.25">
      <c r="Q498" s="57"/>
      <c r="R498" s="57"/>
      <c r="Z498">
        <v>466</v>
      </c>
      <c r="AA498" s="58">
        <v>109.55201667740954</v>
      </c>
      <c r="AB498" s="59">
        <v>45.177741716391118</v>
      </c>
      <c r="AC498" s="59">
        <v>154.72975839380067</v>
      </c>
      <c r="AD498" s="60">
        <v>64.374274961018415</v>
      </c>
      <c r="AE498" s="61">
        <v>0.25597771016733389</v>
      </c>
      <c r="AF498" s="62">
        <v>0.11403337367833923</v>
      </c>
      <c r="AG498" s="62">
        <v>0.37001108384567311</v>
      </c>
      <c r="AH498" s="63">
        <v>0.14194433648899468</v>
      </c>
      <c r="AI498" s="78">
        <v>19.537103365052424</v>
      </c>
    </row>
    <row r="499" spans="17:35" x14ac:dyDescent="0.25">
      <c r="Q499" s="57"/>
      <c r="R499" s="57"/>
      <c r="Z499">
        <v>467</v>
      </c>
      <c r="AA499" s="58">
        <v>109.30485826768883</v>
      </c>
      <c r="AB499" s="59">
        <v>45.006199482519477</v>
      </c>
      <c r="AC499" s="59">
        <v>154.31105775020831</v>
      </c>
      <c r="AD499" s="60">
        <v>64.298658785169351</v>
      </c>
      <c r="AE499" s="61">
        <v>0.25539545990832418</v>
      </c>
      <c r="AF499" s="62">
        <v>0.11361174762034491</v>
      </c>
      <c r="AG499" s="62">
        <v>0.36900720752866911</v>
      </c>
      <c r="AH499" s="63">
        <v>0.14178371228797926</v>
      </c>
      <c r="AI499" s="78">
        <v>19.925220021661723</v>
      </c>
    </row>
    <row r="500" spans="17:35" x14ac:dyDescent="0.25">
      <c r="Q500" s="57"/>
      <c r="R500" s="57"/>
      <c r="Z500">
        <v>468</v>
      </c>
      <c r="AA500" s="58">
        <v>109.02020554093561</v>
      </c>
      <c r="AB500" s="59">
        <v>44.789293874142082</v>
      </c>
      <c r="AC500" s="59">
        <v>153.80949941507768</v>
      </c>
      <c r="AD500" s="60">
        <v>64.230911666793531</v>
      </c>
      <c r="AE500" s="61">
        <v>0.254723572734118</v>
      </c>
      <c r="AF500" s="62">
        <v>0.11308082083730578</v>
      </c>
      <c r="AG500" s="62">
        <v>0.3678043935714238</v>
      </c>
      <c r="AH500" s="63">
        <v>0.14164275189681222</v>
      </c>
      <c r="AI500" s="78">
        <v>20.237809903959057</v>
      </c>
    </row>
    <row r="501" spans="17:35" x14ac:dyDescent="0.25">
      <c r="Q501" s="57"/>
      <c r="R501" s="57"/>
      <c r="Z501">
        <v>469</v>
      </c>
      <c r="AA501" s="58">
        <v>108.72795066381057</v>
      </c>
      <c r="AB501" s="59">
        <v>44.567852736255745</v>
      </c>
      <c r="AC501" s="59">
        <v>153.29580340006632</v>
      </c>
      <c r="AD501" s="60">
        <v>64.16009792755483</v>
      </c>
      <c r="AE501" s="61">
        <v>0.25403385828520947</v>
      </c>
      <c r="AF501" s="62">
        <v>0.11253951549773318</v>
      </c>
      <c r="AG501" s="62">
        <v>0.36657337378294264</v>
      </c>
      <c r="AH501" s="63">
        <v>0.1414943427874763</v>
      </c>
      <c r="AI501" s="78">
        <v>20.199683761596681</v>
      </c>
    </row>
    <row r="502" spans="17:35" x14ac:dyDescent="0.25">
      <c r="Q502" s="57"/>
      <c r="R502" s="57"/>
      <c r="Z502">
        <v>470</v>
      </c>
      <c r="AA502" s="58">
        <v>108.43569578668551</v>
      </c>
      <c r="AB502" s="59">
        <v>44.346480055774876</v>
      </c>
      <c r="AC502" s="59">
        <v>152.78217584246039</v>
      </c>
      <c r="AD502" s="60">
        <v>64.089215730910638</v>
      </c>
      <c r="AE502" s="61">
        <v>0.25334414383630094</v>
      </c>
      <c r="AF502" s="62">
        <v>0.11199835477763161</v>
      </c>
      <c r="AG502" s="62">
        <v>0.36534249861393253</v>
      </c>
      <c r="AH502" s="63">
        <v>0.14134578905866935</v>
      </c>
      <c r="AI502" s="78">
        <v>20.117391443252565</v>
      </c>
    </row>
    <row r="503" spans="17:35" x14ac:dyDescent="0.25">
      <c r="Q503" s="57"/>
      <c r="R503" s="57"/>
      <c r="Z503">
        <v>471</v>
      </c>
      <c r="AA503" s="58">
        <v>108.14344090956048</v>
      </c>
      <c r="AB503" s="59">
        <v>44.125176863036124</v>
      </c>
      <c r="AC503" s="59">
        <v>152.2686177725966</v>
      </c>
      <c r="AD503" s="60">
        <v>64.018264046524365</v>
      </c>
      <c r="AE503" s="61">
        <v>0.25265442938739252</v>
      </c>
      <c r="AF503" s="62">
        <v>0.11145734078352135</v>
      </c>
      <c r="AG503" s="62">
        <v>0.3641117701709139</v>
      </c>
      <c r="AH503" s="63">
        <v>0.14119708860387117</v>
      </c>
      <c r="AI503" s="78">
        <v>19.011487909005236</v>
      </c>
    </row>
    <row r="504" spans="17:35" x14ac:dyDescent="0.25">
      <c r="Q504" s="57"/>
      <c r="R504" s="57"/>
      <c r="Z504">
        <v>472</v>
      </c>
      <c r="AA504" s="58">
        <v>107.85118603243542</v>
      </c>
      <c r="AB504" s="59">
        <v>43.903944208824036</v>
      </c>
      <c r="AC504" s="59">
        <v>151.75513024125945</v>
      </c>
      <c r="AD504" s="60">
        <v>63.947241823611385</v>
      </c>
      <c r="AE504" s="61">
        <v>0.25196471493848399</v>
      </c>
      <c r="AF504" s="62">
        <v>0.11091647566244578</v>
      </c>
      <c r="AG504" s="62">
        <v>0.36288119060092977</v>
      </c>
      <c r="AH504" s="63">
        <v>0.14104823927603821</v>
      </c>
      <c r="AI504" s="78">
        <v>16.414397665170522</v>
      </c>
    </row>
    <row r="505" spans="17:35" x14ac:dyDescent="0.25">
      <c r="Q505" s="57"/>
      <c r="R505" s="57"/>
      <c r="Z505">
        <v>473</v>
      </c>
      <c r="AA505" s="58">
        <v>107.55893115531039</v>
      </c>
      <c r="AB505" s="59">
        <v>43.682783164871495</v>
      </c>
      <c r="AC505" s="59">
        <v>151.24171432018187</v>
      </c>
      <c r="AD505" s="60">
        <v>63.876147990438895</v>
      </c>
      <c r="AE505" s="61">
        <v>0.25127500048957557</v>
      </c>
      <c r="AF505" s="62">
        <v>0.11037576160293468</v>
      </c>
      <c r="AG505" s="62">
        <v>0.36165076209251024</v>
      </c>
      <c r="AH505" s="63">
        <v>0.14089923888664091</v>
      </c>
      <c r="AI505" s="78">
        <v>13.303078991180813</v>
      </c>
    </row>
    <row r="506" spans="17:35" x14ac:dyDescent="0.25">
      <c r="Q506" s="57"/>
      <c r="R506" s="57"/>
      <c r="Z506">
        <v>474</v>
      </c>
      <c r="AA506" s="58">
        <v>107.26667627818534</v>
      </c>
      <c r="AB506" s="59">
        <v>43.461694824375577</v>
      </c>
      <c r="AC506" s="59">
        <v>150.72837110256091</v>
      </c>
      <c r="AD506" s="60">
        <v>63.804981453809766</v>
      </c>
      <c r="AE506" s="61">
        <v>0.25058528604066704</v>
      </c>
      <c r="AF506" s="62">
        <v>0.10983520083599758</v>
      </c>
      <c r="AG506" s="62">
        <v>0.36042048687666461</v>
      </c>
      <c r="AH506" s="63">
        <v>0.14075008520466947</v>
      </c>
      <c r="AI506" s="78">
        <v>8.9021796048482251</v>
      </c>
    </row>
    <row r="507" spans="17:35" x14ac:dyDescent="0.25">
      <c r="Q507" s="57"/>
      <c r="R507" s="57"/>
      <c r="Z507">
        <v>475</v>
      </c>
      <c r="AA507" s="58">
        <v>106.9744214010603</v>
      </c>
      <c r="AB507" s="59">
        <v>43.240680302528283</v>
      </c>
      <c r="AC507" s="59">
        <v>150.21510170358857</v>
      </c>
      <c r="AD507" s="60">
        <v>63.733741098532015</v>
      </c>
      <c r="AE507" s="61">
        <v>0.24989557159175857</v>
      </c>
      <c r="AF507" s="62">
        <v>0.10929479563614219</v>
      </c>
      <c r="AG507" s="62">
        <v>0.35919036722790076</v>
      </c>
      <c r="AH507" s="63">
        <v>0.14060077595561637</v>
      </c>
      <c r="AI507" s="78">
        <v>6.0450198930104584</v>
      </c>
    </row>
    <row r="508" spans="17:35" x14ac:dyDescent="0.25">
      <c r="Q508" s="57"/>
      <c r="R508" s="57"/>
      <c r="Z508">
        <v>476</v>
      </c>
      <c r="AA508" s="58">
        <v>106.68216652393524</v>
      </c>
      <c r="AB508" s="59">
        <v>43.019740737062733</v>
      </c>
      <c r="AC508" s="59">
        <v>149.70190726099798</v>
      </c>
      <c r="AD508" s="60">
        <v>63.662425786872504</v>
      </c>
      <c r="AE508" s="61">
        <v>0.24920585714285004</v>
      </c>
      <c r="AF508" s="62">
        <v>0.10875454832242332</v>
      </c>
      <c r="AG508" s="62">
        <v>0.35796040546527336</v>
      </c>
      <c r="AH508" s="63">
        <v>0.14045130882042672</v>
      </c>
      <c r="AI508" s="78">
        <v>5.7107395392704783</v>
      </c>
    </row>
    <row r="509" spans="17:35" x14ac:dyDescent="0.25">
      <c r="Q509" s="57"/>
      <c r="R509" s="57"/>
      <c r="Z509">
        <v>477</v>
      </c>
      <c r="AA509" s="58">
        <v>106.38991164681022</v>
      </c>
      <c r="AB509" s="59">
        <v>42.798877288815135</v>
      </c>
      <c r="AC509" s="59">
        <v>149.18878893562535</v>
      </c>
      <c r="AD509" s="60">
        <v>63.591034357995085</v>
      </c>
      <c r="AE509" s="61">
        <v>0.24851614269394159</v>
      </c>
      <c r="AF509" s="62">
        <v>0.10821446125952204</v>
      </c>
      <c r="AG509" s="62">
        <v>0.35673060395346362</v>
      </c>
      <c r="AH509" s="63">
        <v>0.14030168143441957</v>
      </c>
      <c r="AI509" s="78">
        <v>8.1829393932694341</v>
      </c>
    </row>
    <row r="510" spans="17:35" x14ac:dyDescent="0.25">
      <c r="Q510" s="57"/>
      <c r="R510" s="57"/>
      <c r="Z510">
        <v>478</v>
      </c>
      <c r="AA510" s="58">
        <v>106.09765676968516</v>
      </c>
      <c r="AB510" s="59">
        <v>42.578091142304118</v>
      </c>
      <c r="AC510" s="59">
        <v>148.67574791198928</v>
      </c>
      <c r="AD510" s="60">
        <v>63.519565627381041</v>
      </c>
      <c r="AE510" s="61">
        <v>0.24782642824503306</v>
      </c>
      <c r="AF510" s="62">
        <v>0.10767453685885534</v>
      </c>
      <c r="AG510" s="62">
        <v>0.3555009651038884</v>
      </c>
      <c r="AH510" s="63">
        <v>0.14015189138617773</v>
      </c>
      <c r="AI510" s="78">
        <v>9.1139672705011616</v>
      </c>
    </row>
    <row r="511" spans="17:35" x14ac:dyDescent="0.25">
      <c r="Q511" s="57"/>
      <c r="R511" s="57"/>
      <c r="Z511">
        <v>479</v>
      </c>
      <c r="AA511" s="58">
        <v>105.80540189256011</v>
      </c>
      <c r="AB511" s="59">
        <v>42.357383506326123</v>
      </c>
      <c r="AC511" s="59">
        <v>148.16278539888623</v>
      </c>
      <c r="AD511" s="60">
        <v>63.44801838623399</v>
      </c>
      <c r="AE511" s="61">
        <v>0.24713671379612459</v>
      </c>
      <c r="AF511" s="62">
        <v>0.10713477757971708</v>
      </c>
      <c r="AG511" s="62">
        <v>0.35427149137584169</v>
      </c>
      <c r="AH511" s="63">
        <v>0.1400019362164075</v>
      </c>
      <c r="AI511" s="78">
        <v>8.2389957189559944</v>
      </c>
    </row>
    <row r="512" spans="17:35" x14ac:dyDescent="0.25">
      <c r="Q512" s="57"/>
      <c r="R512" s="57"/>
      <c r="Z512">
        <v>480</v>
      </c>
      <c r="AA512" s="58">
        <v>105.51314701543508</v>
      </c>
      <c r="AB512" s="59">
        <v>42.136755614569374</v>
      </c>
      <c r="AC512" s="59">
        <v>147.64990263000445</v>
      </c>
      <c r="AD512" s="60">
        <v>63.376391400865707</v>
      </c>
      <c r="AE512" s="61">
        <v>0.24644699934721606</v>
      </c>
      <c r="AF512" s="62">
        <v>0.10659518593045381</v>
      </c>
      <c r="AG512" s="62">
        <v>0.35304218527766984</v>
      </c>
      <c r="AH512" s="63">
        <v>0.13985181341676226</v>
      </c>
      <c r="AI512" s="78">
        <v>5.9855518065558551</v>
      </c>
    </row>
    <row r="513" spans="17:35" x14ac:dyDescent="0.25">
      <c r="Q513" s="57"/>
      <c r="R513" s="57"/>
      <c r="Z513">
        <v>481</v>
      </c>
      <c r="AA513" s="58">
        <v>105.22089213831003</v>
      </c>
      <c r="AB513" s="59">
        <v>41.916208726246076</v>
      </c>
      <c r="AC513" s="59">
        <v>147.13710086455612</v>
      </c>
      <c r="AD513" s="60">
        <v>63.304683412063959</v>
      </c>
      <c r="AE513" s="61">
        <v>0.24575728489830762</v>
      </c>
      <c r="AF513" s="62">
        <v>0.10605576446967264</v>
      </c>
      <c r="AG513" s="62">
        <v>0.35181304936798025</v>
      </c>
      <c r="AH513" s="63">
        <v>0.13970152042863498</v>
      </c>
      <c r="AI513" s="78">
        <v>3.556497882621156</v>
      </c>
    </row>
    <row r="514" spans="17:35" x14ac:dyDescent="0.25">
      <c r="Q514" s="57"/>
      <c r="R514" s="57"/>
      <c r="Z514">
        <v>482</v>
      </c>
      <c r="AA514" s="58">
        <v>104.92863726118497</v>
      </c>
      <c r="AB514" s="59">
        <v>41.695744126743321</v>
      </c>
      <c r="AC514" s="59">
        <v>146.62438138792828</v>
      </c>
      <c r="AD514" s="60">
        <v>63.232893134441653</v>
      </c>
      <c r="AE514" s="61">
        <v>0.24506757044939911</v>
      </c>
      <c r="AF514" s="62">
        <v>0.10551651580748565</v>
      </c>
      <c r="AG514" s="62">
        <v>0.35058408625688475</v>
      </c>
      <c r="AH514" s="63">
        <v>0.13955105464191347</v>
      </c>
      <c r="AI514" s="78">
        <v>0.89946325915124692</v>
      </c>
    </row>
    <row r="515" spans="17:35" x14ac:dyDescent="0.25">
      <c r="Q515" s="57"/>
      <c r="R515" s="57"/>
      <c r="Z515">
        <v>483</v>
      </c>
      <c r="AA515" s="58">
        <v>104.63638238405996</v>
      </c>
      <c r="AB515" s="59">
        <v>41.47536312829336</v>
      </c>
      <c r="AC515" s="59">
        <v>146.11174551235331</v>
      </c>
      <c r="AD515" s="60">
        <v>63.161019255766597</v>
      </c>
      <c r="AE515" s="61">
        <v>0.24437785600049064</v>
      </c>
      <c r="AF515" s="62">
        <v>0.10497744260679154</v>
      </c>
      <c r="AG515" s="62">
        <v>0.34935529860728221</v>
      </c>
      <c r="AH515" s="63">
        <v>0.1394004133936991</v>
      </c>
      <c r="AI515" s="78">
        <v>-6.0415977716445919E-2</v>
      </c>
    </row>
    <row r="516" spans="17:35" x14ac:dyDescent="0.25">
      <c r="Q516" s="57"/>
      <c r="R516" s="57"/>
      <c r="Z516">
        <v>484</v>
      </c>
      <c r="AA516" s="58">
        <v>104.3441275069349</v>
      </c>
      <c r="AB516" s="59">
        <v>41.255067070665106</v>
      </c>
      <c r="AC516" s="59">
        <v>145.5991945776</v>
      </c>
      <c r="AD516" s="60">
        <v>63.08906043626979</v>
      </c>
      <c r="AE516" s="61">
        <v>0.24368814155158214</v>
      </c>
      <c r="AF516" s="62">
        <v>0.10443854758459196</v>
      </c>
      <c r="AG516" s="62">
        <v>0.34812668913617412</v>
      </c>
      <c r="AH516" s="63">
        <v>0.13924959396699016</v>
      </c>
      <c r="AI516" s="78">
        <v>-4.5144640088081361E-2</v>
      </c>
    </row>
    <row r="517" spans="17:35" x14ac:dyDescent="0.25">
      <c r="Q517" s="57"/>
      <c r="R517" s="57"/>
      <c r="Z517">
        <v>485</v>
      </c>
      <c r="AA517" s="58">
        <v>104.05187262980986</v>
      </c>
      <c r="AB517" s="59">
        <v>41.034857321875577</v>
      </c>
      <c r="AC517" s="59">
        <v>145.08672995168544</v>
      </c>
      <c r="AD517" s="60">
        <v>63.017015307934287</v>
      </c>
      <c r="AE517" s="61">
        <v>0.24299842710267364</v>
      </c>
      <c r="AF517" s="62">
        <v>0.10389983351335116</v>
      </c>
      <c r="AG517" s="62">
        <v>0.3468982606160248</v>
      </c>
      <c r="AH517" s="63">
        <v>0.13909859358932247</v>
      </c>
      <c r="AI517" s="78">
        <v>-2.98733024597168E-2</v>
      </c>
    </row>
    <row r="518" spans="17:35" x14ac:dyDescent="0.25">
      <c r="Q518" s="57"/>
      <c r="R518" s="57"/>
      <c r="Z518">
        <v>486</v>
      </c>
      <c r="AA518" s="58">
        <v>103.75872369795889</v>
      </c>
      <c r="AB518" s="59">
        <v>40.814439287627692</v>
      </c>
      <c r="AC518" s="59">
        <v>144.57316298558658</v>
      </c>
      <c r="AD518" s="60">
        <v>62.944284410331193</v>
      </c>
      <c r="AE518" s="61">
        <v>0.24230663823235887</v>
      </c>
      <c r="AF518" s="62">
        <v>0.10336072100972725</v>
      </c>
      <c r="AG518" s="62">
        <v>0.34566735924208614</v>
      </c>
      <c r="AH518" s="63">
        <v>0.13894591722263161</v>
      </c>
      <c r="AI518" s="78">
        <v>-1.4601964831352239E-2</v>
      </c>
    </row>
    <row r="519" spans="17:35" x14ac:dyDescent="0.25">
      <c r="Q519" s="57"/>
      <c r="R519" s="57"/>
      <c r="Z519">
        <v>487</v>
      </c>
      <c r="AA519" s="58">
        <v>103.47098278312357</v>
      </c>
      <c r="AB519" s="59">
        <v>40.606746655501688</v>
      </c>
      <c r="AC519" s="59">
        <v>144.07772943862525</v>
      </c>
      <c r="AD519" s="60">
        <v>62.864236127621886</v>
      </c>
      <c r="AE519" s="61">
        <v>0.24162830804767044</v>
      </c>
      <c r="AF519" s="62">
        <v>0.10285386651275177</v>
      </c>
      <c r="AG519" s="62">
        <v>0.34448217456042218</v>
      </c>
      <c r="AH519" s="63">
        <v>0.13877444153491866</v>
      </c>
      <c r="AI519" s="78">
        <v>6.693727970123256E-4</v>
      </c>
    </row>
    <row r="520" spans="17:35" x14ac:dyDescent="0.25">
      <c r="Q520" s="57"/>
      <c r="R520" s="57"/>
      <c r="Z520">
        <v>488</v>
      </c>
      <c r="AA520" s="58">
        <v>103.24483115322748</v>
      </c>
      <c r="AB520" s="59">
        <v>40.480505209759052</v>
      </c>
      <c r="AC520" s="59">
        <v>143.72533636298652</v>
      </c>
      <c r="AD520" s="60">
        <v>62.764325943468428</v>
      </c>
      <c r="AE520" s="61">
        <v>0.24109799573807231</v>
      </c>
      <c r="AF520" s="62">
        <v>0.10254777934004065</v>
      </c>
      <c r="AG520" s="62">
        <v>0.34364577507811295</v>
      </c>
      <c r="AH520" s="63">
        <v>0.13855021639803167</v>
      </c>
      <c r="AI520" s="78">
        <v>1.594071042537689E-2</v>
      </c>
    </row>
    <row r="521" spans="17:35" x14ac:dyDescent="0.25">
      <c r="Q521" s="57"/>
      <c r="R521" s="57"/>
      <c r="Z521">
        <v>489</v>
      </c>
      <c r="AA521" s="58">
        <v>103.02843420566292</v>
      </c>
      <c r="AB521" s="59">
        <v>40.367056107885482</v>
      </c>
      <c r="AC521" s="59">
        <v>143.39549031354841</v>
      </c>
      <c r="AD521" s="60">
        <v>62.661378097777437</v>
      </c>
      <c r="AE521" s="61">
        <v>0.24059111369003805</v>
      </c>
      <c r="AF521" s="62">
        <v>0.10227318305185845</v>
      </c>
      <c r="AG521" s="62">
        <v>0.3428642967418965</v>
      </c>
      <c r="AH521" s="63">
        <v>0.1383179306381796</v>
      </c>
      <c r="AI521" s="78">
        <v>3.1212048053741455E-2</v>
      </c>
    </row>
    <row r="522" spans="17:35" x14ac:dyDescent="0.25">
      <c r="Q522" s="57"/>
      <c r="R522" s="57"/>
      <c r="Z522">
        <v>490</v>
      </c>
      <c r="AA522" s="58">
        <v>102.81203725809833</v>
      </c>
      <c r="AB522" s="59">
        <v>40.25366354516391</v>
      </c>
      <c r="AC522" s="59">
        <v>143.06570080326225</v>
      </c>
      <c r="AD522" s="60">
        <v>62.558373712934419</v>
      </c>
      <c r="AE522" s="61">
        <v>0.24008423164200385</v>
      </c>
      <c r="AF522" s="62">
        <v>0.10199870930967994</v>
      </c>
      <c r="AG522" s="62">
        <v>0.34208294095168379</v>
      </c>
      <c r="AH522" s="63">
        <v>0.13808552233232391</v>
      </c>
      <c r="AI522" s="78">
        <v>4.648338568210602E-2</v>
      </c>
    </row>
    <row r="523" spans="17:35" x14ac:dyDescent="0.25">
      <c r="Q523" s="57"/>
      <c r="R523" s="57"/>
      <c r="Z523">
        <v>491</v>
      </c>
      <c r="AA523" s="58">
        <v>102.59564031053378</v>
      </c>
      <c r="AB523" s="59">
        <v>40.140328000747139</v>
      </c>
      <c r="AC523" s="59">
        <v>142.73596831128091</v>
      </c>
      <c r="AD523" s="60">
        <v>62.455312309786642</v>
      </c>
      <c r="AE523" s="61">
        <v>0.23957734959396962</v>
      </c>
      <c r="AF523" s="62">
        <v>0.10172435910547011</v>
      </c>
      <c r="AG523" s="62">
        <v>0.34130170869943971</v>
      </c>
      <c r="AH523" s="63">
        <v>0.13785299048849953</v>
      </c>
      <c r="AI523" s="78">
        <v>6.1754723310470584E-2</v>
      </c>
    </row>
    <row r="524" spans="17:35" x14ac:dyDescent="0.25">
      <c r="Q524" s="57"/>
      <c r="R524" s="57"/>
      <c r="Z524">
        <v>492</v>
      </c>
      <c r="AA524" s="58">
        <v>102.37924336296919</v>
      </c>
      <c r="AB524" s="59">
        <v>40.027049958973038</v>
      </c>
      <c r="AC524" s="59">
        <v>142.40629332194223</v>
      </c>
      <c r="AD524" s="60">
        <v>62.352193403996154</v>
      </c>
      <c r="AE524" s="61">
        <v>0.23907046754593542</v>
      </c>
      <c r="AF524" s="62">
        <v>0.10145013344147509</v>
      </c>
      <c r="AG524" s="62">
        <v>0.34052060098741049</v>
      </c>
      <c r="AH524" s="63">
        <v>0.13762033410446034</v>
      </c>
      <c r="AI524" s="78">
        <v>7.7026060938835142E-2</v>
      </c>
    </row>
    <row r="525" spans="17:35" x14ac:dyDescent="0.25">
      <c r="Q525" s="57"/>
      <c r="R525" s="57"/>
      <c r="Z525">
        <v>493</v>
      </c>
      <c r="AA525" s="58">
        <v>102.16284641540464</v>
      </c>
      <c r="AB525" s="59">
        <v>39.913829909429879</v>
      </c>
      <c r="AC525" s="59">
        <v>142.07667632483452</v>
      </c>
      <c r="AD525" s="60">
        <v>62.249016505974765</v>
      </c>
      <c r="AE525" s="61">
        <v>0.23856358549790116</v>
      </c>
      <c r="AF525" s="62">
        <v>0.10117603333034952</v>
      </c>
      <c r="AG525" s="62">
        <v>0.33973961882825066</v>
      </c>
      <c r="AH525" s="63">
        <v>0.13738755216755164</v>
      </c>
      <c r="AI525" s="78">
        <v>9.2297398567199707E-2</v>
      </c>
    </row>
    <row r="526" spans="17:35" x14ac:dyDescent="0.25">
      <c r="Q526" s="57"/>
      <c r="R526" s="57"/>
      <c r="Z526">
        <v>494</v>
      </c>
      <c r="AA526" s="58">
        <v>101.94644946784008</v>
      </c>
      <c r="AB526" s="59">
        <v>39.800668347025535</v>
      </c>
      <c r="AC526" s="59">
        <v>141.74711781486562</v>
      </c>
      <c r="AD526" s="60">
        <v>62.145781120814547</v>
      </c>
      <c r="AE526" s="61">
        <v>0.23805670344986699</v>
      </c>
      <c r="AF526" s="62">
        <v>0.10090205979528508</v>
      </c>
      <c r="AG526" s="62">
        <v>0.33895876324515206</v>
      </c>
      <c r="AH526" s="63">
        <v>0.13715464365458191</v>
      </c>
      <c r="AI526" s="78">
        <v>0.10756873619556427</v>
      </c>
    </row>
    <row r="527" spans="17:35" x14ac:dyDescent="0.25">
      <c r="Q527" s="57"/>
      <c r="R527" s="57"/>
      <c r="Z527">
        <v>495</v>
      </c>
      <c r="AA527" s="58">
        <v>101.73005252027549</v>
      </c>
      <c r="AB527" s="59">
        <v>39.687565772054761</v>
      </c>
      <c r="AC527" s="59">
        <v>141.41761829233025</v>
      </c>
      <c r="AD527" s="60">
        <v>62.042486748220732</v>
      </c>
      <c r="AE527" s="61">
        <v>0.23754982140183278</v>
      </c>
      <c r="AF527" s="62">
        <v>0.10062821387014162</v>
      </c>
      <c r="AG527" s="62">
        <v>0.33817803527197443</v>
      </c>
      <c r="AH527" s="63">
        <v>0.13692160753169116</v>
      </c>
      <c r="AI527" s="78">
        <v>0.99251376870373886</v>
      </c>
    </row>
    <row r="528" spans="17:35" x14ac:dyDescent="0.25">
      <c r="Q528" s="57"/>
      <c r="R528" s="57"/>
      <c r="Z528">
        <v>496</v>
      </c>
      <c r="AA528" s="58">
        <v>101.51365557271093</v>
      </c>
      <c r="AB528" s="59">
        <v>39.57452269026949</v>
      </c>
      <c r="AC528" s="59">
        <v>141.08817826298042</v>
      </c>
      <c r="AD528" s="60">
        <v>61.939132882441442</v>
      </c>
      <c r="AE528" s="61">
        <v>0.23704293935379853</v>
      </c>
      <c r="AF528" s="62">
        <v>0.10035449659957985</v>
      </c>
      <c r="AG528" s="62">
        <v>0.33739743595337834</v>
      </c>
      <c r="AH528" s="63">
        <v>0.13668844275421868</v>
      </c>
      <c r="AI528" s="78">
        <v>0.65516995912470388</v>
      </c>
    </row>
    <row r="529" spans="17:35" x14ac:dyDescent="0.25">
      <c r="Q529" s="57"/>
      <c r="R529" s="57"/>
      <c r="Z529">
        <v>497</v>
      </c>
      <c r="AA529" s="58">
        <v>101.29725862514637</v>
      </c>
      <c r="AB529" s="59">
        <v>39.461539612949387</v>
      </c>
      <c r="AC529" s="59">
        <v>140.75879823809575</v>
      </c>
      <c r="AD529" s="60">
        <v>61.835719012196982</v>
      </c>
      <c r="AE529" s="61">
        <v>0.23653605730576435</v>
      </c>
      <c r="AF529" s="62">
        <v>0.10008090903919459</v>
      </c>
      <c r="AG529" s="62">
        <v>0.33661696634495897</v>
      </c>
      <c r="AH529" s="63">
        <v>0.13645514826656976</v>
      </c>
      <c r="AI529" s="78">
        <v>0.16090418878248183</v>
      </c>
    </row>
    <row r="530" spans="17:35" x14ac:dyDescent="0.25">
      <c r="Q530" s="57"/>
      <c r="R530" s="57"/>
      <c r="Z530">
        <v>498</v>
      </c>
      <c r="AA530" s="58">
        <v>101.08086167758181</v>
      </c>
      <c r="AB530" s="59">
        <v>39.348617056973261</v>
      </c>
      <c r="AC530" s="59">
        <v>140.42947873455506</v>
      </c>
      <c r="AD530" s="60">
        <v>61.732244620608547</v>
      </c>
      <c r="AE530" s="61">
        <v>0.23602917525773015</v>
      </c>
      <c r="AF530" s="62">
        <v>9.9807452255653017E-2</v>
      </c>
      <c r="AG530" s="62">
        <v>0.33583662751338317</v>
      </c>
      <c r="AH530" s="63">
        <v>0.13622172300207713</v>
      </c>
      <c r="AI530" s="78">
        <v>0.19334940890134389</v>
      </c>
    </row>
    <row r="531" spans="17:35" x14ac:dyDescent="0.25">
      <c r="Q531" s="57"/>
      <c r="R531" s="57"/>
      <c r="Z531">
        <v>499</v>
      </c>
      <c r="AA531" s="58">
        <v>100.86446473001723</v>
      </c>
      <c r="AB531" s="59">
        <v>39.23575554489188</v>
      </c>
      <c r="AC531" s="59">
        <v>140.10022027490911</v>
      </c>
      <c r="AD531" s="60">
        <v>61.628709185125352</v>
      </c>
      <c r="AE531" s="61">
        <v>0.23552229320969589</v>
      </c>
      <c r="AF531" s="62">
        <v>9.9534127326830799E-2</v>
      </c>
      <c r="AG531" s="62">
        <v>0.33505642053652668</v>
      </c>
      <c r="AH531" s="63">
        <v>0.13598816588286511</v>
      </c>
      <c r="AI531" s="78">
        <v>0.225794629020206</v>
      </c>
    </row>
    <row r="532" spans="17:35" x14ac:dyDescent="0.25">
      <c r="Q532" s="57"/>
      <c r="R532" s="57"/>
      <c r="Z532">
        <v>500</v>
      </c>
      <c r="AA532" s="58">
        <v>100.64806778245266</v>
      </c>
      <c r="AB532" s="59">
        <v>39.122955605001707</v>
      </c>
      <c r="AC532" s="59">
        <v>139.77102338745436</v>
      </c>
      <c r="AD532" s="60">
        <v>61.52511217745095</v>
      </c>
      <c r="AE532" s="61">
        <v>0.23501541116166166</v>
      </c>
      <c r="AF532" s="62">
        <v>9.9260935341953432E-2</v>
      </c>
      <c r="AG532" s="62">
        <v>0.3342763465036151</v>
      </c>
      <c r="AH532" s="63">
        <v>0.13575447581970823</v>
      </c>
      <c r="AI532" s="78">
        <v>0.25823984913906806</v>
      </c>
    </row>
    <row r="533" spans="17:35" x14ac:dyDescent="0.25">
      <c r="Q533" s="57"/>
      <c r="R533" s="57"/>
      <c r="Z533">
        <v>501</v>
      </c>
      <c r="AA533" s="58">
        <v>100.4316708348881</v>
      </c>
      <c r="AB533" s="59">
        <v>39.010217771419676</v>
      </c>
      <c r="AC533" s="59">
        <v>139.44188860630777</v>
      </c>
      <c r="AD533" s="60">
        <v>61.421453063468419</v>
      </c>
      <c r="AE533" s="61">
        <v>0.23450852911362743</v>
      </c>
      <c r="AF533" s="62">
        <v>9.8987877401738325E-2</v>
      </c>
      <c r="AG533" s="62">
        <v>0.33349640651536577</v>
      </c>
      <c r="AH533" s="63">
        <v>0.1355206517118891</v>
      </c>
      <c r="AI533" s="78">
        <v>0.29068506925793014</v>
      </c>
    </row>
    <row r="534" spans="17:35" x14ac:dyDescent="0.25">
      <c r="Q534" s="57"/>
      <c r="R534" s="57"/>
      <c r="Z534">
        <v>502</v>
      </c>
      <c r="AA534" s="58">
        <v>100.21527388732352</v>
      </c>
      <c r="AB534" s="59">
        <v>38.897542584159254</v>
      </c>
      <c r="AC534" s="59">
        <v>139.11281647148277</v>
      </c>
      <c r="AD534" s="60">
        <v>61.317731303164265</v>
      </c>
      <c r="AE534" s="61">
        <v>0.23400164706559323</v>
      </c>
      <c r="AF534" s="62">
        <v>9.8714954618538533E-2</v>
      </c>
      <c r="AG534" s="62">
        <v>0.33271660168413175</v>
      </c>
      <c r="AH534" s="63">
        <v>0.13528669244705471</v>
      </c>
      <c r="AI534" s="78">
        <v>0.32313028937679228</v>
      </c>
    </row>
    <row r="535" spans="17:35" x14ac:dyDescent="0.25">
      <c r="Q535" s="57"/>
      <c r="R535" s="57"/>
      <c r="Z535">
        <v>503</v>
      </c>
      <c r="AA535" s="58">
        <v>99.998876939758972</v>
      </c>
      <c r="AB535" s="59">
        <v>38.784930589206965</v>
      </c>
      <c r="AC535" s="59">
        <v>138.78380752896595</v>
      </c>
      <c r="AD535" s="60">
        <v>61.213946350552007</v>
      </c>
      <c r="AE535" s="61">
        <v>0.23349476501755906</v>
      </c>
      <c r="AF535" s="62">
        <v>9.8442168116488662E-2</v>
      </c>
      <c r="AG535" s="62">
        <v>0.33193693313404771</v>
      </c>
      <c r="AH535" s="63">
        <v>0.13505259690107041</v>
      </c>
      <c r="AI535" s="78">
        <v>0.35557550949565431</v>
      </c>
    </row>
    <row r="536" spans="17:35" x14ac:dyDescent="0.25">
      <c r="Q536" s="57"/>
      <c r="R536" s="57"/>
      <c r="Z536">
        <v>504</v>
      </c>
      <c r="AA536" s="58">
        <v>99.782479992194396</v>
      </c>
      <c r="AB536" s="59">
        <v>38.672382338601238</v>
      </c>
      <c r="AC536" s="59">
        <v>138.45486233079563</v>
      </c>
      <c r="AD536" s="60">
        <v>61.110097653593158</v>
      </c>
      <c r="AE536" s="61">
        <v>0.2329878829695248</v>
      </c>
      <c r="AF536" s="62">
        <v>9.8169519031654412E-2</v>
      </c>
      <c r="AG536" s="62">
        <v>0.33115740200117921</v>
      </c>
      <c r="AH536" s="63">
        <v>0.13481836393787039</v>
      </c>
      <c r="AI536" s="78">
        <v>0.38802072961451639</v>
      </c>
    </row>
    <row r="537" spans="17:35" x14ac:dyDescent="0.25">
      <c r="Q537" s="57"/>
      <c r="R537" s="57"/>
      <c r="Z537">
        <v>505</v>
      </c>
      <c r="AA537" s="58">
        <v>99.566083044629821</v>
      </c>
      <c r="AB537" s="59">
        <v>38.559898390511222</v>
      </c>
      <c r="AC537" s="59">
        <v>138.12598143514106</v>
      </c>
      <c r="AD537" s="60">
        <v>61.006184654118599</v>
      </c>
      <c r="AE537" s="61">
        <v>0.23248100092149057</v>
      </c>
      <c r="AF537" s="62">
        <v>9.7897008512181194E-2</v>
      </c>
      <c r="AG537" s="62">
        <v>0.33037800943367179</v>
      </c>
      <c r="AH537" s="63">
        <v>0.13458399240930938</v>
      </c>
      <c r="AI537" s="78">
        <v>0.42046594973337853</v>
      </c>
    </row>
    <row r="538" spans="17:35" x14ac:dyDescent="0.25">
      <c r="Q538" s="57"/>
      <c r="R538" s="57"/>
      <c r="Z538">
        <v>506</v>
      </c>
      <c r="AA538" s="58">
        <v>99.349686097065259</v>
      </c>
      <c r="AB538" s="59">
        <v>38.447479309317224</v>
      </c>
      <c r="AC538" s="59">
        <v>137.79716540638248</v>
      </c>
      <c r="AD538" s="60">
        <v>60.902206787748035</v>
      </c>
      <c r="AE538" s="61">
        <v>0.2319741188734564</v>
      </c>
      <c r="AF538" s="62">
        <v>9.7624637718447815E-2</v>
      </c>
      <c r="AG538" s="62">
        <v>0.32959875659190419</v>
      </c>
      <c r="AH538" s="63">
        <v>0.13434948115500858</v>
      </c>
      <c r="AI538" s="78">
        <v>0.45291116985224061</v>
      </c>
    </row>
    <row r="539" spans="17:35" x14ac:dyDescent="0.25">
      <c r="Q539" s="57"/>
      <c r="R539" s="57"/>
      <c r="Z539">
        <v>507</v>
      </c>
      <c r="AA539" s="58">
        <v>99.133289149500683</v>
      </c>
      <c r="AB539" s="59">
        <v>38.335125665692566</v>
      </c>
      <c r="AC539" s="59">
        <v>137.46841481519326</v>
      </c>
      <c r="AD539" s="60">
        <v>60.798163483808118</v>
      </c>
      <c r="AE539" s="61">
        <v>0.23146723682542217</v>
      </c>
      <c r="AF539" s="62">
        <v>9.7352407823221049E-2</v>
      </c>
      <c r="AG539" s="62">
        <v>0.32881964464864322</v>
      </c>
      <c r="AH539" s="63">
        <v>0.13411482900220112</v>
      </c>
      <c r="AI539" s="78">
        <v>0.48535638997110275</v>
      </c>
    </row>
    <row r="540" spans="17:35" x14ac:dyDescent="0.25">
      <c r="Q540" s="57"/>
      <c r="R540" s="57"/>
      <c r="Z540">
        <v>508</v>
      </c>
      <c r="AA540" s="58">
        <v>98.916892201936108</v>
      </c>
      <c r="AB540" s="59">
        <v>38.222838036685992</v>
      </c>
      <c r="AC540" s="59">
        <v>137.13973023862209</v>
      </c>
      <c r="AD540" s="60">
        <v>60.694054165250115</v>
      </c>
      <c r="AE540" s="61">
        <v>0.23096035477738794</v>
      </c>
      <c r="AF540" s="62">
        <v>9.7080320011811314E-2</v>
      </c>
      <c r="AG540" s="62">
        <v>0.32804067478919924</v>
      </c>
      <c r="AH540" s="63">
        <v>0.13388003476557664</v>
      </c>
      <c r="AI540" s="78">
        <v>0.51780161008996484</v>
      </c>
    </row>
    <row r="541" spans="17:35" x14ac:dyDescent="0.25">
      <c r="Q541" s="57"/>
      <c r="R541" s="57"/>
      <c r="Z541">
        <v>509</v>
      </c>
      <c r="AA541" s="58">
        <v>98.700495254371546</v>
      </c>
      <c r="AB541" s="59">
        <v>38.110617005806333</v>
      </c>
      <c r="AC541" s="59">
        <v>136.81111226017788</v>
      </c>
      <c r="AD541" s="60">
        <v>60.589878248565213</v>
      </c>
      <c r="AE541" s="61">
        <v>0.23045347272935368</v>
      </c>
      <c r="AF541" s="62">
        <v>9.6808375482233144E-2</v>
      </c>
      <c r="AG541" s="62">
        <v>0.32726184821158683</v>
      </c>
      <c r="AH541" s="63">
        <v>0.13364509724712054</v>
      </c>
      <c r="AI541" s="78">
        <v>0.55024683020882692</v>
      </c>
    </row>
    <row r="542" spans="17:35" x14ac:dyDescent="0.25">
      <c r="Q542" s="57"/>
      <c r="R542" s="57"/>
      <c r="Z542">
        <v>510</v>
      </c>
      <c r="AA542" s="58">
        <v>98.484098306806985</v>
      </c>
      <c r="AB542" s="59">
        <v>37.998463163107189</v>
      </c>
      <c r="AC542" s="59">
        <v>136.48256146991417</v>
      </c>
      <c r="AD542" s="60">
        <v>60.485635143699795</v>
      </c>
      <c r="AE542" s="61">
        <v>0.22994659068131951</v>
      </c>
      <c r="AF542" s="62">
        <v>9.6536575445365674E-2</v>
      </c>
      <c r="AG542" s="62">
        <v>0.32648316612668515</v>
      </c>
      <c r="AH542" s="63">
        <v>0.13341001523595383</v>
      </c>
      <c r="AI542" s="78">
        <v>0.582692050327689</v>
      </c>
    </row>
    <row r="543" spans="17:35" x14ac:dyDescent="0.25">
      <c r="Q543" s="57"/>
      <c r="R543" s="57"/>
      <c r="Z543">
        <v>511</v>
      </c>
      <c r="AA543" s="58">
        <v>98.267701359242395</v>
      </c>
      <c r="AB543" s="59">
        <v>37.886377105273851</v>
      </c>
      <c r="AC543" s="59">
        <v>136.15407846451626</v>
      </c>
      <c r="AD543" s="60">
        <v>60.381324253968543</v>
      </c>
      <c r="AE543" s="61">
        <v>0.22943970863328531</v>
      </c>
      <c r="AF543" s="62">
        <v>9.626492112511667E-2</v>
      </c>
      <c r="AG543" s="62">
        <v>0.32570462975840198</v>
      </c>
      <c r="AH543" s="63">
        <v>0.13317478750816863</v>
      </c>
      <c r="AI543" s="78">
        <v>0.61513727044655098</v>
      </c>
    </row>
    <row r="544" spans="17:35" x14ac:dyDescent="0.25">
      <c r="Q544" s="57"/>
      <c r="R544" s="57"/>
      <c r="Z544">
        <v>512</v>
      </c>
      <c r="AA544" s="58">
        <v>98.051304411677847</v>
      </c>
      <c r="AB544" s="59">
        <v>37.774359435710451</v>
      </c>
      <c r="AC544" s="59">
        <v>135.82566384738828</v>
      </c>
      <c r="AD544" s="60">
        <v>60.276944975967396</v>
      </c>
      <c r="AE544" s="61">
        <v>0.22893282658525108</v>
      </c>
      <c r="AF544" s="62">
        <v>9.5993413758588109E-2</v>
      </c>
      <c r="AG544" s="62">
        <v>0.32492624034383921</v>
      </c>
      <c r="AH544" s="63">
        <v>0.13293941282666297</v>
      </c>
      <c r="AI544" s="78">
        <v>0.64758249056541317</v>
      </c>
    </row>
    <row r="545" spans="17:35" x14ac:dyDescent="0.25">
      <c r="Q545" s="57"/>
      <c r="R545" s="57"/>
      <c r="Z545">
        <v>513</v>
      </c>
      <c r="AA545" s="58">
        <v>97.834907464113272</v>
      </c>
      <c r="AB545" s="59">
        <v>37.662410764629904</v>
      </c>
      <c r="AC545" s="59">
        <v>135.49731822874318</v>
      </c>
      <c r="AD545" s="60">
        <v>60.172496699483368</v>
      </c>
      <c r="AE545" s="61">
        <v>0.22842594453721685</v>
      </c>
      <c r="AF545" s="62">
        <v>9.5722054596244721E-2</v>
      </c>
      <c r="AG545" s="62">
        <v>0.3241479991334616</v>
      </c>
      <c r="AH545" s="63">
        <v>0.13270388994097213</v>
      </c>
      <c r="AI545" s="78">
        <v>0.68002771068427526</v>
      </c>
    </row>
    <row r="546" spans="17:35" x14ac:dyDescent="0.25">
      <c r="Q546" s="57"/>
      <c r="R546" s="57"/>
      <c r="Z546">
        <v>514</v>
      </c>
      <c r="AA546" s="58">
        <v>97.624159978869443</v>
      </c>
      <c r="AB546" s="59">
        <v>37.552085235979895</v>
      </c>
      <c r="AC546" s="59">
        <v>135.17624521484933</v>
      </c>
      <c r="AD546" s="60">
        <v>60.072074742889548</v>
      </c>
      <c r="AE546" s="61">
        <v>0.22793217059681029</v>
      </c>
      <c r="AF546" s="62">
        <v>9.5453842457610238E-2</v>
      </c>
      <c r="AG546" s="62">
        <v>0.3233860130544205</v>
      </c>
      <c r="AH546" s="63">
        <v>0.13247832813920005</v>
      </c>
      <c r="AI546" s="78">
        <v>0.71247293080313734</v>
      </c>
    </row>
    <row r="547" spans="17:35" x14ac:dyDescent="0.25">
      <c r="Q547" s="57"/>
      <c r="R547" s="57"/>
      <c r="Z547">
        <v>515</v>
      </c>
      <c r="AA547" s="58">
        <v>97.431773246168063</v>
      </c>
      <c r="AB547" s="59">
        <v>37.446837165463059</v>
      </c>
      <c r="AC547" s="59">
        <v>134.87861041163112</v>
      </c>
      <c r="AD547" s="60">
        <v>59.984936080705005</v>
      </c>
      <c r="AE547" s="61">
        <v>0.22748099800619359</v>
      </c>
      <c r="AF547" s="62">
        <v>9.5195433621477477E-2</v>
      </c>
      <c r="AG547" s="62">
        <v>0.32267643162767107</v>
      </c>
      <c r="AH547" s="63">
        <v>0.13228556438471611</v>
      </c>
      <c r="AI547" s="78">
        <v>0.74491815092199942</v>
      </c>
    </row>
    <row r="548" spans="17:35" x14ac:dyDescent="0.25">
      <c r="Q548" s="57"/>
      <c r="R548" s="57"/>
      <c r="Z548">
        <v>516</v>
      </c>
      <c r="AA548" s="58">
        <v>97.240798879046835</v>
      </c>
      <c r="AB548" s="59">
        <v>37.341979369116729</v>
      </c>
      <c r="AC548" s="59">
        <v>134.58277824816355</v>
      </c>
      <c r="AD548" s="60">
        <v>59.898819509930107</v>
      </c>
      <c r="AE548" s="61">
        <v>0.22703310244248384</v>
      </c>
      <c r="AF548" s="62">
        <v>9.4937778338423678E-2</v>
      </c>
      <c r="AG548" s="62">
        <v>0.32197088078090752</v>
      </c>
      <c r="AH548" s="63">
        <v>0.13209532410406016</v>
      </c>
      <c r="AI548" s="78">
        <v>2.9001065859018849</v>
      </c>
    </row>
    <row r="549" spans="17:35" x14ac:dyDescent="0.25">
      <c r="Q549" s="57"/>
      <c r="R549" s="57"/>
      <c r="Z549">
        <v>517</v>
      </c>
      <c r="AA549" s="58">
        <v>97.049824511925635</v>
      </c>
      <c r="AB549" s="59">
        <v>37.237123246231995</v>
      </c>
      <c r="AC549" s="59">
        <v>134.28694775815762</v>
      </c>
      <c r="AD549" s="60">
        <v>59.81270126569364</v>
      </c>
      <c r="AE549" s="61">
        <v>0.22658520687877406</v>
      </c>
      <c r="AF549" s="62">
        <v>9.4680126752057614E-2</v>
      </c>
      <c r="AG549" s="62">
        <v>0.32126533363083165</v>
      </c>
      <c r="AH549" s="63">
        <v>0.13190508012671645</v>
      </c>
      <c r="AI549" s="78">
        <v>4.7481719801657176</v>
      </c>
    </row>
    <row r="550" spans="17:35" x14ac:dyDescent="0.25">
      <c r="Q550" s="57"/>
      <c r="R550" s="57"/>
      <c r="Z550">
        <v>518</v>
      </c>
      <c r="AA550" s="58">
        <v>96.858850144804407</v>
      </c>
      <c r="AB550" s="59">
        <v>37.132268810985941</v>
      </c>
      <c r="AC550" s="59">
        <v>133.99111895579034</v>
      </c>
      <c r="AD550" s="60">
        <v>59.726581333818466</v>
      </c>
      <c r="AE550" s="61">
        <v>0.22613731131506429</v>
      </c>
      <c r="AF550" s="62">
        <v>9.4422478892640813E-2</v>
      </c>
      <c r="AG550" s="62">
        <v>0.32055979020770509</v>
      </c>
      <c r="AH550" s="63">
        <v>0.13171483242242349</v>
      </c>
      <c r="AI550" s="78">
        <v>4.9828552817022516</v>
      </c>
    </row>
    <row r="551" spans="17:35" x14ac:dyDescent="0.25">
      <c r="Q551" s="57"/>
      <c r="R551" s="57"/>
      <c r="Z551">
        <v>519</v>
      </c>
      <c r="AA551" s="58">
        <v>96.667875777683193</v>
      </c>
      <c r="AB551" s="59">
        <v>37.027416077715628</v>
      </c>
      <c r="AC551" s="59">
        <v>133.69529185539881</v>
      </c>
      <c r="AD551" s="60">
        <v>59.640459699967565</v>
      </c>
      <c r="AE551" s="61">
        <v>0.22568941575135457</v>
      </c>
      <c r="AF551" s="62">
        <v>9.4164834790765567E-2</v>
      </c>
      <c r="AG551" s="62">
        <v>0.31985425054212013</v>
      </c>
      <c r="AH551" s="63">
        <v>0.131524580960589</v>
      </c>
      <c r="AI551" s="78">
        <v>5.2175385832387864</v>
      </c>
    </row>
    <row r="552" spans="17:35" x14ac:dyDescent="0.25">
      <c r="Q552" s="57"/>
      <c r="R552" s="57"/>
      <c r="Z552">
        <v>520</v>
      </c>
      <c r="AA552" s="58">
        <v>96.476901410561979</v>
      </c>
      <c r="AB552" s="59">
        <v>36.922565060920924</v>
      </c>
      <c r="AC552" s="59">
        <v>133.3994664714829</v>
      </c>
      <c r="AD552" s="60">
        <v>59.554336349641055</v>
      </c>
      <c r="AE552" s="61">
        <v>0.22524152018764476</v>
      </c>
      <c r="AF552" s="62">
        <v>9.3907194477359734E-2</v>
      </c>
      <c r="AG552" s="62">
        <v>0.3191487146650045</v>
      </c>
      <c r="AH552" s="63">
        <v>0.13133432571028503</v>
      </c>
      <c r="AI552" s="78">
        <v>5.4522218847753212</v>
      </c>
    </row>
    <row r="553" spans="17:35" x14ac:dyDescent="0.25">
      <c r="Q553" s="57"/>
      <c r="R553" s="57"/>
      <c r="Z553">
        <v>521</v>
      </c>
      <c r="AA553" s="58">
        <v>96.285927043440765</v>
      </c>
      <c r="AB553" s="59">
        <v>36.817715775266514</v>
      </c>
      <c r="AC553" s="59">
        <v>133.10364281870727</v>
      </c>
      <c r="AD553" s="60">
        <v>59.468211268174251</v>
      </c>
      <c r="AE553" s="61">
        <v>0.22479362462393501</v>
      </c>
      <c r="AF553" s="62">
        <v>9.364955798369029E-2</v>
      </c>
      <c r="AG553" s="62">
        <v>0.31844318260762527</v>
      </c>
      <c r="AH553" s="63">
        <v>0.13114406664024472</v>
      </c>
      <c r="AI553" s="78">
        <v>5.6763344716074799</v>
      </c>
    </row>
    <row r="554" spans="17:35" x14ac:dyDescent="0.25">
      <c r="Q554" s="57"/>
      <c r="R554" s="57"/>
      <c r="Z554">
        <v>522</v>
      </c>
      <c r="AA554" s="58">
        <v>96.094952676319551</v>
      </c>
      <c r="AB554" s="59">
        <v>36.712868235584544</v>
      </c>
      <c r="AC554" s="59">
        <v>132.80782091190409</v>
      </c>
      <c r="AD554" s="60">
        <v>59.382084440735007</v>
      </c>
      <c r="AE554" s="61">
        <v>0.22434572906022524</v>
      </c>
      <c r="AF554" s="62">
        <v>9.3391925341369877E-2</v>
      </c>
      <c r="AG554" s="62">
        <v>0.31773765440159513</v>
      </c>
      <c r="AH554" s="63">
        <v>0.13095380371885534</v>
      </c>
      <c r="AI554" s="78">
        <v>5.6368263774447964</v>
      </c>
    </row>
    <row r="555" spans="17:35" x14ac:dyDescent="0.25">
      <c r="Q555" s="57"/>
      <c r="R555" s="57"/>
      <c r="Z555">
        <v>523</v>
      </c>
      <c r="AA555" s="58">
        <v>95.903978309198337</v>
      </c>
      <c r="AB555" s="59">
        <v>36.60802245687654</v>
      </c>
      <c r="AC555" s="59">
        <v>132.51200076607489</v>
      </c>
      <c r="AD555" s="60">
        <v>59.295955852321796</v>
      </c>
      <c r="AE555" s="61">
        <v>0.22389783349651546</v>
      </c>
      <c r="AF555" s="62">
        <v>9.3134296582359569E-2</v>
      </c>
      <c r="AG555" s="62">
        <v>0.31703213007887504</v>
      </c>
      <c r="AH555" s="63">
        <v>0.13076353691415588</v>
      </c>
      <c r="AI555" s="78">
        <v>5.0213144002137371</v>
      </c>
    </row>
    <row r="556" spans="17:35" x14ac:dyDescent="0.25">
      <c r="Q556" s="57"/>
      <c r="R556" s="57"/>
      <c r="Z556">
        <v>524</v>
      </c>
      <c r="AA556" s="58">
        <v>95.713003942077123</v>
      </c>
      <c r="AB556" s="59">
        <v>36.503178454316483</v>
      </c>
      <c r="AC556" s="59">
        <v>132.21618239639361</v>
      </c>
      <c r="AD556" s="60">
        <v>59.209825487760639</v>
      </c>
      <c r="AE556" s="61">
        <v>0.22344993793280574</v>
      </c>
      <c r="AF556" s="62">
        <v>9.287667173897457E-2</v>
      </c>
      <c r="AG556" s="62">
        <v>0.31632660967178028</v>
      </c>
      <c r="AH556" s="63">
        <v>0.13057326619383117</v>
      </c>
      <c r="AI556" s="78">
        <v>3.0987973522643251</v>
      </c>
    </row>
    <row r="557" spans="17:35" x14ac:dyDescent="0.25">
      <c r="Q557" s="57"/>
      <c r="R557" s="57"/>
      <c r="Z557">
        <v>525</v>
      </c>
      <c r="AA557" s="58">
        <v>95.522029574955923</v>
      </c>
      <c r="AB557" s="59">
        <v>36.398336243252643</v>
      </c>
      <c r="AC557" s="59">
        <v>131.92036581820855</v>
      </c>
      <c r="AD557" s="60">
        <v>59.123693331703279</v>
      </c>
      <c r="AE557" s="61">
        <v>0.22300204236909593</v>
      </c>
      <c r="AF557" s="62">
        <v>9.2619050843890202E-2</v>
      </c>
      <c r="AG557" s="62">
        <v>0.31562109321298615</v>
      </c>
      <c r="AH557" s="63">
        <v>0.13038299152520572</v>
      </c>
      <c r="AI557" s="78">
        <v>2.5676424929665194</v>
      </c>
    </row>
    <row r="558" spans="17:35" x14ac:dyDescent="0.25">
      <c r="Q558" s="57"/>
      <c r="R558" s="57"/>
      <c r="Z558">
        <v>526</v>
      </c>
      <c r="AA558" s="58">
        <v>95.331055207834694</v>
      </c>
      <c r="AB558" s="59">
        <v>36.293495839210564</v>
      </c>
      <c r="AC558" s="59">
        <v>131.62455104704526</v>
      </c>
      <c r="AD558" s="60">
        <v>59.03755936862413</v>
      </c>
      <c r="AE558" s="61">
        <v>0.22255414680538618</v>
      </c>
      <c r="AF558" s="62">
        <v>9.2361433930144246E-2</v>
      </c>
      <c r="AG558" s="62">
        <v>0.31491558073553044</v>
      </c>
      <c r="AH558" s="63">
        <v>0.13019271287524192</v>
      </c>
      <c r="AI558" s="78">
        <v>2.7291038650363117</v>
      </c>
    </row>
    <row r="559" spans="17:35" x14ac:dyDescent="0.25">
      <c r="Q559" s="57"/>
      <c r="R559" s="57"/>
      <c r="Z559">
        <v>527</v>
      </c>
      <c r="AA559" s="58">
        <v>95.140080840713495</v>
      </c>
      <c r="AB559" s="59">
        <v>36.188657257895223</v>
      </c>
      <c r="AC559" s="59">
        <v>131.32873809860871</v>
      </c>
      <c r="AD559" s="60">
        <v>58.951423582818272</v>
      </c>
      <c r="AE559" s="61">
        <v>0.22210625124167641</v>
      </c>
      <c r="AF559" s="62">
        <v>9.2103821031145061E-2</v>
      </c>
      <c r="AG559" s="62">
        <v>0.31421007227282149</v>
      </c>
      <c r="AH559" s="63">
        <v>0.13000243021053134</v>
      </c>
      <c r="AI559" s="78">
        <v>2.2306593905134897</v>
      </c>
    </row>
    <row r="560" spans="17:35" x14ac:dyDescent="0.25">
      <c r="Q560" s="57"/>
      <c r="R560" s="57"/>
      <c r="Z560">
        <v>528</v>
      </c>
      <c r="AA560" s="58">
        <v>95.013108868749327</v>
      </c>
      <c r="AB560" s="59">
        <v>35.9803750147125</v>
      </c>
      <c r="AC560" s="59">
        <v>130.99348388346183</v>
      </c>
      <c r="AD560" s="60">
        <v>59.032733854036827</v>
      </c>
      <c r="AE560" s="61">
        <v>0.22179961316578836</v>
      </c>
      <c r="AF560" s="62">
        <v>9.1620337920288897E-2</v>
      </c>
      <c r="AG560" s="62">
        <v>0.31341995108607723</v>
      </c>
      <c r="AH560" s="63">
        <v>0.13017927524549947</v>
      </c>
      <c r="AI560" s="78">
        <v>1.464944848927056</v>
      </c>
    </row>
    <row r="561" spans="17:35" x14ac:dyDescent="0.25">
      <c r="Q561" s="57"/>
      <c r="R561" s="57"/>
      <c r="Z561">
        <v>529</v>
      </c>
      <c r="AA561" s="58">
        <v>95.172171910173702</v>
      </c>
      <c r="AB561" s="59">
        <v>35.27751080491403</v>
      </c>
      <c r="AC561" s="59">
        <v>130.44968271508773</v>
      </c>
      <c r="AD561" s="60">
        <v>59.894661105259672</v>
      </c>
      <c r="AE561" s="61">
        <v>0.22212209697921434</v>
      </c>
      <c r="AF561" s="62">
        <v>9.0052876630239892E-2</v>
      </c>
      <c r="AG561" s="62">
        <v>0.31217497360945423</v>
      </c>
      <c r="AH561" s="63">
        <v>0.13206922034897445</v>
      </c>
      <c r="AI561" s="78">
        <v>1.3382280117400536</v>
      </c>
    </row>
    <row r="562" spans="17:35" x14ac:dyDescent="0.25">
      <c r="Q562" s="57"/>
      <c r="R562" s="57"/>
      <c r="Z562">
        <v>530</v>
      </c>
      <c r="AA562" s="58">
        <v>95.223498495446577</v>
      </c>
      <c r="AB562" s="59">
        <v>34.318489697935256</v>
      </c>
      <c r="AC562" s="59">
        <v>129.54198819338183</v>
      </c>
      <c r="AD562" s="60">
        <v>60.905008797511321</v>
      </c>
      <c r="AE562" s="61">
        <v>0.22217850923920116</v>
      </c>
      <c r="AF562" s="62">
        <v>8.7873423237135539E-2</v>
      </c>
      <c r="AG562" s="62">
        <v>0.31005193247633667</v>
      </c>
      <c r="AH562" s="63">
        <v>0.13430508600206562</v>
      </c>
      <c r="AI562" s="78">
        <v>2.422149020277204</v>
      </c>
    </row>
    <row r="563" spans="17:35" x14ac:dyDescent="0.25">
      <c r="Q563" s="57"/>
      <c r="R563" s="57"/>
      <c r="Z563">
        <v>531</v>
      </c>
      <c r="AA563" s="58">
        <v>95.230159400006855</v>
      </c>
      <c r="AB563" s="59">
        <v>33.298990737554881</v>
      </c>
      <c r="AC563" s="59">
        <v>128.52915013756174</v>
      </c>
      <c r="AD563" s="60">
        <v>61.931168662451974</v>
      </c>
      <c r="AE563" s="61">
        <v>0.22212763675669586</v>
      </c>
      <c r="AF563" s="62">
        <v>8.554572477448591E-2</v>
      </c>
      <c r="AG563" s="62">
        <v>0.30767336153118174</v>
      </c>
      <c r="AH563" s="63">
        <v>0.13658191198220995</v>
      </c>
      <c r="AI563" s="78">
        <v>1.8911560910721825</v>
      </c>
    </row>
    <row r="564" spans="17:35" x14ac:dyDescent="0.25">
      <c r="Q564" s="57"/>
      <c r="R564" s="57"/>
      <c r="Z564">
        <v>532</v>
      </c>
      <c r="AA564" s="58">
        <v>95.236820304567118</v>
      </c>
      <c r="AB564" s="59">
        <v>32.27956346982829</v>
      </c>
      <c r="AC564" s="59">
        <v>127.51638377439541</v>
      </c>
      <c r="AD564" s="60">
        <v>62.957256834738828</v>
      </c>
      <c r="AE564" s="61">
        <v>0.22207676427419054</v>
      </c>
      <c r="AF564" s="62">
        <v>8.3218197989652312E-2</v>
      </c>
      <c r="AG564" s="62">
        <v>0.30529496226384284</v>
      </c>
      <c r="AH564" s="63">
        <v>0.13885856628453824</v>
      </c>
      <c r="AI564" s="78">
        <v>3.6588502279057025</v>
      </c>
    </row>
    <row r="565" spans="17:35" x14ac:dyDescent="0.25">
      <c r="Q565" s="57"/>
      <c r="R565" s="57"/>
      <c r="Z565">
        <v>533</v>
      </c>
      <c r="AA565" s="58">
        <v>95.243481209127367</v>
      </c>
      <c r="AB565" s="59">
        <v>31.260214908666615</v>
      </c>
      <c r="AC565" s="59">
        <v>126.50369611779398</v>
      </c>
      <c r="AD565" s="60">
        <v>63.983266300460755</v>
      </c>
      <c r="AE565" s="61">
        <v>0.22202589179168516</v>
      </c>
      <c r="AF565" s="62">
        <v>8.0890857702038715E-2</v>
      </c>
      <c r="AG565" s="62">
        <v>0.30291674949372388</v>
      </c>
      <c r="AH565" s="63">
        <v>0.14113503408964645</v>
      </c>
      <c r="AI565" s="78">
        <v>2.7083242843291946</v>
      </c>
    </row>
    <row r="566" spans="17:35" x14ac:dyDescent="0.25">
      <c r="Q566" s="57"/>
      <c r="R566" s="57"/>
      <c r="Z566">
        <v>534</v>
      </c>
      <c r="AA566" s="58">
        <v>95.25014211368763</v>
      </c>
      <c r="AB566" s="59">
        <v>30.24095301308807</v>
      </c>
      <c r="AC566" s="59">
        <v>125.4910951267757</v>
      </c>
      <c r="AD566" s="60">
        <v>65.009189100599556</v>
      </c>
      <c r="AE566" s="61">
        <v>0.22197501930917984</v>
      </c>
      <c r="AF566" s="62">
        <v>7.8563720485803887E-2</v>
      </c>
      <c r="AG566" s="62">
        <v>0.30053873979498374</v>
      </c>
      <c r="AH566" s="63">
        <v>0.14341129882337594</v>
      </c>
      <c r="AI566" s="78">
        <v>2.2178755990333032</v>
      </c>
    </row>
    <row r="567" spans="17:35" x14ac:dyDescent="0.25">
      <c r="Q567" s="57"/>
      <c r="R567" s="57"/>
      <c r="Z567">
        <v>535</v>
      </c>
      <c r="AA567" s="58">
        <v>95.256803018247908</v>
      </c>
      <c r="AB567" s="59">
        <v>29.22178685183389</v>
      </c>
      <c r="AC567" s="59">
        <v>124.47858987008181</v>
      </c>
      <c r="AD567" s="60">
        <v>66.03501616641401</v>
      </c>
      <c r="AE567" s="61">
        <v>0.2219241468266745</v>
      </c>
      <c r="AF567" s="62">
        <v>7.6236804937281938E-2</v>
      </c>
      <c r="AG567" s="62">
        <v>0.29816095176395641</v>
      </c>
      <c r="AH567" s="63">
        <v>0.14568734188939256</v>
      </c>
      <c r="AI567" s="78">
        <v>1.8425083210484847</v>
      </c>
    </row>
    <row r="568" spans="17:35" x14ac:dyDescent="0.25">
      <c r="Q568" s="57"/>
      <c r="R568" s="57"/>
      <c r="Z568">
        <v>536</v>
      </c>
      <c r="AA568" s="58">
        <v>95.263463922808171</v>
      </c>
      <c r="AB568" s="59">
        <v>28.202726803602889</v>
      </c>
      <c r="AC568" s="59">
        <v>123.46619072641106</v>
      </c>
      <c r="AD568" s="60">
        <v>67.060737119205285</v>
      </c>
      <c r="AE568" s="61">
        <v>0.22187327434416917</v>
      </c>
      <c r="AF568" s="62">
        <v>7.3910131992794767E-2</v>
      </c>
      <c r="AG568" s="62">
        <v>0.29578340633696393</v>
      </c>
      <c r="AH568" s="63">
        <v>0.14796314235137442</v>
      </c>
      <c r="AI568" s="78">
        <v>1.1126744610272228</v>
      </c>
    </row>
    <row r="569" spans="17:35" x14ac:dyDescent="0.25">
      <c r="Q569" s="57"/>
      <c r="R569" s="57"/>
      <c r="Z569">
        <v>537</v>
      </c>
      <c r="AA569" s="58">
        <v>95.270124827368434</v>
      </c>
      <c r="AB569" s="59">
        <v>27.18378480222615</v>
      </c>
      <c r="AC569" s="59">
        <v>122.45390962959459</v>
      </c>
      <c r="AD569" s="60">
        <v>68.086340025142277</v>
      </c>
      <c r="AE569" s="61">
        <v>0.22182240186166383</v>
      </c>
      <c r="AF569" s="62">
        <v>7.1583725308293017E-2</v>
      </c>
      <c r="AG569" s="62">
        <v>0.29340612716995684</v>
      </c>
      <c r="AH569" s="63">
        <v>0.15023867655337081</v>
      </c>
      <c r="AI569" s="78">
        <v>1.1274317720780536</v>
      </c>
    </row>
    <row r="570" spans="17:35" x14ac:dyDescent="0.25">
      <c r="Q570" s="57"/>
      <c r="R570" s="57"/>
      <c r="Z570">
        <v>538</v>
      </c>
      <c r="AA570" s="58">
        <v>95.281121495049376</v>
      </c>
      <c r="AB570" s="59">
        <v>26.165963200242611</v>
      </c>
      <c r="AC570" s="59">
        <v>121.44708469529199</v>
      </c>
      <c r="AD570" s="60">
        <v>69.115158294806761</v>
      </c>
      <c r="AE570" s="61">
        <v>0.22178158938954662</v>
      </c>
      <c r="AF570" s="62">
        <v>6.9259468370741747E-2</v>
      </c>
      <c r="AG570" s="62">
        <v>0.29104105776028838</v>
      </c>
      <c r="AH570" s="63">
        <v>0.15252212101880486</v>
      </c>
      <c r="AI570" s="78">
        <v>0.81849201731752652</v>
      </c>
    </row>
    <row r="571" spans="17:35" x14ac:dyDescent="0.25">
      <c r="Q571" s="57"/>
      <c r="R571" s="57"/>
      <c r="Z571">
        <v>539</v>
      </c>
      <c r="AA571" s="58">
        <v>95.354067930532082</v>
      </c>
      <c r="AB571" s="59">
        <v>25.16238946885899</v>
      </c>
      <c r="AC571" s="59">
        <v>120.51645739939107</v>
      </c>
      <c r="AD571" s="60">
        <v>70.191678461673092</v>
      </c>
      <c r="AE571" s="61">
        <v>0.22188451523760044</v>
      </c>
      <c r="AF571" s="62">
        <v>6.6961991806734025E-2</v>
      </c>
      <c r="AG571" s="62">
        <v>0.28884650704433446</v>
      </c>
      <c r="AH571" s="63">
        <v>0.15492252343086643</v>
      </c>
      <c r="AI571" s="78">
        <v>0.24371166009554229</v>
      </c>
    </row>
    <row r="572" spans="17:35" x14ac:dyDescent="0.25">
      <c r="Q572" s="57"/>
      <c r="R572" s="57"/>
      <c r="Z572">
        <v>540</v>
      </c>
      <c r="AA572" s="58">
        <v>95.447203889022703</v>
      </c>
      <c r="AB572" s="59">
        <v>24.16371392213976</v>
      </c>
      <c r="AC572" s="59">
        <v>119.61091781116247</v>
      </c>
      <c r="AD572" s="60">
        <v>71.283489966882939</v>
      </c>
      <c r="AE572" s="61">
        <v>0.22203428562156116</v>
      </c>
      <c r="AF572" s="62">
        <v>6.4673724611309755E-2</v>
      </c>
      <c r="AG572" s="62">
        <v>0.2867080102328709</v>
      </c>
      <c r="AH572" s="63">
        <v>0.15736056101025142</v>
      </c>
      <c r="AI572" s="78">
        <v>0.23799089933059131</v>
      </c>
    </row>
    <row r="573" spans="17:35" x14ac:dyDescent="0.25">
      <c r="Q573" s="57"/>
      <c r="R573" s="57"/>
      <c r="Z573">
        <v>541</v>
      </c>
      <c r="AA573" s="58">
        <v>95.53453029756264</v>
      </c>
      <c r="AB573" s="59">
        <v>23.174730338033939</v>
      </c>
      <c r="AC573" s="59">
        <v>118.70926063559658</v>
      </c>
      <c r="AD573" s="60">
        <v>72.359799959528701</v>
      </c>
      <c r="AE573" s="61">
        <v>0.22217123394738811</v>
      </c>
      <c r="AF573" s="62">
        <v>6.2406505435319233E-2</v>
      </c>
      <c r="AG573" s="62">
        <v>0.28457773938270736</v>
      </c>
      <c r="AH573" s="63">
        <v>0.15976472851206888</v>
      </c>
      <c r="AI573" s="78">
        <v>0.23709267751866603</v>
      </c>
    </row>
    <row r="574" spans="17:35" x14ac:dyDescent="0.25">
      <c r="Q574" s="57"/>
      <c r="R574" s="57"/>
      <c r="Z574">
        <v>542</v>
      </c>
      <c r="AA574" s="58">
        <v>95.563629420963863</v>
      </c>
      <c r="AB574" s="59">
        <v>22.279980607718425</v>
      </c>
      <c r="AC574" s="59">
        <v>117.84361002868229</v>
      </c>
      <c r="AD574" s="60">
        <v>73.283648813245435</v>
      </c>
      <c r="AE574" s="61">
        <v>0.22217967083233539</v>
      </c>
      <c r="AF574" s="62">
        <v>6.0344765771661493E-2</v>
      </c>
      <c r="AG574" s="62">
        <v>0.2825244366039969</v>
      </c>
      <c r="AH574" s="63">
        <v>0.16183490506067388</v>
      </c>
      <c r="AI574" s="78">
        <v>0.23619445570674075</v>
      </c>
    </row>
    <row r="575" spans="17:35" x14ac:dyDescent="0.25">
      <c r="Q575" s="57"/>
      <c r="R575" s="57"/>
      <c r="Z575">
        <v>543</v>
      </c>
      <c r="AA575" s="58">
        <v>95.577694000163845</v>
      </c>
      <c r="AB575" s="59">
        <v>21.410447103293798</v>
      </c>
      <c r="AC575" s="59">
        <v>116.98814110345765</v>
      </c>
      <c r="AD575" s="60">
        <v>74.16724689687004</v>
      </c>
      <c r="AE575" s="61">
        <v>0.22215492549122387</v>
      </c>
      <c r="AF575" s="62">
        <v>5.8337753322228271E-2</v>
      </c>
      <c r="AG575" s="62">
        <v>0.28049267881345213</v>
      </c>
      <c r="AH575" s="63">
        <v>0.16381717216899561</v>
      </c>
      <c r="AI575" s="78">
        <v>0.23529623389481547</v>
      </c>
    </row>
    <row r="576" spans="17:35" x14ac:dyDescent="0.25">
      <c r="Q576" s="57"/>
      <c r="R576" s="57"/>
      <c r="Z576">
        <v>544</v>
      </c>
      <c r="AA576" s="58">
        <v>95.591758579363841</v>
      </c>
      <c r="AB576" s="59">
        <v>20.542097301242123</v>
      </c>
      <c r="AC576" s="59">
        <v>116.13385588060596</v>
      </c>
      <c r="AD576" s="60">
        <v>75.049661278121718</v>
      </c>
      <c r="AE576" s="61">
        <v>0.22213018015011235</v>
      </c>
      <c r="AF576" s="62">
        <v>5.6332938351673495E-2</v>
      </c>
      <c r="AG576" s="62">
        <v>0.27846311850178584</v>
      </c>
      <c r="AH576" s="63">
        <v>0.16579724179843885</v>
      </c>
      <c r="AI576" s="78">
        <v>0.23439801208289021</v>
      </c>
    </row>
    <row r="577" spans="17:35" x14ac:dyDescent="0.25">
      <c r="Q577" s="57"/>
      <c r="R577" s="57"/>
      <c r="Z577">
        <v>545</v>
      </c>
      <c r="AA577" s="58">
        <v>95.605823158563837</v>
      </c>
      <c r="AB577" s="59">
        <v>19.675087928459046</v>
      </c>
      <c r="AC577" s="59">
        <v>115.28091108702289</v>
      </c>
      <c r="AD577" s="60">
        <v>75.930735230104787</v>
      </c>
      <c r="AE577" s="61">
        <v>0.2221054348090008</v>
      </c>
      <c r="AF577" s="62">
        <v>5.4330564123535624E-2</v>
      </c>
      <c r="AG577" s="62">
        <v>0.27643599893253645</v>
      </c>
      <c r="AH577" s="63">
        <v>0.16777487068546518</v>
      </c>
      <c r="AI577" s="78">
        <v>0.23349979027096493</v>
      </c>
    </row>
    <row r="578" spans="17:35" x14ac:dyDescent="0.25">
      <c r="Q578" s="57"/>
      <c r="R578" s="57"/>
      <c r="Z578">
        <v>546</v>
      </c>
      <c r="AA578" s="58">
        <v>95.619887737763818</v>
      </c>
      <c r="AB578" s="59">
        <v>18.809604342984489</v>
      </c>
      <c r="AC578" s="59">
        <v>114.4294920807483</v>
      </c>
      <c r="AD578" s="60">
        <v>76.810283394779333</v>
      </c>
      <c r="AE578" s="61">
        <v>0.22208068946788928</v>
      </c>
      <c r="AF578" s="62">
        <v>5.2330910814064588E-2</v>
      </c>
      <c r="AG578" s="62">
        <v>0.27441160028195388</v>
      </c>
      <c r="AH578" s="63">
        <v>0.16974977865382468</v>
      </c>
      <c r="AI578" s="78">
        <v>0.23260156845903968</v>
      </c>
    </row>
    <row r="579" spans="17:35" x14ac:dyDescent="0.25">
      <c r="Q579" s="57"/>
      <c r="R579" s="57"/>
      <c r="Z579">
        <v>547</v>
      </c>
      <c r="AA579" s="58">
        <v>95.6339523169638</v>
      </c>
      <c r="AB579" s="59">
        <v>17.9458673007125</v>
      </c>
      <c r="AC579" s="59">
        <v>113.57981961767629</v>
      </c>
      <c r="AD579" s="60">
        <v>77.688085016251307</v>
      </c>
      <c r="AE579" s="61">
        <v>0.22205594412677776</v>
      </c>
      <c r="AF579" s="62">
        <v>5.0334302709756494E-2</v>
      </c>
      <c r="AG579" s="62">
        <v>0.27239024683653423</v>
      </c>
      <c r="AH579" s="63">
        <v>0.17172164141702126</v>
      </c>
      <c r="AI579" s="78">
        <v>0.23170334664711439</v>
      </c>
    </row>
    <row r="580" spans="17:35" x14ac:dyDescent="0.25">
      <c r="Q580" s="57"/>
      <c r="R580" s="57"/>
      <c r="Z580">
        <v>548</v>
      </c>
      <c r="AA580" s="58">
        <v>95.64801689616381</v>
      </c>
      <c r="AB580" s="59">
        <v>17.084141707972037</v>
      </c>
      <c r="AC580" s="59">
        <v>112.73215860413585</v>
      </c>
      <c r="AD580" s="60">
        <v>78.563875188191773</v>
      </c>
      <c r="AE580" s="61">
        <v>0.22203119878566624</v>
      </c>
      <c r="AF580" s="62">
        <v>4.8341117135675037E-2</v>
      </c>
      <c r="AG580" s="62">
        <v>0.27037231592134126</v>
      </c>
      <c r="AH580" s="63">
        <v>0.1736900816499912</v>
      </c>
      <c r="AI580" s="78">
        <v>0.23080512483518911</v>
      </c>
    </row>
    <row r="581" spans="17:35" x14ac:dyDescent="0.25">
      <c r="Q581" s="57"/>
      <c r="R581" s="57"/>
      <c r="Z581">
        <v>549</v>
      </c>
      <c r="AA581" s="58">
        <v>95.662081475363777</v>
      </c>
      <c r="AB581" s="59">
        <v>16.224748063051585</v>
      </c>
      <c r="AC581" s="59">
        <v>111.88682953841536</v>
      </c>
      <c r="AD581" s="60">
        <v>79.437333412312199</v>
      </c>
      <c r="AE581" s="61">
        <v>0.22200645344455469</v>
      </c>
      <c r="AF581" s="62">
        <v>4.6351795613250792E-2</v>
      </c>
      <c r="AG581" s="62">
        <v>0.26835824905780548</v>
      </c>
      <c r="AH581" s="63">
        <v>0.17565465783130391</v>
      </c>
      <c r="AI581" s="78">
        <v>0.22990690302326383</v>
      </c>
    </row>
    <row r="582" spans="17:35" x14ac:dyDescent="0.25">
      <c r="Q582" s="57"/>
      <c r="R582" s="57"/>
      <c r="Z582">
        <v>550</v>
      </c>
      <c r="AA582" s="58">
        <v>95.676146054563773</v>
      </c>
      <c r="AB582" s="59">
        <v>15.368077583388645</v>
      </c>
      <c r="AC582" s="59">
        <v>111.04422363795241</v>
      </c>
      <c r="AD582" s="60">
        <v>80.308068471175133</v>
      </c>
      <c r="AE582" s="61">
        <v>0.22198170810344317</v>
      </c>
      <c r="AF582" s="62">
        <v>4.4366857914663271E-2</v>
      </c>
      <c r="AG582" s="62">
        <v>0.26634856601810641</v>
      </c>
      <c r="AH582" s="63">
        <v>0.1776148501887799</v>
      </c>
      <c r="AI582" s="78">
        <v>0.22900868121133858</v>
      </c>
    </row>
    <row r="583" spans="17:35" x14ac:dyDescent="0.25">
      <c r="Q583" s="57"/>
      <c r="R583" s="57"/>
      <c r="Z583">
        <v>551</v>
      </c>
      <c r="AA583" s="58">
        <v>95.702866773062524</v>
      </c>
      <c r="AB583" s="59">
        <v>14.53040727183172</v>
      </c>
      <c r="AC583" s="59">
        <v>110.23327404489424</v>
      </c>
      <c r="AD583" s="60">
        <v>81.172459501230804</v>
      </c>
      <c r="AE583" s="61">
        <v>0.22198736217915346</v>
      </c>
      <c r="AF583" s="62">
        <v>4.2426606545901691E-2</v>
      </c>
      <c r="AG583" s="62">
        <v>0.26441396872505518</v>
      </c>
      <c r="AH583" s="63">
        <v>0.17956075563325177</v>
      </c>
      <c r="AI583" s="78">
        <v>0.2281104593994133</v>
      </c>
    </row>
    <row r="584" spans="17:35" x14ac:dyDescent="0.25">
      <c r="Q584" s="57"/>
      <c r="R584" s="57"/>
      <c r="Z584">
        <v>552</v>
      </c>
      <c r="AA584" s="58">
        <v>95.879911431803649</v>
      </c>
      <c r="AB584" s="59">
        <v>13.882041643091499</v>
      </c>
      <c r="AC584" s="59">
        <v>109.76195307489515</v>
      </c>
      <c r="AD584" s="60">
        <v>81.997869788712151</v>
      </c>
      <c r="AE584" s="61">
        <v>0.22235408687915528</v>
      </c>
      <c r="AF584" s="62">
        <v>4.0960274471853471E-2</v>
      </c>
      <c r="AG584" s="62">
        <v>0.26331436135100877</v>
      </c>
      <c r="AH584" s="63">
        <v>0.18139381240730182</v>
      </c>
      <c r="AI584" s="78">
        <v>0.22721223758748804</v>
      </c>
    </row>
    <row r="585" spans="17:35" x14ac:dyDescent="0.25">
      <c r="Q585" s="57"/>
      <c r="R585" s="57"/>
      <c r="Z585">
        <v>553</v>
      </c>
      <c r="AA585" s="58">
        <v>96.100606856697652</v>
      </c>
      <c r="AB585" s="59">
        <v>13.288096187713615</v>
      </c>
      <c r="AC585" s="59">
        <v>109.38870304441127</v>
      </c>
      <c r="AD585" s="60">
        <v>82.812510668984032</v>
      </c>
      <c r="AE585" s="61">
        <v>0.22282565854737935</v>
      </c>
      <c r="AF585" s="62">
        <v>3.9630829033933383E-2</v>
      </c>
      <c r="AG585" s="62">
        <v>0.26245648758131274</v>
      </c>
      <c r="AH585" s="63">
        <v>0.18319482951344596</v>
      </c>
      <c r="AI585" s="78">
        <v>0.22631401577556279</v>
      </c>
    </row>
    <row r="586" spans="17:35" x14ac:dyDescent="0.25">
      <c r="Q586" s="57"/>
      <c r="R586" s="57"/>
      <c r="Z586">
        <v>554</v>
      </c>
      <c r="AA586" s="58">
        <v>96.321302281591656</v>
      </c>
      <c r="AB586" s="59">
        <v>12.694163922879914</v>
      </c>
      <c r="AC586" s="59">
        <v>109.01546620447156</v>
      </c>
      <c r="AD586" s="60">
        <v>83.627138358711747</v>
      </c>
      <c r="AE586" s="61">
        <v>0.22329723021560335</v>
      </c>
      <c r="AF586" s="62">
        <v>3.8301524734243045E-2</v>
      </c>
      <c r="AG586" s="62">
        <v>0.26159875494984641</v>
      </c>
      <c r="AH586" s="63">
        <v>0.1849957054813603</v>
      </c>
      <c r="AI586" s="78">
        <v>0.22541579396363748</v>
      </c>
    </row>
    <row r="587" spans="17:35" x14ac:dyDescent="0.25">
      <c r="Q587" s="57"/>
      <c r="R587" s="57"/>
      <c r="Z587">
        <v>555</v>
      </c>
      <c r="AA587" s="58">
        <v>96.528645838525165</v>
      </c>
      <c r="AB587" s="59">
        <v>12.122461880001179</v>
      </c>
      <c r="AC587" s="59">
        <v>108.65110771852635</v>
      </c>
      <c r="AD587" s="60">
        <v>84.406183958523982</v>
      </c>
      <c r="AE587" s="61">
        <v>0.22373933343469832</v>
      </c>
      <c r="AF587" s="62">
        <v>3.7020579192539899E-2</v>
      </c>
      <c r="AG587" s="62">
        <v>0.26075991262723819</v>
      </c>
      <c r="AH587" s="63">
        <v>0.18671875424215842</v>
      </c>
      <c r="AI587" s="78">
        <v>0.2245175721517122</v>
      </c>
    </row>
    <row r="588" spans="17:35" x14ac:dyDescent="0.25">
      <c r="Q588" s="57"/>
      <c r="R588" s="57"/>
      <c r="Z588">
        <v>556</v>
      </c>
      <c r="AA588" s="58">
        <v>96.602167837941792</v>
      </c>
      <c r="AB588" s="59">
        <v>11.773570028259341</v>
      </c>
      <c r="AC588" s="59">
        <v>108.37573786620113</v>
      </c>
      <c r="AD588" s="60">
        <v>84.828597809682449</v>
      </c>
      <c r="AE588" s="61">
        <v>0.22388608369106669</v>
      </c>
      <c r="AF588" s="62">
        <v>3.6222993818733729E-2</v>
      </c>
      <c r="AG588" s="62">
        <v>0.26010907750980039</v>
      </c>
      <c r="AH588" s="63">
        <v>0.18766308987233296</v>
      </c>
      <c r="AI588" s="78">
        <v>0.22361935033978694</v>
      </c>
    </row>
    <row r="589" spans="17:35" x14ac:dyDescent="0.25">
      <c r="Q589" s="57"/>
      <c r="R589" s="57"/>
      <c r="Z589">
        <v>557</v>
      </c>
      <c r="AA589" s="58">
        <v>96.641136515547643</v>
      </c>
      <c r="AB589" s="59">
        <v>11.482634403405092</v>
      </c>
      <c r="AC589" s="59">
        <v>108.12377091895273</v>
      </c>
      <c r="AD589" s="60">
        <v>85.158502112142557</v>
      </c>
      <c r="AE589" s="61">
        <v>0.22395657249779857</v>
      </c>
      <c r="AF589" s="62">
        <v>3.5550763225397304E-2</v>
      </c>
      <c r="AG589" s="62">
        <v>0.2595073357231959</v>
      </c>
      <c r="AH589" s="63">
        <v>0.18840580927240128</v>
      </c>
      <c r="AI589" s="78">
        <v>0.22272112852786166</v>
      </c>
    </row>
    <row r="590" spans="17:35" x14ac:dyDescent="0.25">
      <c r="Q590" s="57"/>
      <c r="R590" s="57"/>
      <c r="Z590">
        <v>558</v>
      </c>
      <c r="AA590" s="58">
        <v>96.680105193153508</v>
      </c>
      <c r="AB590" s="59">
        <v>11.192208443448965</v>
      </c>
      <c r="AC590" s="59">
        <v>107.87231363660247</v>
      </c>
      <c r="AD590" s="60">
        <v>85.487896749704547</v>
      </c>
      <c r="AE590" s="61">
        <v>0.22402706130453054</v>
      </c>
      <c r="AF590" s="62">
        <v>3.4879196312486337E-2</v>
      </c>
      <c r="AG590" s="62">
        <v>0.25890625761701686</v>
      </c>
      <c r="AH590" s="63">
        <v>0.1891478649920442</v>
      </c>
      <c r="AI590" s="78">
        <v>0.22182290671593641</v>
      </c>
    </row>
    <row r="591" spans="17:35" x14ac:dyDescent="0.25">
      <c r="Q591" s="57"/>
      <c r="R591" s="57"/>
      <c r="Z591">
        <v>559</v>
      </c>
      <c r="AA591" s="58">
        <v>96.719073870759345</v>
      </c>
      <c r="AB591" s="59">
        <v>10.902332879176397</v>
      </c>
      <c r="AC591" s="59">
        <v>107.62140674993574</v>
      </c>
      <c r="AD591" s="60">
        <v>85.816740991582947</v>
      </c>
      <c r="AE591" s="61">
        <v>0.22409755011126242</v>
      </c>
      <c r="AF591" s="62">
        <v>3.4208332167502742E-2</v>
      </c>
      <c r="AG591" s="62">
        <v>0.25830588227876516</v>
      </c>
      <c r="AH591" s="63">
        <v>0.18988921794375968</v>
      </c>
      <c r="AI591" s="78">
        <v>0.22092468490401113</v>
      </c>
    </row>
    <row r="592" spans="17:35" x14ac:dyDescent="0.25">
      <c r="Q592" s="57"/>
      <c r="R592" s="57"/>
      <c r="Z592">
        <v>560</v>
      </c>
      <c r="AA592" s="58">
        <v>96.758042548365211</v>
      </c>
      <c r="AB592" s="59">
        <v>10.613052809750043</v>
      </c>
      <c r="AC592" s="59">
        <v>107.37109535811526</v>
      </c>
      <c r="AD592" s="60">
        <v>86.144989738615166</v>
      </c>
      <c r="AE592" s="61">
        <v>0.22416803891799433</v>
      </c>
      <c r="AF592" s="62">
        <v>3.3538212962826941E-2</v>
      </c>
      <c r="AG592" s="62">
        <v>0.2577062518808213</v>
      </c>
      <c r="AH592" s="63">
        <v>0.19062982595516739</v>
      </c>
      <c r="AI592" s="78">
        <v>0.22002646309208584</v>
      </c>
    </row>
    <row r="593" spans="17:35" x14ac:dyDescent="0.25">
      <c r="Q593" s="57"/>
      <c r="R593" s="57"/>
      <c r="Z593">
        <v>561</v>
      </c>
      <c r="AA593" s="58">
        <v>96.797011225971048</v>
      </c>
      <c r="AB593" s="59">
        <v>10.324418290835007</v>
      </c>
      <c r="AC593" s="59">
        <v>107.12142951680606</v>
      </c>
      <c r="AD593" s="60">
        <v>86.472592935136035</v>
      </c>
      <c r="AE593" s="61">
        <v>0.22423852772472622</v>
      </c>
      <c r="AF593" s="62">
        <v>3.2868884261230268E-2</v>
      </c>
      <c r="AG593" s="62">
        <v>0.25710741198595649</v>
      </c>
      <c r="AH593" s="63">
        <v>0.19136964346349594</v>
      </c>
      <c r="AI593" s="78">
        <v>0.21912824128016056</v>
      </c>
    </row>
    <row r="594" spans="17:35" x14ac:dyDescent="0.25">
      <c r="Q594" s="57"/>
      <c r="R594" s="57"/>
      <c r="Z594">
        <v>562</v>
      </c>
      <c r="AA594" s="58">
        <v>96.835979903576913</v>
      </c>
      <c r="AB594" s="59">
        <v>10.036485017830008</v>
      </c>
      <c r="AC594" s="59">
        <v>106.87246492140692</v>
      </c>
      <c r="AD594" s="60">
        <v>86.79949488574691</v>
      </c>
      <c r="AE594" s="61">
        <v>0.22430901653145816</v>
      </c>
      <c r="AF594" s="62">
        <v>3.2200395357772707E-2</v>
      </c>
      <c r="AG594" s="62">
        <v>0.25650941188923088</v>
      </c>
      <c r="AH594" s="63">
        <v>0.19210862117368543</v>
      </c>
      <c r="AI594" s="78">
        <v>0.21823001946823531</v>
      </c>
    </row>
    <row r="595" spans="17:35" x14ac:dyDescent="0.25">
      <c r="Q595" s="57"/>
      <c r="R595" s="57"/>
      <c r="Z595">
        <v>563</v>
      </c>
      <c r="AA595" s="58">
        <v>96.874948581182778</v>
      </c>
      <c r="AB595" s="59">
        <v>9.7493151220758101</v>
      </c>
      <c r="AC595" s="59">
        <v>106.62426370325859</v>
      </c>
      <c r="AD595" s="60">
        <v>87.125633459106965</v>
      </c>
      <c r="AE595" s="61">
        <v>0.22437950533819007</v>
      </c>
      <c r="AF595" s="62">
        <v>3.1532799663145636E-2</v>
      </c>
      <c r="AG595" s="62">
        <v>0.25591230500133572</v>
      </c>
      <c r="AH595" s="63">
        <v>0.19284670567504442</v>
      </c>
      <c r="AI595" s="78">
        <v>0.21733179765631003</v>
      </c>
    </row>
    <row r="596" spans="17:35" x14ac:dyDescent="0.25">
      <c r="Q596" s="57"/>
      <c r="R596" s="57"/>
      <c r="Z596">
        <v>564</v>
      </c>
      <c r="AA596" s="58">
        <v>96.913917258788629</v>
      </c>
      <c r="AB596" s="59">
        <v>9.4629781017055326</v>
      </c>
      <c r="AC596" s="59">
        <v>106.37689536049416</v>
      </c>
      <c r="AD596" s="60">
        <v>87.450939157083099</v>
      </c>
      <c r="AE596" s="61">
        <v>0.22444999414492198</v>
      </c>
      <c r="AF596" s="62">
        <v>3.0866155134317792E-2</v>
      </c>
      <c r="AG596" s="62">
        <v>0.25531614927923979</v>
      </c>
      <c r="AH596" s="63">
        <v>0.19358383901060419</v>
      </c>
      <c r="AI596" s="78">
        <v>0.21643357584438477</v>
      </c>
    </row>
    <row r="597" spans="17:35" x14ac:dyDescent="0.25">
      <c r="Q597" s="57"/>
      <c r="R597" s="57"/>
      <c r="Z597">
        <v>565</v>
      </c>
      <c r="AA597" s="58">
        <v>96.95288593639448</v>
      </c>
      <c r="AB597" s="59">
        <v>9.1775519134785331</v>
      </c>
      <c r="AC597" s="59">
        <v>106.13043784987302</v>
      </c>
      <c r="AD597" s="60">
        <v>87.775334022915942</v>
      </c>
      <c r="AE597" s="61">
        <v>0.22452048295165386</v>
      </c>
      <c r="AF597" s="62">
        <v>3.0200524759281866E-2</v>
      </c>
      <c r="AG597" s="62">
        <v>0.25472100771093575</v>
      </c>
      <c r="AH597" s="63">
        <v>0.19431995819237199</v>
      </c>
      <c r="AI597" s="78">
        <v>0.21553535403245949</v>
      </c>
    </row>
    <row r="598" spans="17:35" x14ac:dyDescent="0.25">
      <c r="Q598" s="57"/>
      <c r="R598" s="57"/>
      <c r="Z598">
        <v>566</v>
      </c>
      <c r="AA598" s="58">
        <v>96.991854614000331</v>
      </c>
      <c r="AB598" s="59">
        <v>8.893124257719597</v>
      </c>
      <c r="AC598" s="59">
        <v>105.88497887171992</v>
      </c>
      <c r="AD598" s="60">
        <v>88.09873035628074</v>
      </c>
      <c r="AE598" s="61">
        <v>0.2245909717583858</v>
      </c>
      <c r="AF598" s="62">
        <v>2.9535977103808186E-2</v>
      </c>
      <c r="AG598" s="62">
        <v>0.254126948862194</v>
      </c>
      <c r="AH598" s="63">
        <v>0.19505499465457762</v>
      </c>
      <c r="AI598" s="78">
        <v>0.21463713222053421</v>
      </c>
    </row>
    <row r="599" spans="17:35" x14ac:dyDescent="0.25">
      <c r="Q599" s="57"/>
      <c r="R599" s="57"/>
      <c r="Z599">
        <v>567</v>
      </c>
      <c r="AA599" s="58">
        <v>97.030823291606183</v>
      </c>
      <c r="AB599" s="59">
        <v>8.6097940956390033</v>
      </c>
      <c r="AC599" s="59">
        <v>105.64061738724519</v>
      </c>
      <c r="AD599" s="60">
        <v>88.421029195967179</v>
      </c>
      <c r="AE599" s="61">
        <v>0.22466146056511771</v>
      </c>
      <c r="AF599" s="62">
        <v>2.8872586929436259E-2</v>
      </c>
      <c r="AG599" s="62">
        <v>0.25353404749455399</v>
      </c>
      <c r="AH599" s="63">
        <v>0.19578887363568145</v>
      </c>
      <c r="AI599" s="78">
        <v>0.2137389104086089</v>
      </c>
    </row>
    <row r="600" spans="17:35" x14ac:dyDescent="0.25">
      <c r="Q600" s="57"/>
      <c r="R600" s="57"/>
      <c r="Z600">
        <v>568</v>
      </c>
      <c r="AA600" s="58">
        <v>97.069791969212062</v>
      </c>
      <c r="AB600" s="59">
        <v>8.3276734471743321</v>
      </c>
      <c r="AC600" s="59">
        <v>105.3974654163864</v>
      </c>
      <c r="AD600" s="60">
        <v>88.742118522037728</v>
      </c>
      <c r="AE600" s="61">
        <v>0.22473194937184959</v>
      </c>
      <c r="AF600" s="62">
        <v>2.8210435893469794E-2</v>
      </c>
      <c r="AG600" s="62">
        <v>0.25294238526531937</v>
      </c>
      <c r="AH600" s="63">
        <v>0.19652151347837979</v>
      </c>
      <c r="AI600" s="78">
        <v>0.21284068859668367</v>
      </c>
    </row>
    <row r="601" spans="17:35" x14ac:dyDescent="0.25">
      <c r="Q601" s="57"/>
      <c r="R601" s="57"/>
      <c r="Z601">
        <v>569</v>
      </c>
      <c r="AA601" s="58">
        <v>97.138254483603575</v>
      </c>
      <c r="AB601" s="59">
        <v>8.0790836122459186</v>
      </c>
      <c r="AC601" s="59">
        <v>105.2173380958495</v>
      </c>
      <c r="AD601" s="60">
        <v>89.059170871357651</v>
      </c>
      <c r="AE601" s="61">
        <v>0.22487328090691727</v>
      </c>
      <c r="AF601" s="62">
        <v>2.763642264418404E-2</v>
      </c>
      <c r="AG601" s="62">
        <v>0.25250970355110131</v>
      </c>
      <c r="AH601" s="63">
        <v>0.19723685826273324</v>
      </c>
      <c r="AI601" s="78">
        <v>0.21194246678475839</v>
      </c>
    </row>
    <row r="602" spans="17:35" x14ac:dyDescent="0.25">
      <c r="Q602" s="57"/>
      <c r="R602" s="57"/>
      <c r="Z602">
        <v>570</v>
      </c>
      <c r="AA602" s="58">
        <v>97.255058967164459</v>
      </c>
      <c r="AB602" s="59">
        <v>7.8837008481083428</v>
      </c>
      <c r="AC602" s="59">
        <v>105.13875981527281</v>
      </c>
      <c r="AD602" s="60">
        <v>89.371358119056111</v>
      </c>
      <c r="AE602" s="61">
        <v>0.22513072744641691</v>
      </c>
      <c r="AF602" s="62">
        <v>2.720514934956195E-2</v>
      </c>
      <c r="AG602" s="62">
        <v>0.25233587679597885</v>
      </c>
      <c r="AH602" s="63">
        <v>0.19792557809685496</v>
      </c>
      <c r="AI602" s="78">
        <v>0.21104424497283311</v>
      </c>
    </row>
    <row r="603" spans="17:35" x14ac:dyDescent="0.25">
      <c r="Q603" s="57"/>
      <c r="R603" s="57"/>
      <c r="Z603">
        <v>571</v>
      </c>
      <c r="AA603" s="58">
        <v>97.372561529702523</v>
      </c>
      <c r="AB603" s="59">
        <v>7.6890830729536583</v>
      </c>
      <c r="AC603" s="59">
        <v>105.06164460265619</v>
      </c>
      <c r="AD603" s="60">
        <v>89.683478456748858</v>
      </c>
      <c r="AE603" s="61">
        <v>0.22538985073688303</v>
      </c>
      <c r="AF603" s="62">
        <v>2.6775978773530967E-2</v>
      </c>
      <c r="AG603" s="62">
        <v>0.252165829510414</v>
      </c>
      <c r="AH603" s="63">
        <v>0.19861387196335206</v>
      </c>
      <c r="AI603" s="78">
        <v>0.21014602316090786</v>
      </c>
    </row>
    <row r="604" spans="17:35" x14ac:dyDescent="0.25">
      <c r="Q604" s="57"/>
      <c r="R604" s="57"/>
      <c r="Z604">
        <v>572</v>
      </c>
      <c r="AA604" s="58">
        <v>97.490064092240587</v>
      </c>
      <c r="AB604" s="59">
        <v>7.4944661048545198</v>
      </c>
      <c r="AC604" s="59">
        <v>104.98453019709511</v>
      </c>
      <c r="AD604" s="60">
        <v>89.995597987386063</v>
      </c>
      <c r="AE604" s="61">
        <v>0.22564897402734921</v>
      </c>
      <c r="AF604" s="62">
        <v>2.6346855308765002E-2</v>
      </c>
      <c r="AG604" s="62">
        <v>0.2519958293361142</v>
      </c>
      <c r="AH604" s="63">
        <v>0.19930211871858422</v>
      </c>
      <c r="AI604" s="78">
        <v>0.20924780134898258</v>
      </c>
    </row>
    <row r="605" spans="17:35" x14ac:dyDescent="0.25">
      <c r="Q605" s="57"/>
      <c r="R605" s="57"/>
      <c r="Z605">
        <v>573</v>
      </c>
      <c r="AA605" s="58">
        <v>97.60756665477868</v>
      </c>
      <c r="AB605" s="59">
        <v>7.2998500083601945</v>
      </c>
      <c r="AC605" s="59">
        <v>104.90741666313887</v>
      </c>
      <c r="AD605" s="60">
        <v>90.307716646418484</v>
      </c>
      <c r="AE605" s="61">
        <v>0.22590809731781536</v>
      </c>
      <c r="AF605" s="62">
        <v>2.5917781295342827E-2</v>
      </c>
      <c r="AG605" s="62">
        <v>0.25182587861315819</v>
      </c>
      <c r="AH605" s="63">
        <v>0.19999031602247253</v>
      </c>
      <c r="AI605" s="78">
        <v>0.20834957953705729</v>
      </c>
    </row>
    <row r="606" spans="17:35" x14ac:dyDescent="0.25">
      <c r="Q606" s="57"/>
      <c r="R606" s="57"/>
      <c r="Z606">
        <v>574</v>
      </c>
      <c r="AA606" s="58">
        <v>97.719003900123354</v>
      </c>
      <c r="AB606" s="59">
        <v>7.1156081453189737</v>
      </c>
      <c r="AC606" s="59">
        <v>104.83461204544233</v>
      </c>
      <c r="AD606" s="60">
        <v>90.603395754804382</v>
      </c>
      <c r="AE606" s="61">
        <v>0.2261538340550521</v>
      </c>
      <c r="AF606" s="62">
        <v>2.5511102664136327E-2</v>
      </c>
      <c r="AG606" s="62">
        <v>0.25166493671918844</v>
      </c>
      <c r="AH606" s="63">
        <v>0.20064273139091576</v>
      </c>
      <c r="AI606" s="78">
        <v>0.20745135772513204</v>
      </c>
    </row>
    <row r="607" spans="17:35" x14ac:dyDescent="0.25">
      <c r="Q607" s="57"/>
      <c r="R607" s="57"/>
      <c r="Z607">
        <v>575</v>
      </c>
      <c r="AA607" s="58">
        <v>97.76965038599883</v>
      </c>
      <c r="AB607" s="59">
        <v>7.0353692146601245</v>
      </c>
      <c r="AC607" s="59">
        <v>104.80501960065895</v>
      </c>
      <c r="AD607" s="60">
        <v>90.734281171338708</v>
      </c>
      <c r="AE607" s="61">
        <v>0.22626540159527173</v>
      </c>
      <c r="AF607" s="62">
        <v>2.5328410330655329E-2</v>
      </c>
      <c r="AG607" s="62">
        <v>0.25159381192592706</v>
      </c>
      <c r="AH607" s="63">
        <v>0.20093699126461639</v>
      </c>
      <c r="AI607" s="78">
        <v>0.20655313591320676</v>
      </c>
    </row>
    <row r="608" spans="17:35" x14ac:dyDescent="0.25">
      <c r="Q608" s="57"/>
      <c r="R608" s="57"/>
      <c r="Z608">
        <v>576</v>
      </c>
      <c r="AA608" s="58">
        <v>97.80460042719055</v>
      </c>
      <c r="AB608" s="59">
        <v>6.9820669076217623</v>
      </c>
      <c r="AC608" s="59">
        <v>104.78666733481231</v>
      </c>
      <c r="AD608" s="60">
        <v>90.822533519568793</v>
      </c>
      <c r="AE608" s="61">
        <v>0.2263423260516142</v>
      </c>
      <c r="AF608" s="62">
        <v>2.5203625558176363E-2</v>
      </c>
      <c r="AG608" s="62">
        <v>0.25154595160979054</v>
      </c>
      <c r="AH608" s="63">
        <v>0.20113870049343782</v>
      </c>
      <c r="AI608" s="78">
        <v>0.20565491410128148</v>
      </c>
    </row>
    <row r="609" spans="17:35" x14ac:dyDescent="0.25">
      <c r="Q609" s="57"/>
      <c r="R609" s="57"/>
      <c r="Z609">
        <v>577</v>
      </c>
      <c r="AA609" s="58">
        <v>97.839550468382242</v>
      </c>
      <c r="AB609" s="59">
        <v>6.9288591001910653</v>
      </c>
      <c r="AC609" s="59">
        <v>104.7684095685733</v>
      </c>
      <c r="AD609" s="60">
        <v>90.910691368191181</v>
      </c>
      <c r="AE609" s="61">
        <v>0.22641925050795664</v>
      </c>
      <c r="AF609" s="62">
        <v>2.5078930148811084E-2</v>
      </c>
      <c r="AG609" s="62">
        <v>0.25149818065676771</v>
      </c>
      <c r="AH609" s="63">
        <v>0.20134032035914556</v>
      </c>
      <c r="AI609" s="78">
        <v>0.20475669228935622</v>
      </c>
    </row>
    <row r="610" spans="17:35" x14ac:dyDescent="0.25">
      <c r="Q610" s="57"/>
      <c r="R610" s="57"/>
      <c r="Z610">
        <v>578</v>
      </c>
      <c r="AA610" s="58">
        <v>97.874500509573934</v>
      </c>
      <c r="AB610" s="59">
        <v>6.8757479862171182</v>
      </c>
      <c r="AC610" s="59">
        <v>104.75024849579106</v>
      </c>
      <c r="AD610" s="60">
        <v>90.998752523356814</v>
      </c>
      <c r="AE610" s="61">
        <v>0.22649617496429908</v>
      </c>
      <c r="AF610" s="62">
        <v>2.4954325442187494E-2</v>
      </c>
      <c r="AG610" s="62">
        <v>0.25145050040648659</v>
      </c>
      <c r="AH610" s="63">
        <v>0.20154184952211157</v>
      </c>
      <c r="AI610" s="78">
        <v>0.20385847047743094</v>
      </c>
    </row>
    <row r="611" spans="17:35" x14ac:dyDescent="0.25">
      <c r="Q611" s="57"/>
      <c r="R611" s="57"/>
      <c r="Z611">
        <v>579</v>
      </c>
      <c r="AA611" s="58">
        <v>97.909450550765641</v>
      </c>
      <c r="AB611" s="59">
        <v>6.822735823810806</v>
      </c>
      <c r="AC611" s="59">
        <v>104.73218637457644</v>
      </c>
      <c r="AD611" s="60">
        <v>91.086714726954838</v>
      </c>
      <c r="AE611" s="61">
        <v>0.22657309942064155</v>
      </c>
      <c r="AF611" s="62">
        <v>2.4829812803840074E-2</v>
      </c>
      <c r="AG611" s="62">
        <v>0.25140291222448163</v>
      </c>
      <c r="AH611" s="63">
        <v>0.20174328661680146</v>
      </c>
      <c r="AI611" s="78">
        <v>0.20296024866550566</v>
      </c>
    </row>
    <row r="612" spans="17:35" x14ac:dyDescent="0.25">
      <c r="Q612" s="57"/>
      <c r="R612" s="57"/>
      <c r="Z612">
        <v>580</v>
      </c>
      <c r="AA612" s="58">
        <v>97.944400591957347</v>
      </c>
      <c r="AB612" s="59">
        <v>6.769824937539255</v>
      </c>
      <c r="AC612" s="59">
        <v>104.7142255294966</v>
      </c>
      <c r="AD612" s="60">
        <v>91.174575654418092</v>
      </c>
      <c r="AE612" s="61">
        <v>0.22665002387698405</v>
      </c>
      <c r="AF612" s="62">
        <v>2.4705393625812779E-2</v>
      </c>
      <c r="AG612" s="62">
        <v>0.25135541750279683</v>
      </c>
      <c r="AH612" s="63">
        <v>0.20194463025117126</v>
      </c>
      <c r="AI612" s="78">
        <v>0.20206202685358041</v>
      </c>
    </row>
    <row r="613" spans="17:35" x14ac:dyDescent="0.25">
      <c r="Q613" s="57"/>
      <c r="R613" s="57"/>
      <c r="Z613">
        <v>581</v>
      </c>
      <c r="AA613" s="58">
        <v>97.979350633149025</v>
      </c>
      <c r="AB613" s="59">
        <v>6.7170177207016284</v>
      </c>
      <c r="AC613" s="59">
        <v>104.69636835385066</v>
      </c>
      <c r="AD613" s="60">
        <v>91.262332912447391</v>
      </c>
      <c r="AE613" s="61">
        <v>0.22672694833332649</v>
      </c>
      <c r="AF613" s="62">
        <v>2.4581069327277719E-2</v>
      </c>
      <c r="AG613" s="62">
        <v>0.25130801766060423</v>
      </c>
      <c r="AH613" s="63">
        <v>0.20214587900604877</v>
      </c>
      <c r="AI613" s="78">
        <v>0.20116380504165512</v>
      </c>
    </row>
    <row r="614" spans="17:35" x14ac:dyDescent="0.25">
      <c r="Q614" s="57"/>
      <c r="R614" s="57"/>
      <c r="Z614">
        <v>582</v>
      </c>
      <c r="AA614" s="58">
        <v>98.014300674340745</v>
      </c>
      <c r="AB614" s="59">
        <v>6.6643166376895051</v>
      </c>
      <c r="AC614" s="59">
        <v>104.67861731203025</v>
      </c>
      <c r="AD614" s="60">
        <v>91.349984036651236</v>
      </c>
      <c r="AE614" s="61">
        <v>0.22680387278966893</v>
      </c>
      <c r="AF614" s="62">
        <v>2.4456841355170709E-2</v>
      </c>
      <c r="AG614" s="62">
        <v>0.25126071414483964</v>
      </c>
      <c r="AH614" s="63">
        <v>0.20234703143449823</v>
      </c>
      <c r="AI614" s="78">
        <v>0.20026558322972984</v>
      </c>
    </row>
    <row r="615" spans="17:35" x14ac:dyDescent="0.25">
      <c r="Q615" s="57"/>
      <c r="R615" s="57"/>
      <c r="Z615">
        <v>583</v>
      </c>
      <c r="AA615" s="58">
        <v>98.049250715532438</v>
      </c>
      <c r="AB615" s="59">
        <v>6.6117242264348475</v>
      </c>
      <c r="AC615" s="59">
        <v>104.66097494196728</v>
      </c>
      <c r="AD615" s="60">
        <v>91.437526489097593</v>
      </c>
      <c r="AE615" s="61">
        <v>0.2268807972460114</v>
      </c>
      <c r="AF615" s="62">
        <v>2.4332711184843793E-2</v>
      </c>
      <c r="AG615" s="62">
        <v>0.25121350843085521</v>
      </c>
      <c r="AH615" s="63">
        <v>0.20254808606116761</v>
      </c>
      <c r="AI615" s="78">
        <v>0.19936736141780459</v>
      </c>
    </row>
    <row r="616" spans="17:35" x14ac:dyDescent="0.25">
      <c r="Q616" s="57"/>
      <c r="R616" s="57"/>
      <c r="Z616">
        <v>584</v>
      </c>
      <c r="AA616" s="58">
        <v>98.084200756724144</v>
      </c>
      <c r="AB616" s="59">
        <v>6.5592431009484526</v>
      </c>
      <c r="AC616" s="59">
        <v>104.64344385767259</v>
      </c>
      <c r="AD616" s="60">
        <v>91.524957655775694</v>
      </c>
      <c r="AE616" s="61">
        <v>0.22695772170235384</v>
      </c>
      <c r="AF616" s="62">
        <v>2.4208680320734689E-2</v>
      </c>
      <c r="AG616" s="62">
        <v>0.25116640202308854</v>
      </c>
      <c r="AH616" s="63">
        <v>0.20274904138161914</v>
      </c>
      <c r="AI616" s="78">
        <v>0.19846913960587934</v>
      </c>
    </row>
    <row r="617" spans="17:35" x14ac:dyDescent="0.25">
      <c r="Q617" s="57"/>
      <c r="R617" s="57"/>
      <c r="Z617">
        <v>585</v>
      </c>
      <c r="AA617" s="58">
        <v>98.119148236793421</v>
      </c>
      <c r="AB617" s="59">
        <v>6.5068741974802107</v>
      </c>
      <c r="AC617" s="59">
        <v>104.62602243427364</v>
      </c>
      <c r="AD617" s="60">
        <v>91.612274039313206</v>
      </c>
      <c r="AE617" s="61">
        <v>0.22703464021627803</v>
      </c>
      <c r="AF617" s="62">
        <v>2.4084747510943052E-2</v>
      </c>
      <c r="AG617" s="62">
        <v>0.25111938772722109</v>
      </c>
      <c r="AH617" s="63">
        <v>0.20294989270533498</v>
      </c>
      <c r="AI617" s="78">
        <v>0.19757091779395403</v>
      </c>
    </row>
    <row r="618" spans="17:35" x14ac:dyDescent="0.25">
      <c r="Q618" s="57"/>
      <c r="R618" s="57"/>
      <c r="Z618">
        <v>586</v>
      </c>
      <c r="AA618" s="58">
        <v>98.144573463738539</v>
      </c>
      <c r="AB618" s="59">
        <v>6.448044570812395</v>
      </c>
      <c r="AC618" s="59">
        <v>104.59261803455094</v>
      </c>
      <c r="AD618" s="60">
        <v>91.696528892926139</v>
      </c>
      <c r="AE618" s="61">
        <v>0.22708946481900802</v>
      </c>
      <c r="AF618" s="62">
        <v>2.395051028942612E-2</v>
      </c>
      <c r="AG618" s="62">
        <v>0.25103997510843412</v>
      </c>
      <c r="AH618" s="63">
        <v>0.20313895452958189</v>
      </c>
      <c r="AI618" s="78">
        <v>0.19667269598202877</v>
      </c>
    </row>
    <row r="619" spans="17:35" x14ac:dyDescent="0.25">
      <c r="Q619" s="57"/>
      <c r="R619" s="57"/>
      <c r="Z619">
        <v>587</v>
      </c>
      <c r="AA619" s="58">
        <v>98.161083423570901</v>
      </c>
      <c r="AB619" s="59">
        <v>6.3830856503354818</v>
      </c>
      <c r="AC619" s="59">
        <v>104.54416907390639</v>
      </c>
      <c r="AD619" s="60">
        <v>91.777997773235413</v>
      </c>
      <c r="AE619" s="61">
        <v>0.22712360386367803</v>
      </c>
      <c r="AF619" s="62">
        <v>2.3806569413556227E-2</v>
      </c>
      <c r="AG619" s="62">
        <v>0.25093017327723427</v>
      </c>
      <c r="AH619" s="63">
        <v>0.20331703445012181</v>
      </c>
      <c r="AI619" s="78">
        <v>0.19577447417010349</v>
      </c>
    </row>
    <row r="620" spans="17:35" x14ac:dyDescent="0.25">
      <c r="Q620" s="57"/>
      <c r="R620" s="57"/>
      <c r="Z620">
        <v>588</v>
      </c>
      <c r="AA620" s="58">
        <v>98.177593383403249</v>
      </c>
      <c r="AB620" s="59">
        <v>6.3181271609178546</v>
      </c>
      <c r="AC620" s="59">
        <v>104.4957205443211</v>
      </c>
      <c r="AD620" s="60">
        <v>91.859466222485395</v>
      </c>
      <c r="AE620" s="61">
        <v>0.22715774290834803</v>
      </c>
      <c r="AF620" s="62">
        <v>2.3662648375201472E-2</v>
      </c>
      <c r="AG620" s="62">
        <v>0.25082039128354949</v>
      </c>
      <c r="AH620" s="63">
        <v>0.20349509453314657</v>
      </c>
      <c r="AI620" s="78">
        <v>0.19487625235817821</v>
      </c>
    </row>
    <row r="621" spans="17:35" x14ac:dyDescent="0.25">
      <c r="Q621" s="57"/>
      <c r="R621" s="57"/>
      <c r="Z621">
        <v>589</v>
      </c>
      <c r="AA621" s="58">
        <v>98.194103343235611</v>
      </c>
      <c r="AB621" s="59">
        <v>6.2531691159931571</v>
      </c>
      <c r="AC621" s="59">
        <v>104.44727245922877</v>
      </c>
      <c r="AD621" s="60">
        <v>91.940934227242451</v>
      </c>
      <c r="AE621" s="61">
        <v>0.22719188195301809</v>
      </c>
      <c r="AF621" s="62">
        <v>2.3518747538544018E-2</v>
      </c>
      <c r="AG621" s="62">
        <v>0.25071062949156209</v>
      </c>
      <c r="AH621" s="63">
        <v>0.20367313441447407</v>
      </c>
      <c r="AI621" s="78">
        <v>0.19397803054625296</v>
      </c>
    </row>
    <row r="622" spans="17:35" x14ac:dyDescent="0.25">
      <c r="Q622" s="57"/>
      <c r="R622" s="57"/>
      <c r="Z622">
        <v>590</v>
      </c>
      <c r="AA622" s="58">
        <v>98.210613303067973</v>
      </c>
      <c r="AB622" s="59">
        <v>6.1882115295590188</v>
      </c>
      <c r="AC622" s="59">
        <v>104.39882483262699</v>
      </c>
      <c r="AD622" s="60">
        <v>92.02240177350896</v>
      </c>
      <c r="AE622" s="61">
        <v>0.2272260209976881</v>
      </c>
      <c r="AF622" s="62">
        <v>2.3374867276682205E-2</v>
      </c>
      <c r="AG622" s="62">
        <v>0.25060088827437033</v>
      </c>
      <c r="AH622" s="63">
        <v>0.2038511537210059</v>
      </c>
      <c r="AI622" s="78">
        <v>0.19307980873432767</v>
      </c>
    </row>
    <row r="623" spans="17:35" x14ac:dyDescent="0.25">
      <c r="Q623" s="57"/>
      <c r="R623" s="57"/>
      <c r="Z623">
        <v>591</v>
      </c>
      <c r="AA623" s="58">
        <v>98.227123262900321</v>
      </c>
      <c r="AB623" s="59">
        <v>6.1232544162068843</v>
      </c>
      <c r="AC623" s="59">
        <v>104.35037767910721</v>
      </c>
      <c r="AD623" s="60">
        <v>92.10386884669343</v>
      </c>
      <c r="AE623" s="61">
        <v>0.22726016004235813</v>
      </c>
      <c r="AF623" s="62">
        <v>2.3231007971903316E-2</v>
      </c>
      <c r="AG623" s="62">
        <v>0.25049116801426147</v>
      </c>
      <c r="AH623" s="63">
        <v>0.20402915207045483</v>
      </c>
      <c r="AI623" s="78">
        <v>0.19218158692240239</v>
      </c>
    </row>
    <row r="624" spans="17:35" x14ac:dyDescent="0.25">
      <c r="Q624" s="57"/>
      <c r="R624" s="57"/>
      <c r="Z624">
        <v>592</v>
      </c>
      <c r="AA624" s="58">
        <v>98.243633222732669</v>
      </c>
      <c r="AB624" s="59">
        <v>6.0582977911539473</v>
      </c>
      <c r="AC624" s="59">
        <v>104.30193101388662</v>
      </c>
      <c r="AD624" s="60">
        <v>92.185335431578721</v>
      </c>
      <c r="AE624" s="61">
        <v>0.22729429908702814</v>
      </c>
      <c r="AF624" s="62">
        <v>2.3087170015966753E-2</v>
      </c>
      <c r="AG624" s="62">
        <v>0.25038146910299491</v>
      </c>
      <c r="AH624" s="63">
        <v>0.20420712907106139</v>
      </c>
      <c r="AI624" s="78">
        <v>0.19128336511047714</v>
      </c>
    </row>
    <row r="625" spans="17:35" x14ac:dyDescent="0.25">
      <c r="Q625" s="57"/>
      <c r="R625" s="57"/>
      <c r="Z625">
        <v>593</v>
      </c>
      <c r="AA625" s="58">
        <v>98.260143182565017</v>
      </c>
      <c r="AB625" s="59">
        <v>5.9933416702769575</v>
      </c>
      <c r="AC625" s="59">
        <v>104.25348485284198</v>
      </c>
      <c r="AD625" s="60">
        <v>92.266801512288055</v>
      </c>
      <c r="AE625" s="61">
        <v>0.22732843813169815</v>
      </c>
      <c r="AF625" s="62">
        <v>2.2943353810397131E-2</v>
      </c>
      <c r="AG625" s="62">
        <v>0.25027179194209526</v>
      </c>
      <c r="AH625" s="63">
        <v>0.20438508432130101</v>
      </c>
      <c r="AI625" s="78">
        <v>0.19038514329855186</v>
      </c>
    </row>
    <row r="626" spans="17:35" x14ac:dyDescent="0.25">
      <c r="Q626" s="57"/>
      <c r="R626" s="57"/>
      <c r="Z626">
        <v>594</v>
      </c>
      <c r="AA626" s="58">
        <v>98.276653142397393</v>
      </c>
      <c r="AB626" s="59">
        <v>5.9283860701483677</v>
      </c>
      <c r="AC626" s="59">
        <v>104.20503921254576</v>
      </c>
      <c r="AD626" s="60">
        <v>92.34826707224903</v>
      </c>
      <c r="AE626" s="61">
        <v>0.22736257717636818</v>
      </c>
      <c r="AF626" s="62">
        <v>2.2799559766788626E-2</v>
      </c>
      <c r="AG626" s="62">
        <v>0.25016213694315681</v>
      </c>
      <c r="AH626" s="63">
        <v>0.20456301740957955</v>
      </c>
      <c r="AI626" s="78">
        <v>0.18948692148662657</v>
      </c>
    </row>
    <row r="627" spans="17:35" x14ac:dyDescent="0.25">
      <c r="Q627" s="57"/>
      <c r="R627" s="57"/>
      <c r="Z627">
        <v>595</v>
      </c>
      <c r="AA627" s="58">
        <v>98.293163102229755</v>
      </c>
      <c r="AB627" s="59">
        <v>5.8634310080748513</v>
      </c>
      <c r="AC627" s="59">
        <v>104.15659411030461</v>
      </c>
      <c r="AD627" s="60">
        <v>92.4297320941549</v>
      </c>
      <c r="AE627" s="61">
        <v>0.22739671622103821</v>
      </c>
      <c r="AF627" s="62">
        <v>2.2655788307120478E-2</v>
      </c>
      <c r="AG627" s="62">
        <v>0.25005250452815869</v>
      </c>
      <c r="AH627" s="63">
        <v>0.20474092791391774</v>
      </c>
      <c r="AI627" s="78">
        <v>0.18858869967470132</v>
      </c>
    </row>
    <row r="628" spans="17:35" x14ac:dyDescent="0.25">
      <c r="Q628" s="57"/>
      <c r="R628" s="57"/>
      <c r="Z628">
        <v>596</v>
      </c>
      <c r="AA628" s="58">
        <v>98.309673062062089</v>
      </c>
      <c r="AB628" s="59">
        <v>5.7984765021384668</v>
      </c>
      <c r="AC628" s="59">
        <v>104.10814956420056</v>
      </c>
      <c r="AD628" s="60">
        <v>92.511196559923619</v>
      </c>
      <c r="AE628" s="61">
        <v>0.22743085526570819</v>
      </c>
      <c r="AF628" s="62">
        <v>2.2512039864084756E-2</v>
      </c>
      <c r="AG628" s="62">
        <v>0.24994289512979295</v>
      </c>
      <c r="AH628" s="63">
        <v>0.20491881540162343</v>
      </c>
      <c r="AI628" s="78">
        <v>0.18769047786277604</v>
      </c>
    </row>
    <row r="629" spans="17:35" x14ac:dyDescent="0.25">
      <c r="Q629" s="57"/>
      <c r="R629" s="57"/>
      <c r="Z629">
        <v>597</v>
      </c>
      <c r="AA629" s="58">
        <v>98.326183021894465</v>
      </c>
      <c r="AB629" s="59">
        <v>5.7335225712404574</v>
      </c>
      <c r="AC629" s="59">
        <v>104.05970559313492</v>
      </c>
      <c r="AD629" s="60">
        <v>92.592660450654009</v>
      </c>
      <c r="AE629" s="61">
        <v>0.22746499431037825</v>
      </c>
      <c r="AF629" s="62">
        <v>2.2368314881425801E-2</v>
      </c>
      <c r="AG629" s="62">
        <v>0.24983330919180405</v>
      </c>
      <c r="AH629" s="63">
        <v>0.20509667942895246</v>
      </c>
      <c r="AI629" s="78">
        <v>0.18679225605085076</v>
      </c>
    </row>
    <row r="630" spans="17:35" x14ac:dyDescent="0.25">
      <c r="Q630" s="57"/>
      <c r="R630" s="57"/>
      <c r="Z630">
        <v>598</v>
      </c>
      <c r="AA630" s="58">
        <v>98.342692981726813</v>
      </c>
      <c r="AB630" s="59">
        <v>5.6685692351482633</v>
      </c>
      <c r="AC630" s="59">
        <v>104.01126221687508</v>
      </c>
      <c r="AD630" s="60">
        <v>92.674123746578545</v>
      </c>
      <c r="AE630" s="61">
        <v>0.22749913335504832</v>
      </c>
      <c r="AF630" s="62">
        <v>2.2224613814293397E-2</v>
      </c>
      <c r="AG630" s="62">
        <v>0.2497237471693417</v>
      </c>
      <c r="AH630" s="63">
        <v>0.20527451954075493</v>
      </c>
      <c r="AI630" s="78">
        <v>0.1858940342389255</v>
      </c>
    </row>
    <row r="631" spans="17:35" x14ac:dyDescent="0.25">
      <c r="Q631" s="57"/>
      <c r="R631" s="57"/>
      <c r="Z631">
        <v>599</v>
      </c>
      <c r="AA631" s="58">
        <v>98.359202941559161</v>
      </c>
      <c r="AB631" s="59">
        <v>5.603616514545628</v>
      </c>
      <c r="AC631" s="59">
        <v>103.9628194561048</v>
      </c>
      <c r="AD631" s="60">
        <v>92.755586427013526</v>
      </c>
      <c r="AE631" s="61">
        <v>0.22753327239971829</v>
      </c>
      <c r="AF631" s="62">
        <v>2.2080937129608819E-2</v>
      </c>
      <c r="AG631" s="62">
        <v>0.24961420952932711</v>
      </c>
      <c r="AH631" s="63">
        <v>0.20545233527010948</v>
      </c>
      <c r="AI631" s="78">
        <v>0.18499581242700022</v>
      </c>
    </row>
    <row r="632" spans="17:35" ht="15.75" thickBot="1" x14ac:dyDescent="0.3">
      <c r="Q632" s="57"/>
      <c r="R632" s="57"/>
      <c r="AA632" s="65">
        <v>98.375712901391523</v>
      </c>
      <c r="AB632" s="66">
        <v>5.5386644310863673</v>
      </c>
      <c r="AC632" s="66">
        <v>103.9143773324779</v>
      </c>
      <c r="AD632" s="67">
        <v>92.837048470305149</v>
      </c>
      <c r="AE632" s="68">
        <v>0.22756741144438833</v>
      </c>
      <c r="AF632" s="69">
        <v>2.1937285306445384E-2</v>
      </c>
      <c r="AG632" s="69">
        <v>0.2495046967508337</v>
      </c>
      <c r="AH632" s="70">
        <v>0.20563012613794296</v>
      </c>
      <c r="AI632" s="78">
        <v>0.18409759061507494</v>
      </c>
    </row>
    <row r="633" spans="17:35" x14ac:dyDescent="0.25">
      <c r="Q633" s="57"/>
      <c r="R633" s="57"/>
    </row>
    <row r="634" spans="17:35" x14ac:dyDescent="0.25">
      <c r="Q634" s="57"/>
      <c r="R634" s="57"/>
    </row>
    <row r="635" spans="17:35" x14ac:dyDescent="0.25">
      <c r="Q635" s="57"/>
      <c r="R635" s="57"/>
    </row>
    <row r="636" spans="17:35" x14ac:dyDescent="0.25">
      <c r="Q636" s="57"/>
      <c r="R636" s="57"/>
    </row>
    <row r="637" spans="17:35" x14ac:dyDescent="0.25">
      <c r="Q637" s="57"/>
      <c r="R637" s="57"/>
    </row>
    <row r="638" spans="17:35" x14ac:dyDescent="0.25">
      <c r="Q638" s="57"/>
      <c r="R638" s="57"/>
    </row>
    <row r="639" spans="17:35" x14ac:dyDescent="0.25">
      <c r="Q639" s="57"/>
      <c r="R639" s="57"/>
    </row>
    <row r="640" spans="17:35" x14ac:dyDescent="0.25">
      <c r="Q640" s="57"/>
      <c r="R640" s="57"/>
    </row>
    <row r="641" spans="17:18" x14ac:dyDescent="0.25">
      <c r="Q641" s="57"/>
      <c r="R641" s="57"/>
    </row>
    <row r="642" spans="17:18" x14ac:dyDescent="0.25">
      <c r="Q642" s="57"/>
      <c r="R642" s="57"/>
    </row>
    <row r="643" spans="17:18" x14ac:dyDescent="0.25">
      <c r="Q643" s="57"/>
      <c r="R643" s="57"/>
    </row>
    <row r="644" spans="17:18" x14ac:dyDescent="0.25">
      <c r="Q644" s="57"/>
      <c r="R644" s="57"/>
    </row>
    <row r="645" spans="17:18" x14ac:dyDescent="0.25">
      <c r="Q645" s="57"/>
      <c r="R645" s="57"/>
    </row>
    <row r="646" spans="17:18" x14ac:dyDescent="0.25">
      <c r="Q646" s="57"/>
      <c r="R646" s="57"/>
    </row>
    <row r="647" spans="17:18" x14ac:dyDescent="0.25">
      <c r="Q647" s="57"/>
      <c r="R647" s="57"/>
    </row>
    <row r="648" spans="17:18" x14ac:dyDescent="0.25">
      <c r="Q648" s="57"/>
      <c r="R648" s="57"/>
    </row>
    <row r="649" spans="17:18" x14ac:dyDescent="0.25">
      <c r="Q649" s="57"/>
      <c r="R649" s="57"/>
    </row>
    <row r="650" spans="17:18" x14ac:dyDescent="0.25">
      <c r="Q650" s="57"/>
      <c r="R650" s="57"/>
    </row>
    <row r="651" spans="17:18" x14ac:dyDescent="0.25">
      <c r="Q651" s="57"/>
      <c r="R651" s="57"/>
    </row>
    <row r="652" spans="17:18" x14ac:dyDescent="0.25">
      <c r="Q652" s="57"/>
      <c r="R652" s="57"/>
    </row>
    <row r="653" spans="17:18" x14ac:dyDescent="0.25">
      <c r="Q653" s="57"/>
      <c r="R653" s="57"/>
    </row>
    <row r="654" spans="17:18" x14ac:dyDescent="0.25">
      <c r="Q654" s="57"/>
      <c r="R654" s="57"/>
    </row>
    <row r="655" spans="17:18" x14ac:dyDescent="0.25">
      <c r="Q655" s="57"/>
      <c r="R655" s="57"/>
    </row>
    <row r="656" spans="17:18" x14ac:dyDescent="0.25">
      <c r="Q656" s="57"/>
      <c r="R656" s="57"/>
    </row>
    <row r="657" spans="17:18" x14ac:dyDescent="0.25">
      <c r="Q657" s="57"/>
      <c r="R657" s="57"/>
    </row>
    <row r="658" spans="17:18" x14ac:dyDescent="0.25">
      <c r="Q658" s="57"/>
      <c r="R658" s="57"/>
    </row>
    <row r="659" spans="17:18" x14ac:dyDescent="0.25">
      <c r="Q659" s="57"/>
      <c r="R659" s="57"/>
    </row>
    <row r="660" spans="17:18" x14ac:dyDescent="0.25">
      <c r="Q660" s="57"/>
      <c r="R660" s="57"/>
    </row>
    <row r="661" spans="17:18" x14ac:dyDescent="0.25">
      <c r="Q661" s="57"/>
      <c r="R661" s="57"/>
    </row>
    <row r="662" spans="17:18" x14ac:dyDescent="0.25">
      <c r="Q662" s="57"/>
      <c r="R662" s="57"/>
    </row>
    <row r="663" spans="17:18" x14ac:dyDescent="0.25">
      <c r="Q663" s="57"/>
      <c r="R663" s="57"/>
    </row>
    <row r="664" spans="17:18" x14ac:dyDescent="0.25">
      <c r="Q664" s="57"/>
      <c r="R664" s="57"/>
    </row>
    <row r="665" spans="17:18" x14ac:dyDescent="0.25">
      <c r="Q665" s="57"/>
      <c r="R665" s="57"/>
    </row>
    <row r="666" spans="17:18" x14ac:dyDescent="0.25">
      <c r="Q666" s="57"/>
      <c r="R666" s="57"/>
    </row>
    <row r="667" spans="17:18" x14ac:dyDescent="0.25">
      <c r="Q667" s="57"/>
      <c r="R667" s="57"/>
    </row>
    <row r="668" spans="17:18" x14ac:dyDescent="0.25">
      <c r="Q668" s="57"/>
      <c r="R668" s="57"/>
    </row>
    <row r="669" spans="17:18" x14ac:dyDescent="0.25">
      <c r="Q669" s="57"/>
      <c r="R669" s="57"/>
    </row>
    <row r="670" spans="17:18" x14ac:dyDescent="0.25">
      <c r="Q670" s="57"/>
      <c r="R670" s="57"/>
    </row>
    <row r="671" spans="17:18" x14ac:dyDescent="0.25">
      <c r="Q671" s="57"/>
      <c r="R671" s="57"/>
    </row>
    <row r="672" spans="17:18" x14ac:dyDescent="0.25">
      <c r="Q672" s="57"/>
      <c r="R672" s="57"/>
    </row>
    <row r="673" spans="17:18" x14ac:dyDescent="0.25">
      <c r="Q673" s="57"/>
      <c r="R673" s="57"/>
    </row>
    <row r="674" spans="17:18" x14ac:dyDescent="0.25">
      <c r="Q674" s="57"/>
      <c r="R674" s="57"/>
    </row>
    <row r="675" spans="17:18" x14ac:dyDescent="0.25">
      <c r="Q675" s="57"/>
      <c r="R675" s="57"/>
    </row>
    <row r="676" spans="17:18" x14ac:dyDescent="0.25">
      <c r="Q676" s="57"/>
      <c r="R676" s="57"/>
    </row>
    <row r="677" spans="17:18" x14ac:dyDescent="0.25">
      <c r="Q677" s="57"/>
      <c r="R677" s="57"/>
    </row>
    <row r="678" spans="17:18" x14ac:dyDescent="0.25">
      <c r="Q678" s="57"/>
      <c r="R678" s="57"/>
    </row>
    <row r="679" spans="17:18" x14ac:dyDescent="0.25">
      <c r="Q679" s="57"/>
      <c r="R679" s="57"/>
    </row>
    <row r="680" spans="17:18" x14ac:dyDescent="0.25">
      <c r="Q680" s="57"/>
      <c r="R680" s="57"/>
    </row>
    <row r="681" spans="17:18" x14ac:dyDescent="0.25">
      <c r="Q681" s="57"/>
      <c r="R681" s="57"/>
    </row>
    <row r="682" spans="17:18" x14ac:dyDescent="0.25">
      <c r="Q682" s="57"/>
      <c r="R682" s="57"/>
    </row>
    <row r="683" spans="17:18" x14ac:dyDescent="0.25">
      <c r="Q683" s="57"/>
      <c r="R683" s="57"/>
    </row>
    <row r="684" spans="17:18" x14ac:dyDescent="0.25">
      <c r="Q684" s="57"/>
      <c r="R684" s="57"/>
    </row>
    <row r="685" spans="17:18" x14ac:dyDescent="0.25">
      <c r="Q685" s="57"/>
      <c r="R685" s="57"/>
    </row>
    <row r="686" spans="17:18" x14ac:dyDescent="0.25">
      <c r="Q686" s="57"/>
      <c r="R686" s="57"/>
    </row>
    <row r="687" spans="17:18" x14ac:dyDescent="0.25">
      <c r="Q687" s="57"/>
      <c r="R687" s="57"/>
    </row>
    <row r="688" spans="17:18" x14ac:dyDescent="0.25">
      <c r="Q688" s="57"/>
      <c r="R688" s="57"/>
    </row>
    <row r="689" spans="17:18" x14ac:dyDescent="0.25">
      <c r="Q689" s="57"/>
      <c r="R689" s="57"/>
    </row>
    <row r="690" spans="17:18" x14ac:dyDescent="0.25">
      <c r="Q690" s="57"/>
      <c r="R690" s="57"/>
    </row>
    <row r="691" spans="17:18" x14ac:dyDescent="0.25">
      <c r="Q691" s="57"/>
      <c r="R691" s="57"/>
    </row>
    <row r="692" spans="17:18" x14ac:dyDescent="0.25">
      <c r="Q692" s="57"/>
      <c r="R692" s="57"/>
    </row>
    <row r="693" spans="17:18" x14ac:dyDescent="0.25">
      <c r="Q693" s="57"/>
      <c r="R693" s="57"/>
    </row>
    <row r="694" spans="17:18" x14ac:dyDescent="0.25">
      <c r="Q694" s="57"/>
      <c r="R694" s="57"/>
    </row>
    <row r="695" spans="17:18" x14ac:dyDescent="0.25">
      <c r="Q695" s="57"/>
      <c r="R695" s="57"/>
    </row>
    <row r="696" spans="17:18" x14ac:dyDescent="0.25">
      <c r="Q696" s="57"/>
      <c r="R696" s="57"/>
    </row>
    <row r="697" spans="17:18" x14ac:dyDescent="0.25">
      <c r="Q697" s="57"/>
      <c r="R697" s="57"/>
    </row>
    <row r="698" spans="17:18" x14ac:dyDescent="0.25">
      <c r="Q698" s="57"/>
      <c r="R698" s="57"/>
    </row>
    <row r="699" spans="17:18" x14ac:dyDescent="0.25">
      <c r="Q699" s="57"/>
      <c r="R699" s="57"/>
    </row>
    <row r="700" spans="17:18" x14ac:dyDescent="0.25">
      <c r="Q700" s="57"/>
      <c r="R700" s="57"/>
    </row>
    <row r="701" spans="17:18" x14ac:dyDescent="0.25">
      <c r="Q701" s="57"/>
      <c r="R701" s="57"/>
    </row>
    <row r="702" spans="17:18" x14ac:dyDescent="0.25">
      <c r="Q702" s="57"/>
      <c r="R702" s="57"/>
    </row>
    <row r="703" spans="17:18" x14ac:dyDescent="0.25">
      <c r="Q703" s="57"/>
      <c r="R703" s="57"/>
    </row>
    <row r="704" spans="17:18" x14ac:dyDescent="0.25">
      <c r="Q704" s="57"/>
      <c r="R704" s="57"/>
    </row>
    <row r="705" spans="17:18" x14ac:dyDescent="0.25">
      <c r="Q705" s="57"/>
      <c r="R705" s="57"/>
    </row>
    <row r="706" spans="17:18" x14ac:dyDescent="0.25">
      <c r="Q706" s="57"/>
      <c r="R706" s="57"/>
    </row>
    <row r="707" spans="17:18" x14ac:dyDescent="0.25">
      <c r="Q707" s="57"/>
      <c r="R707" s="57"/>
    </row>
    <row r="708" spans="17:18" x14ac:dyDescent="0.25">
      <c r="Q708" s="57"/>
      <c r="R708" s="57"/>
    </row>
    <row r="709" spans="17:18" x14ac:dyDescent="0.25">
      <c r="Q709" s="57"/>
      <c r="R709" s="57"/>
    </row>
    <row r="710" spans="17:18" x14ac:dyDescent="0.25">
      <c r="Q710" s="57"/>
      <c r="R710" s="57"/>
    </row>
    <row r="711" spans="17:18" x14ac:dyDescent="0.25">
      <c r="Q711" s="57"/>
      <c r="R711" s="57"/>
    </row>
    <row r="712" spans="17:18" x14ac:dyDescent="0.25">
      <c r="Q712" s="57"/>
      <c r="R712" s="57"/>
    </row>
    <row r="713" spans="17:18" x14ac:dyDescent="0.25">
      <c r="Q713" s="57"/>
      <c r="R713" s="57"/>
    </row>
    <row r="714" spans="17:18" x14ac:dyDescent="0.25">
      <c r="Q714" s="57"/>
      <c r="R714" s="57"/>
    </row>
    <row r="715" spans="17:18" x14ac:dyDescent="0.25">
      <c r="Q715" s="57"/>
      <c r="R715" s="57"/>
    </row>
    <row r="716" spans="17:18" x14ac:dyDescent="0.25">
      <c r="Q716" s="57"/>
      <c r="R716" s="57"/>
    </row>
    <row r="717" spans="17:18" x14ac:dyDescent="0.25">
      <c r="Q717" s="57"/>
      <c r="R717" s="57"/>
    </row>
    <row r="718" spans="17:18" x14ac:dyDescent="0.25">
      <c r="Q718" s="57"/>
      <c r="R718" s="57"/>
    </row>
    <row r="719" spans="17:18" x14ac:dyDescent="0.25">
      <c r="Q719" s="57"/>
      <c r="R719" s="57"/>
    </row>
    <row r="720" spans="17:18" x14ac:dyDescent="0.25">
      <c r="Q720" s="57"/>
      <c r="R720" s="57"/>
    </row>
    <row r="721" spans="17:18" x14ac:dyDescent="0.25">
      <c r="Q721" s="57"/>
      <c r="R721" s="57"/>
    </row>
    <row r="722" spans="17:18" x14ac:dyDescent="0.25">
      <c r="Q722" s="57"/>
      <c r="R722" s="57"/>
    </row>
    <row r="723" spans="17:18" x14ac:dyDescent="0.25">
      <c r="Q723" s="57"/>
      <c r="R723" s="57"/>
    </row>
    <row r="724" spans="17:18" x14ac:dyDescent="0.25">
      <c r="Q724" s="57"/>
      <c r="R724" s="57"/>
    </row>
    <row r="725" spans="17:18" x14ac:dyDescent="0.25">
      <c r="Q725" s="57"/>
      <c r="R725" s="57"/>
    </row>
    <row r="726" spans="17:18" x14ac:dyDescent="0.25">
      <c r="Q726" s="57"/>
      <c r="R726" s="57"/>
    </row>
    <row r="727" spans="17:18" x14ac:dyDescent="0.25">
      <c r="Q727" s="57"/>
      <c r="R727" s="57"/>
    </row>
    <row r="728" spans="17:18" x14ac:dyDescent="0.25">
      <c r="Q728" s="57"/>
      <c r="R728" s="57"/>
    </row>
    <row r="729" spans="17:18" x14ac:dyDescent="0.25">
      <c r="Q729" s="57"/>
      <c r="R729" s="57"/>
    </row>
    <row r="730" spans="17:18" x14ac:dyDescent="0.25">
      <c r="Q730" s="57"/>
      <c r="R730" s="57"/>
    </row>
    <row r="731" spans="17:18" x14ac:dyDescent="0.25">
      <c r="Q731" s="57"/>
      <c r="R731" s="57"/>
    </row>
    <row r="732" spans="17:18" x14ac:dyDescent="0.25">
      <c r="Q732" s="57"/>
      <c r="R732" s="57"/>
    </row>
    <row r="733" spans="17:18" x14ac:dyDescent="0.25">
      <c r="Q733" s="57"/>
      <c r="R733" s="57"/>
    </row>
    <row r="734" spans="17:18" x14ac:dyDescent="0.25">
      <c r="Q734" s="57"/>
      <c r="R734" s="57"/>
    </row>
    <row r="735" spans="17:18" x14ac:dyDescent="0.25">
      <c r="Q735" s="57"/>
      <c r="R735" s="57"/>
    </row>
    <row r="736" spans="17:18" x14ac:dyDescent="0.25">
      <c r="Q736" s="57"/>
      <c r="R736" s="57"/>
    </row>
    <row r="737" spans="17:18" x14ac:dyDescent="0.25">
      <c r="Q737" s="57"/>
      <c r="R737" s="57"/>
    </row>
    <row r="738" spans="17:18" x14ac:dyDescent="0.25">
      <c r="Q738" s="57"/>
      <c r="R738" s="57"/>
    </row>
    <row r="739" spans="17:18" x14ac:dyDescent="0.25">
      <c r="Q739" s="57"/>
      <c r="R739" s="57"/>
    </row>
    <row r="740" spans="17:18" x14ac:dyDescent="0.25">
      <c r="Q740" s="57"/>
      <c r="R740" s="57"/>
    </row>
    <row r="741" spans="17:18" x14ac:dyDescent="0.25">
      <c r="Q741" s="57"/>
      <c r="R741" s="57"/>
    </row>
    <row r="742" spans="17:18" x14ac:dyDescent="0.25">
      <c r="Q742" s="57"/>
      <c r="R742" s="57"/>
    </row>
    <row r="743" spans="17:18" x14ac:dyDescent="0.25">
      <c r="Q743" s="57"/>
      <c r="R743" s="57"/>
    </row>
    <row r="744" spans="17:18" x14ac:dyDescent="0.25">
      <c r="Q744" s="57"/>
      <c r="R744" s="57"/>
    </row>
    <row r="745" spans="17:18" x14ac:dyDescent="0.25">
      <c r="Q745" s="57"/>
      <c r="R745" s="57"/>
    </row>
    <row r="746" spans="17:18" x14ac:dyDescent="0.25">
      <c r="Q746" s="57"/>
      <c r="R746" s="57"/>
    </row>
    <row r="747" spans="17:18" x14ac:dyDescent="0.25">
      <c r="Q747" s="57"/>
      <c r="R747" s="57"/>
    </row>
    <row r="748" spans="17:18" x14ac:dyDescent="0.25">
      <c r="Q748" s="57"/>
      <c r="R748" s="57"/>
    </row>
    <row r="749" spans="17:18" x14ac:dyDescent="0.25">
      <c r="Q749" s="57"/>
      <c r="R749" s="57"/>
    </row>
    <row r="750" spans="17:18" x14ac:dyDescent="0.25">
      <c r="Q750" s="57"/>
      <c r="R750" s="57"/>
    </row>
    <row r="751" spans="17:18" x14ac:dyDescent="0.25">
      <c r="Q751" s="57"/>
      <c r="R751" s="57"/>
    </row>
    <row r="752" spans="17:18" x14ac:dyDescent="0.25">
      <c r="Q752" s="57"/>
      <c r="R752" s="57"/>
    </row>
    <row r="753" spans="17:18" x14ac:dyDescent="0.25">
      <c r="Q753" s="57"/>
      <c r="R753" s="57"/>
    </row>
    <row r="754" spans="17:18" x14ac:dyDescent="0.25">
      <c r="Q754" s="57"/>
      <c r="R754" s="57"/>
    </row>
    <row r="755" spans="17:18" x14ac:dyDescent="0.25">
      <c r="Q755" s="57"/>
      <c r="R755" s="57"/>
    </row>
    <row r="756" spans="17:18" x14ac:dyDescent="0.25">
      <c r="Q756" s="57"/>
      <c r="R756" s="57"/>
    </row>
    <row r="757" spans="17:18" x14ac:dyDescent="0.25">
      <c r="Q757" s="57"/>
      <c r="R757" s="57"/>
    </row>
    <row r="758" spans="17:18" x14ac:dyDescent="0.25">
      <c r="Q758" s="57"/>
      <c r="R758" s="57"/>
    </row>
    <row r="759" spans="17:18" x14ac:dyDescent="0.25">
      <c r="Q759" s="57"/>
      <c r="R759" s="57"/>
    </row>
    <row r="760" spans="17:18" x14ac:dyDescent="0.25">
      <c r="Q760" s="57"/>
      <c r="R760" s="57"/>
    </row>
    <row r="761" spans="17:18" x14ac:dyDescent="0.25">
      <c r="Q761" s="57"/>
      <c r="R761" s="57"/>
    </row>
    <row r="762" spans="17:18" x14ac:dyDescent="0.25">
      <c r="Q762" s="57"/>
      <c r="R762" s="57"/>
    </row>
    <row r="763" spans="17:18" x14ac:dyDescent="0.25">
      <c r="Q763" s="57"/>
      <c r="R763" s="57"/>
    </row>
    <row r="764" spans="17:18" x14ac:dyDescent="0.25">
      <c r="Q764" s="57"/>
      <c r="R764" s="57"/>
    </row>
    <row r="765" spans="17:18" x14ac:dyDescent="0.25">
      <c r="Q765" s="57"/>
      <c r="R765" s="57"/>
    </row>
    <row r="766" spans="17:18" x14ac:dyDescent="0.25">
      <c r="Q766" s="57"/>
      <c r="R766" s="57"/>
    </row>
    <row r="767" spans="17:18" x14ac:dyDescent="0.25">
      <c r="Q767" s="57"/>
      <c r="R767" s="57"/>
    </row>
    <row r="768" spans="17:18" x14ac:dyDescent="0.25">
      <c r="Q768" s="57"/>
      <c r="R768" s="57"/>
    </row>
    <row r="769" spans="17:18" x14ac:dyDescent="0.25">
      <c r="Q769" s="57"/>
      <c r="R769" s="57"/>
    </row>
    <row r="770" spans="17:18" x14ac:dyDescent="0.25">
      <c r="Q770" s="57"/>
      <c r="R770" s="57"/>
    </row>
    <row r="771" spans="17:18" x14ac:dyDescent="0.25">
      <c r="Q771" s="57"/>
      <c r="R771" s="57"/>
    </row>
    <row r="772" spans="17:18" x14ac:dyDescent="0.25">
      <c r="Q772" s="57"/>
      <c r="R772" s="57"/>
    </row>
    <row r="773" spans="17:18" x14ac:dyDescent="0.25">
      <c r="Q773" s="57"/>
      <c r="R773" s="57"/>
    </row>
    <row r="774" spans="17:18" x14ac:dyDescent="0.25">
      <c r="Q774" s="57"/>
      <c r="R774" s="57"/>
    </row>
    <row r="775" spans="17:18" x14ac:dyDescent="0.25">
      <c r="Q775" s="57"/>
      <c r="R775" s="57"/>
    </row>
    <row r="776" spans="17:18" x14ac:dyDescent="0.25">
      <c r="Q776" s="57"/>
      <c r="R776" s="57"/>
    </row>
    <row r="777" spans="17:18" x14ac:dyDescent="0.25">
      <c r="Q777" s="57"/>
      <c r="R777" s="57"/>
    </row>
    <row r="778" spans="17:18" x14ac:dyDescent="0.25">
      <c r="Q778" s="57"/>
      <c r="R778" s="57"/>
    </row>
    <row r="779" spans="17:18" x14ac:dyDescent="0.25">
      <c r="Q779" s="57"/>
      <c r="R779" s="57"/>
    </row>
    <row r="780" spans="17:18" x14ac:dyDescent="0.25">
      <c r="Q780" s="57"/>
      <c r="R780" s="57"/>
    </row>
    <row r="781" spans="17:18" x14ac:dyDescent="0.25">
      <c r="Q781" s="57"/>
      <c r="R781" s="57"/>
    </row>
    <row r="782" spans="17:18" x14ac:dyDescent="0.25">
      <c r="Q782" s="57"/>
      <c r="R782" s="57"/>
    </row>
    <row r="783" spans="17:18" x14ac:dyDescent="0.25">
      <c r="Q783" s="57"/>
      <c r="R783" s="57"/>
    </row>
    <row r="784" spans="17:18" x14ac:dyDescent="0.25">
      <c r="Q784" s="57"/>
      <c r="R784" s="57"/>
    </row>
    <row r="785" spans="17:18" x14ac:dyDescent="0.25">
      <c r="Q785" s="57"/>
      <c r="R785" s="57"/>
    </row>
    <row r="786" spans="17:18" x14ac:dyDescent="0.25">
      <c r="Q786" s="57"/>
      <c r="R786" s="57"/>
    </row>
    <row r="787" spans="17:18" x14ac:dyDescent="0.25">
      <c r="Q787" s="57"/>
      <c r="R787" s="57"/>
    </row>
    <row r="788" spans="17:18" x14ac:dyDescent="0.25">
      <c r="Q788" s="57"/>
      <c r="R788" s="57"/>
    </row>
    <row r="789" spans="17:18" x14ac:dyDescent="0.25">
      <c r="Q789" s="57"/>
      <c r="R789" s="57"/>
    </row>
    <row r="790" spans="17:18" x14ac:dyDescent="0.25">
      <c r="Q790" s="57"/>
      <c r="R790" s="57"/>
    </row>
    <row r="791" spans="17:18" x14ac:dyDescent="0.25">
      <c r="Q791" s="57"/>
      <c r="R791" s="57"/>
    </row>
    <row r="792" spans="17:18" x14ac:dyDescent="0.25">
      <c r="Q792" s="57"/>
      <c r="R792" s="57"/>
    </row>
    <row r="793" spans="17:18" x14ac:dyDescent="0.25">
      <c r="Q793" s="57"/>
      <c r="R793" s="57"/>
    </row>
    <row r="794" spans="17:18" x14ac:dyDescent="0.25">
      <c r="Q794" s="57"/>
      <c r="R794" s="57"/>
    </row>
    <row r="795" spans="17:18" x14ac:dyDescent="0.25">
      <c r="Q795" s="57"/>
      <c r="R795" s="57"/>
    </row>
    <row r="796" spans="17:18" x14ac:dyDescent="0.25">
      <c r="Q796" s="57"/>
      <c r="R796" s="57"/>
    </row>
    <row r="797" spans="17:18" x14ac:dyDescent="0.25">
      <c r="Q797" s="57"/>
      <c r="R797" s="57"/>
    </row>
    <row r="798" spans="17:18" x14ac:dyDescent="0.25">
      <c r="Q798" s="57"/>
      <c r="R798" s="57"/>
    </row>
    <row r="799" spans="17:18" x14ac:dyDescent="0.25">
      <c r="Q799" s="57"/>
      <c r="R799" s="57"/>
    </row>
    <row r="800" spans="17:18" x14ac:dyDescent="0.25">
      <c r="Q800" s="57"/>
      <c r="R800" s="57"/>
    </row>
    <row r="801" spans="17:18" x14ac:dyDescent="0.25">
      <c r="Q801" s="57"/>
      <c r="R801" s="57"/>
    </row>
    <row r="802" spans="17:18" x14ac:dyDescent="0.25">
      <c r="Q802" s="57"/>
      <c r="R802" s="57"/>
    </row>
    <row r="803" spans="17:18" x14ac:dyDescent="0.25">
      <c r="Q803" s="57"/>
      <c r="R803" s="57"/>
    </row>
    <row r="804" spans="17:18" x14ac:dyDescent="0.25">
      <c r="Q804" s="57"/>
      <c r="R804" s="57"/>
    </row>
    <row r="805" spans="17:18" x14ac:dyDescent="0.25">
      <c r="Q805" s="57"/>
      <c r="R805" s="57"/>
    </row>
    <row r="806" spans="17:18" x14ac:dyDescent="0.25">
      <c r="Q806" s="57"/>
      <c r="R806" s="57"/>
    </row>
    <row r="807" spans="17:18" x14ac:dyDescent="0.25">
      <c r="Q807" s="57"/>
      <c r="R807" s="57"/>
    </row>
    <row r="808" spans="17:18" x14ac:dyDescent="0.25">
      <c r="Q808" s="57"/>
      <c r="R808" s="57"/>
    </row>
    <row r="809" spans="17:18" x14ac:dyDescent="0.25">
      <c r="Q809" s="57"/>
      <c r="R809" s="57"/>
    </row>
    <row r="810" spans="17:18" x14ac:dyDescent="0.25">
      <c r="Q810" s="57"/>
      <c r="R810" s="57"/>
    </row>
    <row r="811" spans="17:18" x14ac:dyDescent="0.25">
      <c r="Q811" s="57"/>
      <c r="R811" s="57"/>
    </row>
    <row r="812" spans="17:18" x14ac:dyDescent="0.25">
      <c r="Q812" s="57"/>
      <c r="R812" s="57"/>
    </row>
    <row r="813" spans="17:18" x14ac:dyDescent="0.25">
      <c r="Q813" s="57"/>
      <c r="R813" s="57"/>
    </row>
    <row r="814" spans="17:18" x14ac:dyDescent="0.25">
      <c r="Q814" s="57"/>
      <c r="R814" s="57"/>
    </row>
    <row r="815" spans="17:18" x14ac:dyDescent="0.25">
      <c r="Q815" s="57"/>
      <c r="R815" s="57"/>
    </row>
    <row r="816" spans="17:18" x14ac:dyDescent="0.25">
      <c r="Q816" s="57"/>
      <c r="R816" s="57"/>
    </row>
    <row r="817" spans="17:18" x14ac:dyDescent="0.25">
      <c r="Q817" s="57"/>
      <c r="R817" s="57"/>
    </row>
    <row r="818" spans="17:18" x14ac:dyDescent="0.25">
      <c r="Q818" s="57"/>
      <c r="R818" s="57"/>
    </row>
    <row r="819" spans="17:18" x14ac:dyDescent="0.25">
      <c r="Q819" s="57"/>
      <c r="R819" s="57"/>
    </row>
    <row r="820" spans="17:18" x14ac:dyDescent="0.25">
      <c r="Q820" s="57"/>
      <c r="R820" s="57"/>
    </row>
    <row r="821" spans="17:18" x14ac:dyDescent="0.25">
      <c r="Q821" s="57"/>
      <c r="R821" s="57"/>
    </row>
    <row r="822" spans="17:18" x14ac:dyDescent="0.25">
      <c r="Q822" s="57"/>
      <c r="R822" s="57"/>
    </row>
    <row r="823" spans="17:18" x14ac:dyDescent="0.25">
      <c r="Q823" s="57"/>
      <c r="R823" s="57"/>
    </row>
    <row r="824" spans="17:18" x14ac:dyDescent="0.25">
      <c r="Q824" s="57"/>
      <c r="R824" s="57"/>
    </row>
    <row r="825" spans="17:18" x14ac:dyDescent="0.25">
      <c r="Q825" s="57"/>
      <c r="R825" s="57"/>
    </row>
    <row r="826" spans="17:18" x14ac:dyDescent="0.25">
      <c r="Q826" s="57"/>
      <c r="R826" s="57"/>
    </row>
    <row r="827" spans="17:18" x14ac:dyDescent="0.25">
      <c r="Q827" s="57"/>
      <c r="R827" s="57"/>
    </row>
    <row r="828" spans="17:18" x14ac:dyDescent="0.25">
      <c r="Q828" s="57"/>
      <c r="R828" s="57"/>
    </row>
    <row r="829" spans="17:18" x14ac:dyDescent="0.25">
      <c r="Q829" s="57"/>
      <c r="R829" s="57"/>
    </row>
    <row r="830" spans="17:18" x14ac:dyDescent="0.25">
      <c r="Q830" s="57"/>
      <c r="R830" s="57"/>
    </row>
    <row r="831" spans="17:18" x14ac:dyDescent="0.25">
      <c r="Q831" s="57"/>
      <c r="R831" s="57"/>
    </row>
    <row r="832" spans="17:18" x14ac:dyDescent="0.25">
      <c r="Q832" s="57"/>
      <c r="R832" s="57"/>
    </row>
    <row r="833" spans="17:18" x14ac:dyDescent="0.25">
      <c r="Q833" s="57"/>
      <c r="R833" s="57"/>
    </row>
    <row r="834" spans="17:18" x14ac:dyDescent="0.25">
      <c r="Q834" s="57"/>
      <c r="R834" s="57"/>
    </row>
    <row r="835" spans="17:18" x14ac:dyDescent="0.25">
      <c r="Q835" s="57"/>
      <c r="R835" s="57"/>
    </row>
    <row r="836" spans="17:18" x14ac:dyDescent="0.25">
      <c r="Q836" s="57"/>
      <c r="R836" s="57"/>
    </row>
    <row r="837" spans="17:18" x14ac:dyDescent="0.25">
      <c r="Q837" s="57"/>
      <c r="R837" s="57"/>
    </row>
    <row r="838" spans="17:18" x14ac:dyDescent="0.25">
      <c r="Q838" s="57"/>
      <c r="R838" s="57"/>
    </row>
    <row r="839" spans="17:18" x14ac:dyDescent="0.25">
      <c r="Q839" s="57"/>
      <c r="R839" s="57"/>
    </row>
    <row r="840" spans="17:18" x14ac:dyDescent="0.25">
      <c r="Q840" s="57"/>
      <c r="R840" s="57"/>
    </row>
    <row r="841" spans="17:18" x14ac:dyDescent="0.25">
      <c r="Q841" s="57"/>
      <c r="R841" s="57"/>
    </row>
    <row r="842" spans="17:18" x14ac:dyDescent="0.25">
      <c r="Q842" s="57"/>
      <c r="R842" s="57"/>
    </row>
    <row r="843" spans="17:18" x14ac:dyDescent="0.25">
      <c r="Q843" s="57"/>
      <c r="R843" s="57"/>
    </row>
    <row r="844" spans="17:18" x14ac:dyDescent="0.25">
      <c r="Q844" s="57"/>
      <c r="R844" s="57"/>
    </row>
    <row r="845" spans="17:18" x14ac:dyDescent="0.25">
      <c r="Q845" s="57"/>
      <c r="R845" s="57"/>
    </row>
    <row r="846" spans="17:18" x14ac:dyDescent="0.25">
      <c r="Q846" s="57"/>
      <c r="R846" s="57"/>
    </row>
    <row r="847" spans="17:18" x14ac:dyDescent="0.25">
      <c r="Q847" s="57"/>
      <c r="R847" s="57"/>
    </row>
    <row r="848" spans="17:18" x14ac:dyDescent="0.25">
      <c r="Q848" s="57"/>
      <c r="R848" s="57"/>
    </row>
    <row r="849" spans="17:18" x14ac:dyDescent="0.25">
      <c r="Q849" s="57"/>
      <c r="R849" s="57"/>
    </row>
    <row r="850" spans="17:18" x14ac:dyDescent="0.25">
      <c r="Q850" s="57"/>
      <c r="R850" s="57"/>
    </row>
    <row r="851" spans="17:18" x14ac:dyDescent="0.25">
      <c r="Q851" s="57"/>
      <c r="R851" s="57"/>
    </row>
    <row r="852" spans="17:18" x14ac:dyDescent="0.25">
      <c r="Q852" s="57"/>
      <c r="R852" s="57"/>
    </row>
    <row r="853" spans="17:18" x14ac:dyDescent="0.25">
      <c r="Q853" s="57"/>
      <c r="R853" s="57"/>
    </row>
    <row r="854" spans="17:18" x14ac:dyDescent="0.25">
      <c r="Q854" s="57"/>
      <c r="R854" s="57"/>
    </row>
    <row r="855" spans="17:18" x14ac:dyDescent="0.25">
      <c r="Q855" s="57"/>
      <c r="R855" s="57"/>
    </row>
    <row r="856" spans="17:18" x14ac:dyDescent="0.25">
      <c r="Q856" s="57"/>
      <c r="R856" s="57"/>
    </row>
    <row r="857" spans="17:18" x14ac:dyDescent="0.25">
      <c r="Q857" s="57"/>
      <c r="R857" s="57"/>
    </row>
    <row r="858" spans="17:18" x14ac:dyDescent="0.25">
      <c r="Q858" s="57"/>
      <c r="R858" s="57"/>
    </row>
    <row r="859" spans="17:18" x14ac:dyDescent="0.25">
      <c r="Q859" s="57"/>
      <c r="R859" s="57"/>
    </row>
    <row r="860" spans="17:18" x14ac:dyDescent="0.25">
      <c r="Q860" s="57"/>
      <c r="R860" s="57"/>
    </row>
    <row r="861" spans="17:18" x14ac:dyDescent="0.25">
      <c r="Q861" s="57"/>
      <c r="R861" s="57"/>
    </row>
    <row r="862" spans="17:18" x14ac:dyDescent="0.25">
      <c r="Q862" s="57"/>
      <c r="R862" s="57"/>
    </row>
    <row r="863" spans="17:18" x14ac:dyDescent="0.25">
      <c r="Q863" s="57"/>
      <c r="R863" s="57"/>
    </row>
    <row r="864" spans="17:18" x14ac:dyDescent="0.25">
      <c r="Q864" s="57"/>
      <c r="R864" s="57"/>
    </row>
    <row r="865" spans="17:18" x14ac:dyDescent="0.25">
      <c r="Q865" s="57"/>
      <c r="R865" s="57"/>
    </row>
    <row r="866" spans="17:18" x14ac:dyDescent="0.25">
      <c r="Q866" s="57"/>
      <c r="R866" s="57"/>
    </row>
    <row r="867" spans="17:18" x14ac:dyDescent="0.25">
      <c r="Q867" s="57"/>
      <c r="R867" s="57"/>
    </row>
    <row r="868" spans="17:18" x14ac:dyDescent="0.25">
      <c r="Q868" s="57"/>
      <c r="R868" s="57"/>
    </row>
    <row r="869" spans="17:18" x14ac:dyDescent="0.25">
      <c r="Q869" s="57"/>
      <c r="R869" s="57"/>
    </row>
    <row r="870" spans="17:18" x14ac:dyDescent="0.25">
      <c r="Q870" s="57"/>
      <c r="R870" s="57"/>
    </row>
    <row r="871" spans="17:18" x14ac:dyDescent="0.25">
      <c r="Q871" s="57"/>
      <c r="R871" s="57"/>
    </row>
    <row r="872" spans="17:18" x14ac:dyDescent="0.25">
      <c r="Q872" s="57"/>
      <c r="R872" s="57"/>
    </row>
    <row r="873" spans="17:18" x14ac:dyDescent="0.25">
      <c r="Q873" s="57"/>
      <c r="R873" s="57"/>
    </row>
    <row r="874" spans="17:18" x14ac:dyDescent="0.25">
      <c r="Q874" s="57"/>
      <c r="R874" s="57"/>
    </row>
    <row r="875" spans="17:18" x14ac:dyDescent="0.25">
      <c r="Q875" s="57"/>
      <c r="R875" s="57"/>
    </row>
    <row r="876" spans="17:18" x14ac:dyDescent="0.25">
      <c r="Q876" s="57"/>
      <c r="R876" s="57"/>
    </row>
    <row r="877" spans="17:18" x14ac:dyDescent="0.25">
      <c r="Q877" s="57"/>
      <c r="R877" s="57"/>
    </row>
    <row r="878" spans="17:18" x14ac:dyDescent="0.25">
      <c r="Q878" s="57"/>
      <c r="R878" s="57"/>
    </row>
    <row r="879" spans="17:18" x14ac:dyDescent="0.25">
      <c r="Q879" s="57"/>
      <c r="R879" s="57"/>
    </row>
    <row r="880" spans="17:18" x14ac:dyDescent="0.25">
      <c r="Q880" s="57"/>
      <c r="R880" s="57"/>
    </row>
    <row r="881" spans="17:18" x14ac:dyDescent="0.25">
      <c r="Q881" s="57"/>
      <c r="R881" s="57"/>
    </row>
    <row r="882" spans="17:18" x14ac:dyDescent="0.25">
      <c r="Q882" s="57"/>
      <c r="R882" s="57"/>
    </row>
    <row r="883" spans="17:18" x14ac:dyDescent="0.25">
      <c r="Q883" s="57"/>
      <c r="R883" s="57"/>
    </row>
    <row r="884" spans="17:18" x14ac:dyDescent="0.25">
      <c r="Q884" s="57"/>
      <c r="R884" s="57"/>
    </row>
    <row r="885" spans="17:18" x14ac:dyDescent="0.25">
      <c r="Q885" s="57"/>
      <c r="R885" s="57"/>
    </row>
    <row r="886" spans="17:18" x14ac:dyDescent="0.25">
      <c r="Q886" s="57"/>
      <c r="R886" s="57"/>
    </row>
    <row r="887" spans="17:18" x14ac:dyDescent="0.25">
      <c r="Q887" s="57"/>
      <c r="R887" s="57"/>
    </row>
    <row r="888" spans="17:18" x14ac:dyDescent="0.25">
      <c r="Q888" s="57"/>
      <c r="R888" s="57"/>
    </row>
    <row r="889" spans="17:18" x14ac:dyDescent="0.25">
      <c r="Q889" s="57"/>
      <c r="R889" s="57"/>
    </row>
    <row r="890" spans="17:18" x14ac:dyDescent="0.25">
      <c r="Q890" s="57"/>
      <c r="R890" s="57"/>
    </row>
    <row r="891" spans="17:18" x14ac:dyDescent="0.25">
      <c r="Q891" s="57"/>
      <c r="R891" s="57"/>
    </row>
    <row r="892" spans="17:18" x14ac:dyDescent="0.25">
      <c r="Q892" s="57"/>
      <c r="R892" s="57"/>
    </row>
    <row r="893" spans="17:18" x14ac:dyDescent="0.25">
      <c r="Q893" s="57"/>
      <c r="R893" s="57"/>
    </row>
    <row r="894" spans="17:18" x14ac:dyDescent="0.25">
      <c r="Q894" s="57"/>
      <c r="R894" s="57"/>
    </row>
    <row r="895" spans="17:18" x14ac:dyDescent="0.25">
      <c r="Q895" s="57"/>
      <c r="R895" s="57"/>
    </row>
    <row r="896" spans="17:18" x14ac:dyDescent="0.25">
      <c r="Q896" s="57"/>
      <c r="R896" s="57"/>
    </row>
    <row r="897" spans="17:18" x14ac:dyDescent="0.25">
      <c r="Q897" s="57"/>
      <c r="R897" s="57"/>
    </row>
    <row r="898" spans="17:18" x14ac:dyDescent="0.25">
      <c r="Q898" s="57"/>
      <c r="R898" s="57"/>
    </row>
    <row r="899" spans="17:18" x14ac:dyDescent="0.25">
      <c r="Q899" s="57"/>
      <c r="R899" s="57"/>
    </row>
    <row r="900" spans="17:18" x14ac:dyDescent="0.25">
      <c r="Q900" s="57"/>
      <c r="R900" s="57"/>
    </row>
    <row r="901" spans="17:18" x14ac:dyDescent="0.25">
      <c r="Q901" s="57"/>
      <c r="R901" s="57"/>
    </row>
    <row r="902" spans="17:18" x14ac:dyDescent="0.25">
      <c r="Q902" s="57"/>
      <c r="R902" s="57"/>
    </row>
    <row r="903" spans="17:18" x14ac:dyDescent="0.25">
      <c r="Q903" s="57"/>
      <c r="R903" s="57"/>
    </row>
    <row r="904" spans="17:18" x14ac:dyDescent="0.25">
      <c r="Q904" s="57"/>
      <c r="R904" s="57"/>
    </row>
    <row r="905" spans="17:18" x14ac:dyDescent="0.25">
      <c r="Q905" s="57"/>
      <c r="R905" s="57"/>
    </row>
    <row r="906" spans="17:18" x14ac:dyDescent="0.25">
      <c r="Q906" s="57"/>
      <c r="R906" s="57"/>
    </row>
    <row r="907" spans="17:18" x14ac:dyDescent="0.25">
      <c r="Q907" s="57"/>
      <c r="R907" s="57"/>
    </row>
    <row r="908" spans="17:18" x14ac:dyDescent="0.25">
      <c r="Q908" s="57"/>
      <c r="R908" s="57"/>
    </row>
    <row r="909" spans="17:18" x14ac:dyDescent="0.25">
      <c r="Q909" s="57"/>
      <c r="R909" s="57"/>
    </row>
    <row r="910" spans="17:18" x14ac:dyDescent="0.25">
      <c r="Q910" s="57"/>
      <c r="R910" s="57"/>
    </row>
    <row r="911" spans="17:18" x14ac:dyDescent="0.25">
      <c r="Q911" s="57"/>
      <c r="R911" s="57"/>
    </row>
    <row r="912" spans="17:18" x14ac:dyDescent="0.25">
      <c r="Q912" s="57"/>
      <c r="R912" s="57"/>
    </row>
    <row r="913" spans="17:18" x14ac:dyDescent="0.25">
      <c r="Q913" s="57"/>
      <c r="R913" s="57"/>
    </row>
    <row r="914" spans="17:18" x14ac:dyDescent="0.25">
      <c r="Q914" s="57"/>
      <c r="R914" s="57"/>
    </row>
    <row r="915" spans="17:18" x14ac:dyDescent="0.25">
      <c r="Q915" s="57"/>
      <c r="R915" s="57"/>
    </row>
    <row r="916" spans="17:18" x14ac:dyDescent="0.25">
      <c r="Q916" s="57"/>
      <c r="R916" s="57"/>
    </row>
    <row r="917" spans="17:18" x14ac:dyDescent="0.25">
      <c r="Q917" s="57"/>
      <c r="R917" s="57"/>
    </row>
    <row r="918" spans="17:18" x14ac:dyDescent="0.25">
      <c r="Q918" s="57"/>
      <c r="R918" s="57"/>
    </row>
    <row r="919" spans="17:18" x14ac:dyDescent="0.25">
      <c r="Q919" s="57"/>
      <c r="R919" s="57"/>
    </row>
    <row r="920" spans="17:18" x14ac:dyDescent="0.25">
      <c r="Q920" s="57"/>
      <c r="R920" s="57"/>
    </row>
    <row r="921" spans="17:18" x14ac:dyDescent="0.25">
      <c r="Q921" s="57"/>
      <c r="R921" s="57"/>
    </row>
    <row r="922" spans="17:18" x14ac:dyDescent="0.25">
      <c r="Q922" s="57"/>
      <c r="R922" s="57"/>
    </row>
    <row r="923" spans="17:18" x14ac:dyDescent="0.25">
      <c r="Q923" s="57"/>
      <c r="R923" s="57"/>
    </row>
    <row r="924" spans="17:18" x14ac:dyDescent="0.25">
      <c r="Q924" s="57"/>
      <c r="R924" s="57"/>
    </row>
    <row r="925" spans="17:18" x14ac:dyDescent="0.25">
      <c r="Q925" s="57"/>
      <c r="R925" s="57"/>
    </row>
    <row r="926" spans="17:18" x14ac:dyDescent="0.25">
      <c r="Q926" s="57"/>
      <c r="R926" s="57"/>
    </row>
    <row r="927" spans="17:18" x14ac:dyDescent="0.25">
      <c r="Q927" s="57"/>
      <c r="R927" s="57"/>
    </row>
    <row r="928" spans="17:18" x14ac:dyDescent="0.25">
      <c r="Q928" s="57"/>
      <c r="R928" s="57"/>
    </row>
    <row r="929" spans="17:18" x14ac:dyDescent="0.25">
      <c r="Q929" s="57"/>
      <c r="R929" s="57"/>
    </row>
    <row r="930" spans="17:18" x14ac:dyDescent="0.25">
      <c r="Q930" s="57"/>
      <c r="R930" s="57"/>
    </row>
    <row r="931" spans="17:18" x14ac:dyDescent="0.25">
      <c r="Q931" s="57"/>
      <c r="R931" s="57"/>
    </row>
    <row r="932" spans="17:18" x14ac:dyDescent="0.25">
      <c r="Q932" s="57"/>
      <c r="R932" s="57"/>
    </row>
    <row r="933" spans="17:18" x14ac:dyDescent="0.25">
      <c r="Q933" s="57"/>
      <c r="R933" s="57"/>
    </row>
    <row r="934" spans="17:18" x14ac:dyDescent="0.25">
      <c r="Q934" s="57"/>
      <c r="R934" s="57"/>
    </row>
    <row r="935" spans="17:18" x14ac:dyDescent="0.25">
      <c r="Q935" s="57"/>
      <c r="R935" s="57"/>
    </row>
    <row r="936" spans="17:18" x14ac:dyDescent="0.25">
      <c r="Q936" s="57"/>
      <c r="R936" s="57"/>
    </row>
    <row r="937" spans="17:18" x14ac:dyDescent="0.25">
      <c r="Q937" s="57"/>
      <c r="R937" s="57"/>
    </row>
    <row r="938" spans="17:18" x14ac:dyDescent="0.25">
      <c r="Q938" s="57"/>
      <c r="R938" s="57"/>
    </row>
    <row r="939" spans="17:18" x14ac:dyDescent="0.25">
      <c r="Q939" s="57"/>
      <c r="R939" s="57"/>
    </row>
    <row r="940" spans="17:18" x14ac:dyDescent="0.25">
      <c r="Q940" s="57"/>
      <c r="R940" s="57"/>
    </row>
    <row r="941" spans="17:18" x14ac:dyDescent="0.25">
      <c r="Q941" s="57"/>
      <c r="R941" s="57"/>
    </row>
    <row r="942" spans="17:18" x14ac:dyDescent="0.25">
      <c r="Q942" s="57"/>
      <c r="R942" s="57"/>
    </row>
    <row r="943" spans="17:18" x14ac:dyDescent="0.25">
      <c r="Q943" s="57"/>
      <c r="R943" s="57"/>
    </row>
    <row r="944" spans="17:18" x14ac:dyDescent="0.25">
      <c r="Q944" s="57"/>
      <c r="R944" s="57"/>
    </row>
    <row r="945" spans="17:18" x14ac:dyDescent="0.25">
      <c r="Q945" s="57"/>
      <c r="R945" s="57"/>
    </row>
    <row r="946" spans="17:18" x14ac:dyDescent="0.25">
      <c r="Q946" s="57"/>
      <c r="R946" s="57"/>
    </row>
    <row r="947" spans="17:18" x14ac:dyDescent="0.25">
      <c r="Q947" s="57"/>
      <c r="R947" s="57"/>
    </row>
    <row r="948" spans="17:18" x14ac:dyDescent="0.25">
      <c r="Q948" s="57"/>
      <c r="R948" s="57"/>
    </row>
    <row r="949" spans="17:18" x14ac:dyDescent="0.25">
      <c r="Q949" s="57"/>
      <c r="R949" s="57"/>
    </row>
    <row r="950" spans="17:18" x14ac:dyDescent="0.25">
      <c r="Q950" s="57"/>
      <c r="R950" s="57"/>
    </row>
    <row r="951" spans="17:18" x14ac:dyDescent="0.25">
      <c r="Q951" s="57"/>
      <c r="R951" s="57"/>
    </row>
    <row r="952" spans="17:18" x14ac:dyDescent="0.25">
      <c r="Q952" s="57"/>
      <c r="R952" s="57"/>
    </row>
    <row r="953" spans="17:18" x14ac:dyDescent="0.25">
      <c r="Q953" s="57"/>
      <c r="R953" s="57"/>
    </row>
    <row r="954" spans="17:18" x14ac:dyDescent="0.25">
      <c r="Q954" s="57"/>
      <c r="R954" s="57"/>
    </row>
    <row r="955" spans="17:18" x14ac:dyDescent="0.25">
      <c r="Q955" s="57"/>
      <c r="R955" s="57"/>
    </row>
    <row r="956" spans="17:18" x14ac:dyDescent="0.25">
      <c r="Q956" s="57"/>
      <c r="R956" s="57"/>
    </row>
    <row r="957" spans="17:18" x14ac:dyDescent="0.25">
      <c r="Q957" s="57"/>
      <c r="R957" s="57"/>
    </row>
    <row r="958" spans="17:18" x14ac:dyDescent="0.25">
      <c r="Q958" s="57"/>
      <c r="R958" s="57"/>
    </row>
    <row r="959" spans="17:18" x14ac:dyDescent="0.25">
      <c r="Q959" s="57"/>
      <c r="R959" s="57"/>
    </row>
    <row r="960" spans="17:18" x14ac:dyDescent="0.25">
      <c r="Q960" s="57"/>
      <c r="R960" s="57"/>
    </row>
    <row r="961" spans="17:18" x14ac:dyDescent="0.25">
      <c r="Q961" s="57"/>
      <c r="R961" s="57"/>
    </row>
    <row r="962" spans="17:18" x14ac:dyDescent="0.25">
      <c r="Q962" s="57"/>
      <c r="R962" s="57"/>
    </row>
    <row r="963" spans="17:18" x14ac:dyDescent="0.25">
      <c r="Q963" s="57"/>
      <c r="R963" s="57"/>
    </row>
    <row r="964" spans="17:18" x14ac:dyDescent="0.25">
      <c r="Q964" s="57"/>
      <c r="R964" s="57"/>
    </row>
    <row r="965" spans="17:18" x14ac:dyDescent="0.25">
      <c r="Q965" s="57"/>
      <c r="R965" s="57"/>
    </row>
    <row r="966" spans="17:18" x14ac:dyDescent="0.25">
      <c r="Q966" s="57"/>
      <c r="R966" s="57"/>
    </row>
    <row r="967" spans="17:18" x14ac:dyDescent="0.25">
      <c r="Q967" s="57"/>
      <c r="R967" s="57"/>
    </row>
    <row r="968" spans="17:18" x14ac:dyDescent="0.25">
      <c r="Q968" s="57"/>
      <c r="R968" s="57"/>
    </row>
    <row r="969" spans="17:18" x14ac:dyDescent="0.25">
      <c r="Q969" s="57"/>
      <c r="R969" s="57"/>
    </row>
    <row r="970" spans="17:18" x14ac:dyDescent="0.25">
      <c r="Q970" s="57"/>
      <c r="R970" s="57"/>
    </row>
    <row r="971" spans="17:18" x14ac:dyDescent="0.25">
      <c r="Q971" s="57"/>
      <c r="R971" s="57"/>
    </row>
    <row r="972" spans="17:18" x14ac:dyDescent="0.25">
      <c r="Q972" s="57"/>
      <c r="R972" s="57"/>
    </row>
    <row r="973" spans="17:18" x14ac:dyDescent="0.25">
      <c r="Q973" s="57"/>
      <c r="R973" s="57"/>
    </row>
    <row r="974" spans="17:18" x14ac:dyDescent="0.25">
      <c r="Q974" s="57"/>
      <c r="R974" s="57"/>
    </row>
    <row r="975" spans="17:18" x14ac:dyDescent="0.25">
      <c r="Q975" s="57"/>
      <c r="R975" s="57"/>
    </row>
    <row r="976" spans="17:18" x14ac:dyDescent="0.25">
      <c r="Q976" s="57"/>
      <c r="R976" s="57"/>
    </row>
    <row r="977" spans="17:18" x14ac:dyDescent="0.25">
      <c r="Q977" s="57"/>
      <c r="R977" s="57"/>
    </row>
    <row r="978" spans="17:18" x14ac:dyDescent="0.25">
      <c r="Q978" s="57"/>
      <c r="R978" s="57"/>
    </row>
    <row r="979" spans="17:18" x14ac:dyDescent="0.25">
      <c r="Q979" s="57"/>
      <c r="R979" s="57"/>
    </row>
    <row r="980" spans="17:18" x14ac:dyDescent="0.25">
      <c r="Q980" s="57"/>
      <c r="R980" s="57"/>
    </row>
    <row r="981" spans="17:18" x14ac:dyDescent="0.25">
      <c r="Q981" s="57"/>
      <c r="R981" s="57"/>
    </row>
    <row r="982" spans="17:18" x14ac:dyDescent="0.25">
      <c r="Q982" s="57"/>
      <c r="R982" s="57"/>
    </row>
    <row r="983" spans="17:18" x14ac:dyDescent="0.25">
      <c r="Q983" s="57"/>
      <c r="R983" s="57"/>
    </row>
    <row r="984" spans="17:18" x14ac:dyDescent="0.25">
      <c r="Q984" s="57"/>
      <c r="R984" s="57"/>
    </row>
    <row r="985" spans="17:18" x14ac:dyDescent="0.25">
      <c r="Q985" s="57"/>
      <c r="R985" s="57"/>
    </row>
    <row r="986" spans="17:18" x14ac:dyDescent="0.25">
      <c r="Q986" s="57"/>
      <c r="R986" s="57"/>
    </row>
    <row r="987" spans="17:18" x14ac:dyDescent="0.25">
      <c r="Q987" s="57"/>
      <c r="R987" s="57"/>
    </row>
    <row r="988" spans="17:18" x14ac:dyDescent="0.25">
      <c r="Q988" s="57"/>
      <c r="R988" s="57"/>
    </row>
    <row r="989" spans="17:18" x14ac:dyDescent="0.25">
      <c r="Q989" s="57"/>
      <c r="R989" s="57"/>
    </row>
    <row r="990" spans="17:18" x14ac:dyDescent="0.25">
      <c r="Q990" s="57"/>
      <c r="R990" s="57"/>
    </row>
    <row r="991" spans="17:18" x14ac:dyDescent="0.25">
      <c r="Q991" s="57"/>
      <c r="R991" s="57"/>
    </row>
    <row r="992" spans="17:18" x14ac:dyDescent="0.25">
      <c r="Q992" s="57"/>
      <c r="R992" s="57"/>
    </row>
    <row r="993" spans="17:18" x14ac:dyDescent="0.25">
      <c r="Q993" s="57"/>
      <c r="R993" s="57"/>
    </row>
    <row r="994" spans="17:18" x14ac:dyDescent="0.25">
      <c r="Q994" s="57"/>
      <c r="R994" s="57"/>
    </row>
    <row r="995" spans="17:18" x14ac:dyDescent="0.25">
      <c r="Q995" s="57"/>
      <c r="R995" s="57"/>
    </row>
    <row r="996" spans="17:18" x14ac:dyDescent="0.25">
      <c r="Q996" s="57"/>
      <c r="R996" s="57"/>
    </row>
    <row r="997" spans="17:18" x14ac:dyDescent="0.25">
      <c r="Q997" s="57"/>
      <c r="R997" s="57"/>
    </row>
    <row r="998" spans="17:18" x14ac:dyDescent="0.25">
      <c r="Q998" s="57"/>
      <c r="R998" s="57"/>
    </row>
    <row r="999" spans="17:18" x14ac:dyDescent="0.25">
      <c r="Q999" s="57"/>
      <c r="R999" s="57"/>
    </row>
    <row r="1000" spans="17:18" x14ac:dyDescent="0.25">
      <c r="Q1000" s="57"/>
      <c r="R1000" s="57"/>
    </row>
    <row r="1001" spans="17:18" x14ac:dyDescent="0.25">
      <c r="Q1001" s="57"/>
      <c r="R1001" s="57"/>
    </row>
    <row r="1002" spans="17:18" x14ac:dyDescent="0.25">
      <c r="Q1002" s="57"/>
      <c r="R1002" s="57"/>
    </row>
    <row r="1003" spans="17:18" x14ac:dyDescent="0.25">
      <c r="Q1003" s="57"/>
      <c r="R1003" s="57"/>
    </row>
    <row r="1004" spans="17:18" x14ac:dyDescent="0.25">
      <c r="Q1004" s="57"/>
      <c r="R1004" s="57"/>
    </row>
    <row r="1005" spans="17:18" x14ac:dyDescent="0.25">
      <c r="Q1005" s="57"/>
      <c r="R1005" s="57"/>
    </row>
    <row r="1006" spans="17:18" x14ac:dyDescent="0.25">
      <c r="Q1006" s="57"/>
      <c r="R1006" s="57"/>
    </row>
    <row r="1007" spans="17:18" x14ac:dyDescent="0.25">
      <c r="Q1007" s="57"/>
      <c r="R1007" s="57"/>
    </row>
    <row r="1008" spans="17:18" x14ac:dyDescent="0.25">
      <c r="Q1008" s="57"/>
      <c r="R1008" s="57"/>
    </row>
    <row r="1009" spans="17:18" x14ac:dyDescent="0.25">
      <c r="Q1009" s="57"/>
      <c r="R1009" s="57"/>
    </row>
    <row r="1010" spans="17:18" x14ac:dyDescent="0.25">
      <c r="Q1010" s="57"/>
      <c r="R1010" s="57"/>
    </row>
    <row r="1011" spans="17:18" x14ac:dyDescent="0.25">
      <c r="Q1011" s="57"/>
      <c r="R1011" s="57"/>
    </row>
    <row r="1012" spans="17:18" x14ac:dyDescent="0.25">
      <c r="Q1012" s="57"/>
      <c r="R1012" s="57"/>
    </row>
    <row r="1013" spans="17:18" x14ac:dyDescent="0.25">
      <c r="Q1013" s="57"/>
      <c r="R1013" s="57"/>
    </row>
    <row r="1014" spans="17:18" x14ac:dyDescent="0.25">
      <c r="Q1014" s="57"/>
      <c r="R1014" s="57"/>
    </row>
    <row r="1015" spans="17:18" x14ac:dyDescent="0.25">
      <c r="Q1015" s="57"/>
      <c r="R1015" s="57"/>
    </row>
    <row r="1016" spans="17:18" x14ac:dyDescent="0.25">
      <c r="Q1016" s="57"/>
      <c r="R1016" s="57"/>
    </row>
    <row r="1017" spans="17:18" x14ac:dyDescent="0.25">
      <c r="Q1017" s="57"/>
      <c r="R1017" s="57"/>
    </row>
    <row r="1018" spans="17:18" x14ac:dyDescent="0.25">
      <c r="Q1018" s="57"/>
      <c r="R1018" s="57"/>
    </row>
    <row r="1019" spans="17:18" x14ac:dyDescent="0.25">
      <c r="Q1019" s="57"/>
      <c r="R1019" s="57"/>
    </row>
    <row r="1020" spans="17:18" x14ac:dyDescent="0.25">
      <c r="Q1020" s="57"/>
      <c r="R1020" s="57"/>
    </row>
    <row r="1021" spans="17:18" x14ac:dyDescent="0.25">
      <c r="Q1021" s="57"/>
      <c r="R1021" s="57"/>
    </row>
    <row r="1022" spans="17:18" x14ac:dyDescent="0.25">
      <c r="Q1022" s="57"/>
      <c r="R1022" s="57"/>
    </row>
    <row r="1023" spans="17:18" x14ac:dyDescent="0.25">
      <c r="Q1023" s="57"/>
      <c r="R1023" s="57"/>
    </row>
    <row r="1024" spans="17:18" x14ac:dyDescent="0.25">
      <c r="Q1024" s="57"/>
      <c r="R1024" s="57"/>
    </row>
    <row r="1025" spans="17:18" x14ac:dyDescent="0.25">
      <c r="Q1025" s="57"/>
      <c r="R1025" s="57"/>
    </row>
    <row r="1026" spans="17:18" x14ac:dyDescent="0.25">
      <c r="Q1026" s="57"/>
      <c r="R1026" s="57"/>
    </row>
    <row r="1027" spans="17:18" x14ac:dyDescent="0.25">
      <c r="Q1027" s="57"/>
      <c r="R1027" s="57"/>
    </row>
    <row r="1028" spans="17:18" x14ac:dyDescent="0.25">
      <c r="Q1028" s="57"/>
      <c r="R1028" s="57"/>
    </row>
    <row r="1029" spans="17:18" x14ac:dyDescent="0.25">
      <c r="Q1029" s="57"/>
      <c r="R1029" s="57"/>
    </row>
    <row r="1030" spans="17:18" x14ac:dyDescent="0.25">
      <c r="Q1030" s="57"/>
      <c r="R1030" s="57"/>
    </row>
    <row r="1031" spans="17:18" x14ac:dyDescent="0.25">
      <c r="Q1031" s="57"/>
      <c r="R1031" s="57"/>
    </row>
    <row r="1032" spans="17:18" x14ac:dyDescent="0.25">
      <c r="Q1032" s="57"/>
      <c r="R1032" s="57"/>
    </row>
    <row r="1033" spans="17:18" x14ac:dyDescent="0.25">
      <c r="Q1033" s="57"/>
      <c r="R1033" s="57"/>
    </row>
    <row r="1034" spans="17:18" x14ac:dyDescent="0.25">
      <c r="Q1034" s="57"/>
      <c r="R1034" s="57"/>
    </row>
    <row r="1035" spans="17:18" x14ac:dyDescent="0.25">
      <c r="Q1035" s="57"/>
      <c r="R1035" s="57"/>
    </row>
    <row r="1036" spans="17:18" x14ac:dyDescent="0.25">
      <c r="Q1036" s="57"/>
      <c r="R1036" s="57"/>
    </row>
    <row r="1037" spans="17:18" x14ac:dyDescent="0.25">
      <c r="Q1037" s="57"/>
      <c r="R1037" s="57"/>
    </row>
    <row r="1038" spans="17:18" x14ac:dyDescent="0.25">
      <c r="Q1038" s="57"/>
      <c r="R1038" s="57"/>
    </row>
    <row r="1039" spans="17:18" x14ac:dyDescent="0.25">
      <c r="Q1039" s="57"/>
      <c r="R1039" s="57"/>
    </row>
    <row r="1040" spans="17:18" x14ac:dyDescent="0.25">
      <c r="Q1040" s="57"/>
      <c r="R1040" s="57"/>
    </row>
    <row r="1041" spans="17:18" x14ac:dyDescent="0.25">
      <c r="Q1041" s="57"/>
      <c r="R1041" s="57"/>
    </row>
    <row r="1042" spans="17:18" x14ac:dyDescent="0.25">
      <c r="Q1042" s="57"/>
      <c r="R1042" s="57"/>
    </row>
    <row r="1043" spans="17:18" x14ac:dyDescent="0.25">
      <c r="Q1043" s="57"/>
      <c r="R1043" s="57"/>
    </row>
    <row r="1044" spans="17:18" x14ac:dyDescent="0.25">
      <c r="Q1044" s="57"/>
      <c r="R1044" s="57"/>
    </row>
    <row r="1045" spans="17:18" x14ac:dyDescent="0.25">
      <c r="Q1045" s="57"/>
      <c r="R1045" s="57"/>
    </row>
    <row r="1046" spans="17:18" x14ac:dyDescent="0.25">
      <c r="Q1046" s="57"/>
      <c r="R1046" s="57"/>
    </row>
    <row r="1047" spans="17:18" x14ac:dyDescent="0.25">
      <c r="Q1047" s="57"/>
      <c r="R1047" s="57"/>
    </row>
    <row r="1048" spans="17:18" x14ac:dyDescent="0.25">
      <c r="Q1048" s="57"/>
      <c r="R1048" s="57"/>
    </row>
    <row r="1049" spans="17:18" x14ac:dyDescent="0.25">
      <c r="Q1049" s="57"/>
      <c r="R1049" s="57"/>
    </row>
    <row r="1050" spans="17:18" x14ac:dyDescent="0.25">
      <c r="Q1050" s="57"/>
      <c r="R1050" s="57"/>
    </row>
    <row r="1051" spans="17:18" x14ac:dyDescent="0.25">
      <c r="Q1051" s="57"/>
      <c r="R1051" s="57"/>
    </row>
    <row r="1052" spans="17:18" x14ac:dyDescent="0.25">
      <c r="Q1052" s="57"/>
      <c r="R1052" s="57"/>
    </row>
    <row r="1053" spans="17:18" x14ac:dyDescent="0.25">
      <c r="Q1053" s="57"/>
      <c r="R1053" s="57"/>
    </row>
    <row r="1054" spans="17:18" x14ac:dyDescent="0.25">
      <c r="Q1054" s="57"/>
      <c r="R1054" s="57"/>
    </row>
    <row r="1055" spans="17:18" x14ac:dyDescent="0.25">
      <c r="Q1055" s="57"/>
      <c r="R1055" s="57"/>
    </row>
    <row r="1056" spans="17:18" x14ac:dyDescent="0.25">
      <c r="Q1056" s="57"/>
      <c r="R1056" s="57"/>
    </row>
    <row r="1057" spans="17:18" x14ac:dyDescent="0.25">
      <c r="Q1057" s="57"/>
      <c r="R1057" s="57"/>
    </row>
    <row r="1058" spans="17:18" x14ac:dyDescent="0.25">
      <c r="Q1058" s="57"/>
      <c r="R1058" s="57"/>
    </row>
    <row r="1059" spans="17:18" x14ac:dyDescent="0.25">
      <c r="Q1059" s="57"/>
      <c r="R1059" s="57"/>
    </row>
    <row r="1060" spans="17:18" x14ac:dyDescent="0.25">
      <c r="Q1060" s="57"/>
      <c r="R1060" s="57"/>
    </row>
    <row r="1061" spans="17:18" x14ac:dyDescent="0.25">
      <c r="Q1061" s="57"/>
      <c r="R1061" s="57"/>
    </row>
    <row r="1062" spans="17:18" x14ac:dyDescent="0.25">
      <c r="Q1062" s="57"/>
      <c r="R1062" s="57"/>
    </row>
    <row r="1063" spans="17:18" x14ac:dyDescent="0.25">
      <c r="Q1063" s="57"/>
      <c r="R1063" s="57"/>
    </row>
    <row r="1064" spans="17:18" x14ac:dyDescent="0.25">
      <c r="Q1064" s="57"/>
      <c r="R1064" s="57"/>
    </row>
    <row r="1065" spans="17:18" x14ac:dyDescent="0.25">
      <c r="Q1065" s="57"/>
      <c r="R1065" s="57"/>
    </row>
    <row r="1066" spans="17:18" x14ac:dyDescent="0.25">
      <c r="Q1066" s="57"/>
      <c r="R1066" s="57"/>
    </row>
    <row r="1067" spans="17:18" x14ac:dyDescent="0.25">
      <c r="Q1067" s="57"/>
      <c r="R1067" s="57"/>
    </row>
    <row r="1068" spans="17:18" x14ac:dyDescent="0.25">
      <c r="Q1068" s="57"/>
      <c r="R1068" s="57"/>
    </row>
    <row r="1069" spans="17:18" x14ac:dyDescent="0.25">
      <c r="Q1069" s="57"/>
      <c r="R1069" s="57"/>
    </row>
    <row r="1070" spans="17:18" x14ac:dyDescent="0.25">
      <c r="Q1070" s="57"/>
      <c r="R1070" s="57"/>
    </row>
    <row r="1071" spans="17:18" x14ac:dyDescent="0.25">
      <c r="Q1071" s="57"/>
      <c r="R1071" s="57"/>
    </row>
    <row r="1072" spans="17:18" x14ac:dyDescent="0.25">
      <c r="Q1072" s="57"/>
      <c r="R1072" s="57"/>
    </row>
    <row r="1073" spans="17:18" x14ac:dyDescent="0.25">
      <c r="Q1073" s="57"/>
      <c r="R1073" s="57"/>
    </row>
    <row r="1074" spans="17:18" x14ac:dyDescent="0.25">
      <c r="Q1074" s="57"/>
      <c r="R1074" s="57"/>
    </row>
    <row r="1075" spans="17:18" x14ac:dyDescent="0.25">
      <c r="Q1075" s="57"/>
      <c r="R1075" s="57"/>
    </row>
    <row r="1076" spans="17:18" x14ac:dyDescent="0.25">
      <c r="Q1076" s="57"/>
      <c r="R1076" s="57"/>
    </row>
    <row r="1077" spans="17:18" x14ac:dyDescent="0.25">
      <c r="Q1077" s="57"/>
      <c r="R1077" s="57"/>
    </row>
    <row r="1078" spans="17:18" x14ac:dyDescent="0.25">
      <c r="Q1078" s="57"/>
      <c r="R1078" s="57"/>
    </row>
    <row r="1079" spans="17:18" x14ac:dyDescent="0.25">
      <c r="Q1079" s="57"/>
      <c r="R1079" s="57"/>
    </row>
    <row r="1080" spans="17:18" x14ac:dyDescent="0.25">
      <c r="Q1080" s="57"/>
      <c r="R1080" s="57"/>
    </row>
    <row r="1081" spans="17:18" x14ac:dyDescent="0.25">
      <c r="Q1081" s="57"/>
      <c r="R1081" s="57"/>
    </row>
    <row r="1082" spans="17:18" x14ac:dyDescent="0.25">
      <c r="Q1082" s="57"/>
      <c r="R1082" s="57"/>
    </row>
    <row r="1083" spans="17:18" x14ac:dyDescent="0.25">
      <c r="Q1083" s="57"/>
      <c r="R1083" s="57"/>
    </row>
    <row r="1084" spans="17:18" x14ac:dyDescent="0.25">
      <c r="Q1084" s="57"/>
      <c r="R1084" s="57"/>
    </row>
    <row r="1085" spans="17:18" x14ac:dyDescent="0.25">
      <c r="Q1085" s="57"/>
      <c r="R1085" s="57"/>
    </row>
    <row r="1086" spans="17:18" x14ac:dyDescent="0.25">
      <c r="Q1086" s="57"/>
      <c r="R1086" s="57"/>
    </row>
    <row r="1087" spans="17:18" x14ac:dyDescent="0.25">
      <c r="Q1087" s="57"/>
      <c r="R1087" s="57"/>
    </row>
    <row r="1088" spans="17:18" x14ac:dyDescent="0.25">
      <c r="Q1088" s="57"/>
      <c r="R1088" s="57"/>
    </row>
    <row r="1089" spans="17:18" x14ac:dyDescent="0.25">
      <c r="Q1089" s="57"/>
      <c r="R1089" s="57"/>
    </row>
    <row r="1090" spans="17:18" x14ac:dyDescent="0.25">
      <c r="Q1090" s="57"/>
      <c r="R1090" s="57"/>
    </row>
    <row r="1091" spans="17:18" x14ac:dyDescent="0.25">
      <c r="Q1091" s="57"/>
      <c r="R1091" s="57"/>
    </row>
    <row r="1092" spans="17:18" x14ac:dyDescent="0.25">
      <c r="Q1092" s="57"/>
      <c r="R1092" s="57"/>
    </row>
    <row r="1093" spans="17:18" x14ac:dyDescent="0.25">
      <c r="Q1093" s="57"/>
      <c r="R1093" s="57"/>
    </row>
    <row r="1094" spans="17:18" x14ac:dyDescent="0.25">
      <c r="Q1094" s="57"/>
      <c r="R1094" s="57"/>
    </row>
    <row r="1095" spans="17:18" x14ac:dyDescent="0.25">
      <c r="Q1095" s="57"/>
      <c r="R1095" s="57"/>
    </row>
    <row r="1096" spans="17:18" x14ac:dyDescent="0.25">
      <c r="Q1096" s="57"/>
      <c r="R1096" s="57"/>
    </row>
    <row r="1097" spans="17:18" x14ac:dyDescent="0.25">
      <c r="Q1097" s="57"/>
      <c r="R1097" s="57"/>
    </row>
    <row r="1098" spans="17:18" x14ac:dyDescent="0.25">
      <c r="Q1098" s="57"/>
      <c r="R1098" s="57"/>
    </row>
    <row r="1099" spans="17:18" x14ac:dyDescent="0.25">
      <c r="Q1099" s="57"/>
      <c r="R1099" s="57"/>
    </row>
    <row r="1100" spans="17:18" x14ac:dyDescent="0.25">
      <c r="Q1100" s="57"/>
      <c r="R1100" s="57"/>
    </row>
    <row r="1101" spans="17:18" x14ac:dyDescent="0.25">
      <c r="Q1101" s="57"/>
      <c r="R1101" s="57"/>
    </row>
    <row r="1102" spans="17:18" x14ac:dyDescent="0.25">
      <c r="Q1102" s="57"/>
      <c r="R1102" s="57"/>
    </row>
    <row r="1103" spans="17:18" x14ac:dyDescent="0.25">
      <c r="Q1103" s="57"/>
      <c r="R1103" s="57"/>
    </row>
    <row r="1104" spans="17:18" x14ac:dyDescent="0.25">
      <c r="Q1104" s="57"/>
      <c r="R1104" s="57"/>
    </row>
    <row r="1105" spans="17:18" x14ac:dyDescent="0.25">
      <c r="Q1105" s="57"/>
      <c r="R1105" s="57"/>
    </row>
    <row r="1106" spans="17:18" x14ac:dyDescent="0.25">
      <c r="Q1106" s="57"/>
      <c r="R1106" s="57"/>
    </row>
    <row r="1107" spans="17:18" x14ac:dyDescent="0.25">
      <c r="Q1107" s="57"/>
      <c r="R1107" s="57"/>
    </row>
    <row r="1108" spans="17:18" x14ac:dyDescent="0.25">
      <c r="Q1108" s="57"/>
      <c r="R1108" s="57"/>
    </row>
    <row r="1109" spans="17:18" x14ac:dyDescent="0.25">
      <c r="Q1109" s="57"/>
      <c r="R1109" s="57"/>
    </row>
    <row r="1110" spans="17:18" x14ac:dyDescent="0.25">
      <c r="Q1110" s="57"/>
      <c r="R1110" s="57"/>
    </row>
    <row r="1111" spans="17:18" x14ac:dyDescent="0.25">
      <c r="Q1111" s="57"/>
      <c r="R1111" s="57"/>
    </row>
    <row r="1112" spans="17:18" x14ac:dyDescent="0.25">
      <c r="Q1112" s="57"/>
      <c r="R1112" s="57"/>
    </row>
    <row r="1113" spans="17:18" x14ac:dyDescent="0.25">
      <c r="Q1113" s="57"/>
      <c r="R1113" s="57"/>
    </row>
    <row r="1114" spans="17:18" x14ac:dyDescent="0.25">
      <c r="Q1114" s="57"/>
      <c r="R1114" s="57"/>
    </row>
    <row r="1115" spans="17:18" x14ac:dyDescent="0.25">
      <c r="Q1115" s="57"/>
      <c r="R1115" s="57"/>
    </row>
    <row r="1116" spans="17:18" x14ac:dyDescent="0.25">
      <c r="Q1116" s="57"/>
      <c r="R1116" s="57"/>
    </row>
    <row r="1117" spans="17:18" x14ac:dyDescent="0.25">
      <c r="Q1117" s="57"/>
      <c r="R1117" s="57"/>
    </row>
    <row r="1118" spans="17:18" x14ac:dyDescent="0.25">
      <c r="Q1118" s="57"/>
      <c r="R1118" s="57"/>
    </row>
    <row r="1119" spans="17:18" x14ac:dyDescent="0.25">
      <c r="Q1119" s="57"/>
      <c r="R1119" s="57"/>
    </row>
    <row r="1120" spans="17:18" x14ac:dyDescent="0.25">
      <c r="Q1120" s="57"/>
      <c r="R1120" s="57"/>
    </row>
    <row r="1121" spans="17:18" x14ac:dyDescent="0.25">
      <c r="Q1121" s="57"/>
      <c r="R1121" s="57"/>
    </row>
    <row r="1122" spans="17:18" x14ac:dyDescent="0.25">
      <c r="Q1122" s="57"/>
      <c r="R1122" s="57"/>
    </row>
    <row r="1123" spans="17:18" x14ac:dyDescent="0.25">
      <c r="Q1123" s="57"/>
      <c r="R1123" s="57"/>
    </row>
    <row r="1124" spans="17:18" x14ac:dyDescent="0.25">
      <c r="Q1124" s="57"/>
      <c r="R1124" s="57"/>
    </row>
    <row r="1125" spans="17:18" x14ac:dyDescent="0.25">
      <c r="Q1125" s="57"/>
      <c r="R1125" s="57"/>
    </row>
    <row r="1126" spans="17:18" x14ac:dyDescent="0.25">
      <c r="Q1126" s="57"/>
      <c r="R1126" s="57"/>
    </row>
    <row r="1127" spans="17:18" x14ac:dyDescent="0.25">
      <c r="Q1127" s="57"/>
      <c r="R1127" s="57"/>
    </row>
    <row r="1128" spans="17:18" x14ac:dyDescent="0.25">
      <c r="Q1128" s="57"/>
      <c r="R1128" s="57"/>
    </row>
    <row r="1129" spans="17:18" x14ac:dyDescent="0.25">
      <c r="Q1129" s="57"/>
      <c r="R1129" s="57"/>
    </row>
    <row r="1130" spans="17:18" x14ac:dyDescent="0.25">
      <c r="Q1130" s="57"/>
      <c r="R1130" s="57"/>
    </row>
    <row r="1131" spans="17:18" x14ac:dyDescent="0.25">
      <c r="Q1131" s="57"/>
      <c r="R1131" s="57"/>
    </row>
    <row r="1132" spans="17:18" x14ac:dyDescent="0.25">
      <c r="Q1132" s="57"/>
      <c r="R1132" s="57"/>
    </row>
    <row r="1133" spans="17:18" x14ac:dyDescent="0.25">
      <c r="Q1133" s="57"/>
      <c r="R1133" s="57"/>
    </row>
    <row r="1134" spans="17:18" x14ac:dyDescent="0.25">
      <c r="Q1134" s="57"/>
      <c r="R1134" s="57"/>
    </row>
    <row r="1135" spans="17:18" x14ac:dyDescent="0.25">
      <c r="Q1135" s="57"/>
      <c r="R1135" s="57"/>
    </row>
    <row r="1136" spans="17:18" x14ac:dyDescent="0.25">
      <c r="Q1136" s="57"/>
      <c r="R1136" s="57"/>
    </row>
    <row r="1137" spans="17:18" x14ac:dyDescent="0.25">
      <c r="Q1137" s="57"/>
      <c r="R1137" s="57"/>
    </row>
    <row r="1138" spans="17:18" x14ac:dyDescent="0.25">
      <c r="Q1138" s="57"/>
      <c r="R1138" s="57"/>
    </row>
    <row r="1139" spans="17:18" x14ac:dyDescent="0.25">
      <c r="Q1139" s="57"/>
      <c r="R1139" s="57"/>
    </row>
    <row r="1140" spans="17:18" x14ac:dyDescent="0.25">
      <c r="Q1140" s="57"/>
      <c r="R1140" s="57"/>
    </row>
    <row r="1141" spans="17:18" x14ac:dyDescent="0.25">
      <c r="Q1141" s="57"/>
      <c r="R1141" s="57"/>
    </row>
    <row r="1142" spans="17:18" x14ac:dyDescent="0.25">
      <c r="Q1142" s="57"/>
      <c r="R1142" s="57"/>
    </row>
    <row r="1143" spans="17:18" x14ac:dyDescent="0.25">
      <c r="Q1143" s="57"/>
      <c r="R1143" s="57"/>
    </row>
    <row r="1144" spans="17:18" x14ac:dyDescent="0.25">
      <c r="Q1144" s="57"/>
      <c r="R1144" s="57"/>
    </row>
    <row r="1145" spans="17:18" x14ac:dyDescent="0.25">
      <c r="Q1145" s="57"/>
      <c r="R1145" s="57"/>
    </row>
    <row r="1146" spans="17:18" x14ac:dyDescent="0.25">
      <c r="Q1146" s="57"/>
      <c r="R1146" s="57"/>
    </row>
    <row r="1147" spans="17:18" x14ac:dyDescent="0.25">
      <c r="Q1147" s="57"/>
      <c r="R1147" s="57"/>
    </row>
    <row r="1148" spans="17:18" x14ac:dyDescent="0.25">
      <c r="Q1148" s="57"/>
      <c r="R1148" s="57"/>
    </row>
    <row r="1149" spans="17:18" x14ac:dyDescent="0.25">
      <c r="Q1149" s="57"/>
      <c r="R1149" s="57"/>
    </row>
    <row r="1150" spans="17:18" x14ac:dyDescent="0.25">
      <c r="Q1150" s="57"/>
      <c r="R1150" s="57"/>
    </row>
    <row r="1151" spans="17:18" x14ac:dyDescent="0.25">
      <c r="Q1151" s="57"/>
      <c r="R1151" s="57"/>
    </row>
    <row r="1152" spans="17:18" x14ac:dyDescent="0.25">
      <c r="Q1152" s="57"/>
      <c r="R1152" s="57"/>
    </row>
    <row r="1153" spans="17:18" x14ac:dyDescent="0.25">
      <c r="Q1153" s="57"/>
      <c r="R1153" s="57"/>
    </row>
    <row r="1154" spans="17:18" x14ac:dyDescent="0.25">
      <c r="Q1154" s="57"/>
      <c r="R1154" s="57"/>
    </row>
    <row r="1155" spans="17:18" x14ac:dyDescent="0.25">
      <c r="Q1155" s="57"/>
      <c r="R1155" s="57"/>
    </row>
    <row r="1156" spans="17:18" x14ac:dyDescent="0.25">
      <c r="Q1156" s="57"/>
      <c r="R1156" s="57"/>
    </row>
    <row r="1157" spans="17:18" x14ac:dyDescent="0.25">
      <c r="Q1157" s="57"/>
      <c r="R1157" s="57"/>
    </row>
    <row r="1158" spans="17:18" x14ac:dyDescent="0.25">
      <c r="Q1158" s="57"/>
      <c r="R1158" s="57"/>
    </row>
    <row r="1159" spans="17:18" x14ac:dyDescent="0.25">
      <c r="Q1159" s="57"/>
      <c r="R1159" s="57"/>
    </row>
    <row r="1160" spans="17:18" x14ac:dyDescent="0.25">
      <c r="Q1160" s="57"/>
      <c r="R1160" s="57"/>
    </row>
    <row r="1161" spans="17:18" x14ac:dyDescent="0.25">
      <c r="Q1161" s="57"/>
      <c r="R1161" s="57"/>
    </row>
    <row r="1162" spans="17:18" x14ac:dyDescent="0.25">
      <c r="Q1162" s="57"/>
      <c r="R1162" s="57"/>
    </row>
    <row r="1163" spans="17:18" x14ac:dyDescent="0.25">
      <c r="Q1163" s="57"/>
      <c r="R1163" s="57"/>
    </row>
    <row r="1164" spans="17:18" x14ac:dyDescent="0.25">
      <c r="Q1164" s="57"/>
      <c r="R1164" s="57"/>
    </row>
    <row r="1165" spans="17:18" x14ac:dyDescent="0.25">
      <c r="Q1165" s="57"/>
      <c r="R1165" s="57"/>
    </row>
    <row r="1166" spans="17:18" x14ac:dyDescent="0.25">
      <c r="Q1166" s="57"/>
      <c r="R1166" s="57"/>
    </row>
    <row r="1167" spans="17:18" x14ac:dyDescent="0.25">
      <c r="Q1167" s="57"/>
      <c r="R1167" s="57"/>
    </row>
    <row r="1168" spans="17:18" x14ac:dyDescent="0.25">
      <c r="Q1168" s="57"/>
      <c r="R1168" s="57"/>
    </row>
    <row r="1169" spans="17:18" x14ac:dyDescent="0.25">
      <c r="Q1169" s="57"/>
      <c r="R1169" s="57"/>
    </row>
    <row r="1170" spans="17:18" x14ac:dyDescent="0.25">
      <c r="Q1170" s="57"/>
      <c r="R1170" s="57"/>
    </row>
    <row r="1171" spans="17:18" x14ac:dyDescent="0.25">
      <c r="Q1171" s="57"/>
      <c r="R1171" s="57"/>
    </row>
    <row r="1172" spans="17:18" x14ac:dyDescent="0.25">
      <c r="Q1172" s="57"/>
      <c r="R1172" s="57"/>
    </row>
    <row r="1173" spans="17:18" x14ac:dyDescent="0.25">
      <c r="Q1173" s="57"/>
      <c r="R1173" s="57"/>
    </row>
    <row r="1174" spans="17:18" x14ac:dyDescent="0.25">
      <c r="Q1174" s="57"/>
      <c r="R1174" s="57"/>
    </row>
    <row r="1175" spans="17:18" x14ac:dyDescent="0.25">
      <c r="Q1175" s="57"/>
      <c r="R1175" s="57"/>
    </row>
    <row r="1176" spans="17:18" x14ac:dyDescent="0.25">
      <c r="Q1176" s="57"/>
      <c r="R1176" s="57"/>
    </row>
    <row r="1177" spans="17:18" x14ac:dyDescent="0.25">
      <c r="Q1177" s="57"/>
      <c r="R1177" s="57"/>
    </row>
    <row r="1178" spans="17:18" x14ac:dyDescent="0.25">
      <c r="Q1178" s="57"/>
      <c r="R1178" s="57"/>
    </row>
    <row r="1179" spans="17:18" x14ac:dyDescent="0.25">
      <c r="Q1179" s="57"/>
      <c r="R1179" s="57"/>
    </row>
    <row r="1180" spans="17:18" x14ac:dyDescent="0.25">
      <c r="Q1180" s="57"/>
      <c r="R1180" s="57"/>
    </row>
    <row r="1181" spans="17:18" x14ac:dyDescent="0.25">
      <c r="Q1181" s="57"/>
      <c r="R1181" s="57"/>
    </row>
    <row r="1182" spans="17:18" x14ac:dyDescent="0.25">
      <c r="Q1182" s="57"/>
      <c r="R1182" s="57"/>
    </row>
    <row r="1183" spans="17:18" x14ac:dyDescent="0.25">
      <c r="Q1183" s="57"/>
      <c r="R1183" s="57"/>
    </row>
    <row r="1184" spans="17:18" x14ac:dyDescent="0.25">
      <c r="Q1184" s="57"/>
      <c r="R1184" s="57"/>
    </row>
    <row r="1185" spans="17:18" x14ac:dyDescent="0.25">
      <c r="Q1185" s="57"/>
      <c r="R1185" s="57"/>
    </row>
    <row r="1186" spans="17:18" x14ac:dyDescent="0.25">
      <c r="Q1186" s="57"/>
      <c r="R1186" s="57"/>
    </row>
    <row r="1187" spans="17:18" x14ac:dyDescent="0.25">
      <c r="Q1187" s="57"/>
      <c r="R1187" s="57"/>
    </row>
    <row r="1188" spans="17:18" x14ac:dyDescent="0.25">
      <c r="Q1188" s="57"/>
      <c r="R1188" s="57"/>
    </row>
    <row r="1189" spans="17:18" x14ac:dyDescent="0.25">
      <c r="Q1189" s="57"/>
      <c r="R1189" s="57"/>
    </row>
    <row r="1190" spans="17:18" x14ac:dyDescent="0.25">
      <c r="Q1190" s="57"/>
      <c r="R1190" s="57"/>
    </row>
    <row r="1191" spans="17:18" x14ac:dyDescent="0.25">
      <c r="Q1191" s="57"/>
      <c r="R1191" s="57"/>
    </row>
    <row r="1192" spans="17:18" x14ac:dyDescent="0.25">
      <c r="Q1192" s="57"/>
      <c r="R1192" s="57"/>
    </row>
    <row r="1193" spans="17:18" x14ac:dyDescent="0.25">
      <c r="Q1193" s="57"/>
      <c r="R1193" s="57"/>
    </row>
    <row r="1194" spans="17:18" x14ac:dyDescent="0.25">
      <c r="Q1194" s="57"/>
      <c r="R1194" s="57"/>
    </row>
    <row r="1195" spans="17:18" x14ac:dyDescent="0.25">
      <c r="Q1195" s="57"/>
      <c r="R1195" s="57"/>
    </row>
    <row r="1196" spans="17:18" x14ac:dyDescent="0.25">
      <c r="Q1196" s="57"/>
      <c r="R1196" s="57"/>
    </row>
    <row r="1197" spans="17:18" x14ac:dyDescent="0.25">
      <c r="Q1197" s="57"/>
      <c r="R1197" s="57"/>
    </row>
    <row r="1198" spans="17:18" x14ac:dyDescent="0.25">
      <c r="Q1198" s="57"/>
      <c r="R1198" s="57"/>
    </row>
    <row r="1199" spans="17:18" x14ac:dyDescent="0.25">
      <c r="Q1199" s="57"/>
      <c r="R1199" s="57"/>
    </row>
    <row r="1200" spans="17:18" x14ac:dyDescent="0.25">
      <c r="Q1200" s="57"/>
      <c r="R1200" s="57"/>
    </row>
    <row r="1201" spans="17:18" x14ac:dyDescent="0.25">
      <c r="Q1201" s="57"/>
      <c r="R1201" s="57"/>
    </row>
    <row r="1202" spans="17:18" x14ac:dyDescent="0.25">
      <c r="Q1202" s="57"/>
      <c r="R1202" s="57"/>
    </row>
    <row r="1203" spans="17:18" x14ac:dyDescent="0.25">
      <c r="Q1203" s="57"/>
      <c r="R1203" s="57"/>
    </row>
    <row r="1204" spans="17:18" x14ac:dyDescent="0.25">
      <c r="Q1204" s="57"/>
      <c r="R1204" s="57"/>
    </row>
    <row r="1205" spans="17:18" x14ac:dyDescent="0.25">
      <c r="Q1205" s="57"/>
      <c r="R1205" s="57"/>
    </row>
    <row r="1206" spans="17:18" x14ac:dyDescent="0.25">
      <c r="Q1206" s="57"/>
      <c r="R1206" s="57"/>
    </row>
    <row r="1207" spans="17:18" x14ac:dyDescent="0.25">
      <c r="Q1207" s="57"/>
      <c r="R1207" s="57"/>
    </row>
    <row r="1208" spans="17:18" x14ac:dyDescent="0.25">
      <c r="Q1208" s="57"/>
      <c r="R1208" s="57"/>
    </row>
    <row r="1209" spans="17:18" x14ac:dyDescent="0.25">
      <c r="Q1209" s="57"/>
      <c r="R1209" s="57"/>
    </row>
    <row r="1210" spans="17:18" x14ac:dyDescent="0.25">
      <c r="Q1210" s="57"/>
      <c r="R1210" s="57"/>
    </row>
    <row r="1211" spans="17:18" x14ac:dyDescent="0.25">
      <c r="Q1211" s="57"/>
      <c r="R1211" s="57"/>
    </row>
    <row r="1212" spans="17:18" x14ac:dyDescent="0.25">
      <c r="Q1212" s="57"/>
      <c r="R1212" s="57"/>
    </row>
    <row r="1213" spans="17:18" x14ac:dyDescent="0.25">
      <c r="Q1213" s="57"/>
      <c r="R1213" s="57"/>
    </row>
    <row r="1214" spans="17:18" x14ac:dyDescent="0.25">
      <c r="Q1214" s="57"/>
      <c r="R1214" s="57"/>
    </row>
    <row r="1215" spans="17:18" x14ac:dyDescent="0.25">
      <c r="Q1215" s="57"/>
      <c r="R1215" s="57"/>
    </row>
    <row r="1216" spans="17:18" x14ac:dyDescent="0.25">
      <c r="Q1216" s="57"/>
      <c r="R1216" s="57"/>
    </row>
    <row r="1217" spans="17:18" x14ac:dyDescent="0.25">
      <c r="Q1217" s="57"/>
      <c r="R1217" s="57"/>
    </row>
    <row r="1218" spans="17:18" x14ac:dyDescent="0.25">
      <c r="Q1218" s="57"/>
      <c r="R1218" s="57"/>
    </row>
    <row r="1219" spans="17:18" x14ac:dyDescent="0.25">
      <c r="Q1219" s="57"/>
      <c r="R1219" s="57"/>
    </row>
    <row r="1220" spans="17:18" x14ac:dyDescent="0.25">
      <c r="Q1220" s="57"/>
      <c r="R1220" s="57"/>
    </row>
    <row r="1221" spans="17:18" x14ac:dyDescent="0.25">
      <c r="Q1221" s="57"/>
      <c r="R1221" s="57"/>
    </row>
    <row r="1222" spans="17:18" x14ac:dyDescent="0.25">
      <c r="Q1222" s="57"/>
      <c r="R1222" s="57"/>
    </row>
    <row r="1223" spans="17:18" x14ac:dyDescent="0.25">
      <c r="Q1223" s="57"/>
      <c r="R1223" s="57"/>
    </row>
    <row r="1224" spans="17:18" x14ac:dyDescent="0.25">
      <c r="Q1224" s="57"/>
      <c r="R1224" s="57"/>
    </row>
    <row r="1225" spans="17:18" x14ac:dyDescent="0.25">
      <c r="Q1225" s="57"/>
      <c r="R1225" s="57"/>
    </row>
    <row r="1226" spans="17:18" x14ac:dyDescent="0.25">
      <c r="Q1226" s="57"/>
      <c r="R1226" s="57"/>
    </row>
    <row r="1227" spans="17:18" x14ac:dyDescent="0.25">
      <c r="Q1227" s="57"/>
      <c r="R1227" s="57"/>
    </row>
    <row r="1228" spans="17:18" x14ac:dyDescent="0.25">
      <c r="Q1228" s="57"/>
      <c r="R1228" s="57"/>
    </row>
    <row r="1229" spans="17:18" x14ac:dyDescent="0.25">
      <c r="Q1229" s="57"/>
      <c r="R1229" s="57"/>
    </row>
    <row r="1230" spans="17:18" x14ac:dyDescent="0.25">
      <c r="Q1230" s="57"/>
      <c r="R1230" s="57"/>
    </row>
    <row r="1231" spans="17:18" x14ac:dyDescent="0.25">
      <c r="Q1231" s="57"/>
      <c r="R1231" s="57"/>
    </row>
    <row r="1232" spans="17:18" x14ac:dyDescent="0.25">
      <c r="Q1232" s="57"/>
      <c r="R1232" s="57"/>
    </row>
    <row r="1233" spans="17:18" x14ac:dyDescent="0.25">
      <c r="Q1233" s="57"/>
      <c r="R1233" s="57"/>
    </row>
    <row r="1234" spans="17:18" x14ac:dyDescent="0.25">
      <c r="Q1234" s="57"/>
      <c r="R1234" s="57"/>
    </row>
    <row r="1235" spans="17:18" x14ac:dyDescent="0.25">
      <c r="Q1235" s="57"/>
      <c r="R1235" s="57"/>
    </row>
    <row r="1236" spans="17:18" x14ac:dyDescent="0.25">
      <c r="Q1236" s="57"/>
      <c r="R1236" s="57"/>
    </row>
    <row r="1237" spans="17:18" x14ac:dyDescent="0.25">
      <c r="Q1237" s="57"/>
      <c r="R1237" s="57"/>
    </row>
    <row r="1238" spans="17:18" x14ac:dyDescent="0.25">
      <c r="Q1238" s="57"/>
      <c r="R1238" s="57"/>
    </row>
    <row r="1239" spans="17:18" x14ac:dyDescent="0.25">
      <c r="Q1239" s="57"/>
      <c r="R1239" s="57"/>
    </row>
    <row r="1240" spans="17:18" x14ac:dyDescent="0.25">
      <c r="Q1240" s="57"/>
      <c r="R1240" s="57"/>
    </row>
    <row r="1241" spans="17:18" x14ac:dyDescent="0.25">
      <c r="Q1241" s="57"/>
      <c r="R1241" s="57"/>
    </row>
    <row r="1242" spans="17:18" x14ac:dyDescent="0.25">
      <c r="Q1242" s="57"/>
      <c r="R1242" s="57"/>
    </row>
    <row r="1243" spans="17:18" x14ac:dyDescent="0.25">
      <c r="Q1243" s="57"/>
      <c r="R1243" s="57"/>
    </row>
    <row r="1244" spans="17:18" x14ac:dyDescent="0.25">
      <c r="Q1244" s="57"/>
      <c r="R1244" s="57"/>
    </row>
    <row r="1245" spans="17:18" x14ac:dyDescent="0.25">
      <c r="Q1245" s="57"/>
      <c r="R1245" s="57"/>
    </row>
    <row r="1246" spans="17:18" x14ac:dyDescent="0.25">
      <c r="Q1246" s="57"/>
      <c r="R1246" s="57"/>
    </row>
    <row r="1247" spans="17:18" x14ac:dyDescent="0.25">
      <c r="Q1247" s="57"/>
      <c r="R1247" s="57"/>
    </row>
    <row r="1248" spans="17:18" x14ac:dyDescent="0.25">
      <c r="Q1248" s="57"/>
      <c r="R1248" s="57"/>
    </row>
    <row r="1249" spans="17:18" x14ac:dyDescent="0.25">
      <c r="Q1249" s="57"/>
      <c r="R1249" s="57"/>
    </row>
    <row r="1250" spans="17:18" x14ac:dyDescent="0.25">
      <c r="Q1250" s="57"/>
      <c r="R1250" s="57"/>
    </row>
    <row r="1251" spans="17:18" x14ac:dyDescent="0.25">
      <c r="Q1251" s="57"/>
      <c r="R1251" s="57"/>
    </row>
    <row r="1252" spans="17:18" x14ac:dyDescent="0.25">
      <c r="Q1252" s="57"/>
      <c r="R1252" s="57"/>
    </row>
    <row r="1253" spans="17:18" x14ac:dyDescent="0.25">
      <c r="Q1253" s="57"/>
      <c r="R1253" s="57"/>
    </row>
    <row r="1254" spans="17:18" x14ac:dyDescent="0.25">
      <c r="Q1254" s="57"/>
      <c r="R1254" s="57"/>
    </row>
    <row r="1255" spans="17:18" x14ac:dyDescent="0.25">
      <c r="Q1255" s="57"/>
      <c r="R1255" s="57"/>
    </row>
    <row r="1256" spans="17:18" x14ac:dyDescent="0.25">
      <c r="Q1256" s="57"/>
      <c r="R1256" s="57"/>
    </row>
    <row r="1257" spans="17:18" x14ac:dyDescent="0.25">
      <c r="Q1257" s="57"/>
      <c r="R1257" s="57"/>
    </row>
    <row r="1258" spans="17:18" x14ac:dyDescent="0.25">
      <c r="Q1258" s="57"/>
      <c r="R1258" s="57"/>
    </row>
    <row r="1259" spans="17:18" x14ac:dyDescent="0.25">
      <c r="Q1259" s="57"/>
      <c r="R1259" s="57"/>
    </row>
    <row r="1260" spans="17:18" x14ac:dyDescent="0.25">
      <c r="Q1260" s="57"/>
      <c r="R1260" s="57"/>
    </row>
    <row r="1261" spans="17:18" x14ac:dyDescent="0.25">
      <c r="Q1261" s="57"/>
      <c r="R1261" s="57"/>
    </row>
    <row r="1262" spans="17:18" x14ac:dyDescent="0.25">
      <c r="Q1262" s="57"/>
      <c r="R1262" s="57"/>
    </row>
    <row r="1263" spans="17:18" x14ac:dyDescent="0.25">
      <c r="Q1263" s="57"/>
      <c r="R1263" s="57"/>
    </row>
    <row r="1264" spans="17:18" x14ac:dyDescent="0.25">
      <c r="Q1264" s="57"/>
      <c r="R1264" s="57"/>
    </row>
    <row r="1265" spans="17:18" x14ac:dyDescent="0.25">
      <c r="Q1265" s="57"/>
      <c r="R1265" s="57"/>
    </row>
    <row r="1266" spans="17:18" x14ac:dyDescent="0.25">
      <c r="Q1266" s="57"/>
      <c r="R1266" s="57"/>
    </row>
    <row r="1267" spans="17:18" x14ac:dyDescent="0.25">
      <c r="Q1267" s="57"/>
      <c r="R1267" s="57"/>
    </row>
    <row r="1268" spans="17:18" x14ac:dyDescent="0.25">
      <c r="Q1268" s="57"/>
      <c r="R1268" s="57"/>
    </row>
    <row r="1269" spans="17:18" x14ac:dyDescent="0.25">
      <c r="Q1269" s="57"/>
      <c r="R1269" s="57"/>
    </row>
    <row r="1270" spans="17:18" x14ac:dyDescent="0.25">
      <c r="Q1270" s="57"/>
      <c r="R1270" s="57"/>
    </row>
    <row r="1271" spans="17:18" x14ac:dyDescent="0.25">
      <c r="Q1271" s="57"/>
      <c r="R1271" s="57"/>
    </row>
    <row r="1272" spans="17:18" x14ac:dyDescent="0.25">
      <c r="Q1272" s="57"/>
      <c r="R1272" s="57"/>
    </row>
    <row r="1273" spans="17:18" x14ac:dyDescent="0.25">
      <c r="Q1273" s="57"/>
      <c r="R1273" s="57"/>
    </row>
    <row r="1274" spans="17:18" x14ac:dyDescent="0.25">
      <c r="Q1274" s="57"/>
      <c r="R1274" s="57"/>
    </row>
    <row r="1275" spans="17:18" x14ac:dyDescent="0.25">
      <c r="Q1275" s="57"/>
      <c r="R1275" s="57"/>
    </row>
    <row r="1276" spans="17:18" x14ac:dyDescent="0.25">
      <c r="Q1276" s="57"/>
      <c r="R1276" s="57"/>
    </row>
    <row r="1277" spans="17:18" x14ac:dyDescent="0.25">
      <c r="Q1277" s="57"/>
      <c r="R1277" s="57"/>
    </row>
    <row r="1278" spans="17:18" x14ac:dyDescent="0.25">
      <c r="Q1278" s="57"/>
      <c r="R1278" s="57"/>
    </row>
    <row r="1279" spans="17:18" x14ac:dyDescent="0.25">
      <c r="Q1279" s="57"/>
      <c r="R1279" s="57"/>
    </row>
    <row r="1280" spans="17:18" x14ac:dyDescent="0.25">
      <c r="Q1280" s="57"/>
      <c r="R1280" s="57"/>
    </row>
    <row r="1281" spans="17:18" x14ac:dyDescent="0.25">
      <c r="Q1281" s="57"/>
      <c r="R1281" s="57"/>
    </row>
    <row r="1282" spans="17:18" x14ac:dyDescent="0.25">
      <c r="Q1282" s="57"/>
      <c r="R1282" s="57"/>
    </row>
    <row r="1283" spans="17:18" x14ac:dyDescent="0.25">
      <c r="Q1283" s="57"/>
      <c r="R1283" s="57"/>
    </row>
    <row r="1284" spans="17:18" x14ac:dyDescent="0.25">
      <c r="Q1284" s="57"/>
      <c r="R1284" s="57"/>
    </row>
    <row r="1285" spans="17:18" x14ac:dyDescent="0.25">
      <c r="Q1285" s="57"/>
      <c r="R1285" s="57"/>
    </row>
    <row r="1286" spans="17:18" x14ac:dyDescent="0.25">
      <c r="Q1286" s="57"/>
      <c r="R1286" s="57"/>
    </row>
    <row r="1287" spans="17:18" x14ac:dyDescent="0.25">
      <c r="Q1287" s="57"/>
      <c r="R1287" s="57"/>
    </row>
    <row r="1288" spans="17:18" x14ac:dyDescent="0.25">
      <c r="Q1288" s="57"/>
      <c r="R1288" s="57"/>
    </row>
    <row r="1289" spans="17:18" x14ac:dyDescent="0.25">
      <c r="Q1289" s="57"/>
      <c r="R1289" s="57"/>
    </row>
    <row r="1290" spans="17:18" x14ac:dyDescent="0.25">
      <c r="Q1290" s="57"/>
      <c r="R1290" s="57"/>
    </row>
    <row r="1291" spans="17:18" x14ac:dyDescent="0.25">
      <c r="Q1291" s="57"/>
      <c r="R1291" s="57"/>
    </row>
    <row r="1292" spans="17:18" x14ac:dyDescent="0.25">
      <c r="Q1292" s="57"/>
      <c r="R1292" s="57"/>
    </row>
    <row r="1293" spans="17:18" x14ac:dyDescent="0.25">
      <c r="Q1293" s="57"/>
      <c r="R1293" s="57"/>
    </row>
    <row r="1294" spans="17:18" x14ac:dyDescent="0.25">
      <c r="Q1294" s="57"/>
      <c r="R1294" s="57"/>
    </row>
    <row r="1295" spans="17:18" x14ac:dyDescent="0.25">
      <c r="Q1295" s="57"/>
      <c r="R1295" s="57"/>
    </row>
    <row r="1296" spans="17:18" x14ac:dyDescent="0.25">
      <c r="Q1296" s="57"/>
      <c r="R1296" s="57"/>
    </row>
    <row r="1297" spans="17:18" x14ac:dyDescent="0.25">
      <c r="Q1297" s="57"/>
      <c r="R1297" s="57"/>
    </row>
    <row r="1298" spans="17:18" x14ac:dyDescent="0.25">
      <c r="Q1298" s="57"/>
      <c r="R1298" s="57"/>
    </row>
    <row r="1299" spans="17:18" x14ac:dyDescent="0.25">
      <c r="Q1299" s="57"/>
      <c r="R1299" s="57"/>
    </row>
    <row r="1300" spans="17:18" x14ac:dyDescent="0.25">
      <c r="Q1300" s="57"/>
      <c r="R1300" s="57"/>
    </row>
    <row r="1301" spans="17:18" x14ac:dyDescent="0.25">
      <c r="Q1301" s="57"/>
      <c r="R1301" s="57"/>
    </row>
    <row r="1302" spans="17:18" x14ac:dyDescent="0.25">
      <c r="Q1302" s="57"/>
      <c r="R1302" s="57"/>
    </row>
    <row r="1303" spans="17:18" x14ac:dyDescent="0.25">
      <c r="Q1303" s="57"/>
      <c r="R1303" s="57"/>
    </row>
    <row r="1304" spans="17:18" x14ac:dyDescent="0.25">
      <c r="Q1304" s="57"/>
      <c r="R1304" s="57"/>
    </row>
    <row r="1305" spans="17:18" x14ac:dyDescent="0.25">
      <c r="Q1305" s="57"/>
      <c r="R1305" s="57"/>
    </row>
    <row r="1306" spans="17:18" x14ac:dyDescent="0.25">
      <c r="Q1306" s="57"/>
      <c r="R1306" s="57"/>
    </row>
    <row r="1307" spans="17:18" x14ac:dyDescent="0.25">
      <c r="Q1307" s="57"/>
      <c r="R1307" s="57"/>
    </row>
    <row r="1308" spans="17:18" x14ac:dyDescent="0.25">
      <c r="Q1308" s="57"/>
      <c r="R1308" s="57"/>
    </row>
    <row r="1309" spans="17:18" x14ac:dyDescent="0.25">
      <c r="Q1309" s="57"/>
      <c r="R1309" s="57"/>
    </row>
    <row r="1310" spans="17:18" x14ac:dyDescent="0.25">
      <c r="Q1310" s="57"/>
      <c r="R1310" s="57"/>
    </row>
    <row r="1311" spans="17:18" x14ac:dyDescent="0.25">
      <c r="Q1311" s="57"/>
      <c r="R1311" s="57"/>
    </row>
    <row r="1312" spans="17:18" x14ac:dyDescent="0.25">
      <c r="Q1312" s="57"/>
      <c r="R1312" s="57"/>
    </row>
    <row r="1313" spans="17:18" x14ac:dyDescent="0.25">
      <c r="Q1313" s="57"/>
      <c r="R1313" s="57"/>
    </row>
    <row r="1314" spans="17:18" x14ac:dyDescent="0.25">
      <c r="Q1314" s="57"/>
      <c r="R1314" s="57"/>
    </row>
    <row r="1315" spans="17:18" x14ac:dyDescent="0.25">
      <c r="Q1315" s="57"/>
      <c r="R1315" s="57"/>
    </row>
    <row r="1316" spans="17:18" x14ac:dyDescent="0.25">
      <c r="Q1316" s="57"/>
      <c r="R1316" s="57"/>
    </row>
    <row r="1317" spans="17:18" x14ac:dyDescent="0.25">
      <c r="Q1317" s="57"/>
      <c r="R1317" s="57"/>
    </row>
    <row r="1318" spans="17:18" x14ac:dyDescent="0.25">
      <c r="Q1318" s="57"/>
      <c r="R1318" s="57"/>
    </row>
    <row r="1319" spans="17:18" x14ac:dyDescent="0.25">
      <c r="Q1319" s="57"/>
      <c r="R1319" s="57"/>
    </row>
    <row r="1320" spans="17:18" x14ac:dyDescent="0.25">
      <c r="Q1320" s="57"/>
      <c r="R1320" s="57"/>
    </row>
    <row r="1321" spans="17:18" x14ac:dyDescent="0.25">
      <c r="Q1321" s="57"/>
      <c r="R1321" s="57"/>
    </row>
    <row r="1322" spans="17:18" x14ac:dyDescent="0.25">
      <c r="Q1322" s="57"/>
      <c r="R1322" s="57"/>
    </row>
    <row r="1323" spans="17:18" x14ac:dyDescent="0.25">
      <c r="Q1323" s="57"/>
      <c r="R1323" s="57"/>
    </row>
    <row r="1324" spans="17:18" x14ac:dyDescent="0.25">
      <c r="Q1324" s="57"/>
      <c r="R1324" s="57"/>
    </row>
    <row r="1325" spans="17:18" x14ac:dyDescent="0.25">
      <c r="Q1325" s="57"/>
      <c r="R1325" s="57"/>
    </row>
    <row r="1326" spans="17:18" x14ac:dyDescent="0.25">
      <c r="Q1326" s="57"/>
      <c r="R1326" s="57"/>
    </row>
    <row r="1327" spans="17:18" x14ac:dyDescent="0.25">
      <c r="Q1327" s="57"/>
      <c r="R1327" s="57"/>
    </row>
    <row r="1328" spans="17:18" x14ac:dyDescent="0.25">
      <c r="Q1328" s="57"/>
      <c r="R1328" s="57"/>
    </row>
    <row r="1329" spans="17:18" x14ac:dyDescent="0.25">
      <c r="Q1329" s="57"/>
      <c r="R1329" s="57"/>
    </row>
    <row r="1330" spans="17:18" x14ac:dyDescent="0.25">
      <c r="Q1330" s="57"/>
      <c r="R1330" s="57"/>
    </row>
    <row r="1331" spans="17:18" x14ac:dyDescent="0.25">
      <c r="Q1331" s="57"/>
      <c r="R1331" s="57"/>
    </row>
    <row r="1332" spans="17:18" x14ac:dyDescent="0.25">
      <c r="Q1332" s="57"/>
      <c r="R1332" s="57"/>
    </row>
    <row r="1333" spans="17:18" x14ac:dyDescent="0.25">
      <c r="Q1333" s="57"/>
      <c r="R1333" s="57"/>
    </row>
    <row r="1334" spans="17:18" x14ac:dyDescent="0.25">
      <c r="Q1334" s="57"/>
      <c r="R1334" s="57"/>
    </row>
    <row r="1335" spans="17:18" x14ac:dyDescent="0.25">
      <c r="Q1335" s="57"/>
      <c r="R1335" s="57"/>
    </row>
    <row r="1336" spans="17:18" x14ac:dyDescent="0.25">
      <c r="Q1336" s="57"/>
      <c r="R1336" s="57"/>
    </row>
    <row r="1337" spans="17:18" x14ac:dyDescent="0.25">
      <c r="Q1337" s="57"/>
      <c r="R1337" s="57"/>
    </row>
    <row r="1338" spans="17:18" x14ac:dyDescent="0.25">
      <c r="Q1338" s="57"/>
      <c r="R1338" s="57"/>
    </row>
    <row r="1339" spans="17:18" x14ac:dyDescent="0.25">
      <c r="Q1339" s="57"/>
      <c r="R1339" s="57"/>
    </row>
    <row r="1340" spans="17:18" x14ac:dyDescent="0.25">
      <c r="Q1340" s="57"/>
      <c r="R1340" s="57"/>
    </row>
    <row r="1341" spans="17:18" x14ac:dyDescent="0.25">
      <c r="Q1341" s="57"/>
      <c r="R1341" s="57"/>
    </row>
    <row r="1342" spans="17:18" x14ac:dyDescent="0.25">
      <c r="Q1342" s="57"/>
      <c r="R1342" s="57"/>
    </row>
    <row r="1343" spans="17:18" x14ac:dyDescent="0.25">
      <c r="Q1343" s="57"/>
      <c r="R1343" s="57"/>
    </row>
    <row r="1344" spans="17:18" x14ac:dyDescent="0.25">
      <c r="Q1344" s="57"/>
      <c r="R1344" s="57"/>
    </row>
    <row r="1345" spans="17:18" x14ac:dyDescent="0.25">
      <c r="Q1345" s="57"/>
      <c r="R1345" s="57"/>
    </row>
    <row r="1346" spans="17:18" x14ac:dyDescent="0.25">
      <c r="Q1346" s="57"/>
      <c r="R1346" s="57"/>
    </row>
    <row r="1347" spans="17:18" x14ac:dyDescent="0.25">
      <c r="Q1347" s="57"/>
      <c r="R1347" s="57"/>
    </row>
    <row r="1348" spans="17:18" x14ac:dyDescent="0.25">
      <c r="Q1348" s="57"/>
      <c r="R1348" s="57"/>
    </row>
    <row r="1349" spans="17:18" x14ac:dyDescent="0.25">
      <c r="Q1349" s="57"/>
      <c r="R1349" s="57"/>
    </row>
    <row r="1350" spans="17:18" x14ac:dyDescent="0.25">
      <c r="Q1350" s="57"/>
      <c r="R1350" s="57"/>
    </row>
    <row r="1351" spans="17:18" x14ac:dyDescent="0.25">
      <c r="Q1351" s="57"/>
      <c r="R1351" s="57"/>
    </row>
    <row r="1352" spans="17:18" x14ac:dyDescent="0.25">
      <c r="Q1352" s="57"/>
      <c r="R1352" s="57"/>
    </row>
    <row r="1353" spans="17:18" x14ac:dyDescent="0.25">
      <c r="Q1353" s="57"/>
      <c r="R1353" s="57"/>
    </row>
    <row r="1354" spans="17:18" x14ac:dyDescent="0.25">
      <c r="Q1354" s="57"/>
      <c r="R1354" s="57"/>
    </row>
    <row r="1355" spans="17:18" x14ac:dyDescent="0.25">
      <c r="Q1355" s="57"/>
      <c r="R1355" s="57"/>
    </row>
    <row r="1356" spans="17:18" x14ac:dyDescent="0.25">
      <c r="Q1356" s="57"/>
      <c r="R1356" s="57"/>
    </row>
    <row r="1357" spans="17:18" x14ac:dyDescent="0.25">
      <c r="Q1357" s="57"/>
      <c r="R1357" s="57"/>
    </row>
    <row r="1358" spans="17:18" x14ac:dyDescent="0.25">
      <c r="Q1358" s="57"/>
      <c r="R1358" s="57"/>
    </row>
    <row r="1359" spans="17:18" x14ac:dyDescent="0.25">
      <c r="Q1359" s="57"/>
      <c r="R1359" s="57"/>
    </row>
    <row r="1360" spans="17:18" x14ac:dyDescent="0.25">
      <c r="Q1360" s="57"/>
      <c r="R1360" s="57"/>
    </row>
    <row r="1361" spans="17:18" x14ac:dyDescent="0.25">
      <c r="Q1361" s="57"/>
      <c r="R1361" s="57"/>
    </row>
    <row r="1362" spans="17:18" x14ac:dyDescent="0.25">
      <c r="Q1362" s="57"/>
      <c r="R1362" s="57"/>
    </row>
    <row r="1363" spans="17:18" x14ac:dyDescent="0.25">
      <c r="Q1363" s="57"/>
      <c r="R1363" s="57"/>
    </row>
    <row r="1364" spans="17:18" x14ac:dyDescent="0.25">
      <c r="Q1364" s="57"/>
      <c r="R1364" s="57"/>
    </row>
    <row r="1365" spans="17:18" x14ac:dyDescent="0.25">
      <c r="Q1365" s="57"/>
      <c r="R1365" s="57"/>
    </row>
    <row r="1366" spans="17:18" x14ac:dyDescent="0.25">
      <c r="Q1366" s="57"/>
      <c r="R1366" s="57"/>
    </row>
    <row r="1367" spans="17:18" x14ac:dyDescent="0.25">
      <c r="Q1367" s="57"/>
      <c r="R1367" s="57"/>
    </row>
    <row r="1368" spans="17:18" x14ac:dyDescent="0.25">
      <c r="Q1368" s="57"/>
      <c r="R1368" s="57"/>
    </row>
    <row r="1369" spans="17:18" x14ac:dyDescent="0.25">
      <c r="Q1369" s="57"/>
      <c r="R1369" s="57"/>
    </row>
    <row r="1370" spans="17:18" x14ac:dyDescent="0.25">
      <c r="Q1370" s="57"/>
      <c r="R1370" s="57"/>
    </row>
    <row r="1371" spans="17:18" x14ac:dyDescent="0.25">
      <c r="Q1371" s="57"/>
      <c r="R1371" s="57"/>
    </row>
    <row r="1372" spans="17:18" x14ac:dyDescent="0.25">
      <c r="Q1372" s="57"/>
      <c r="R1372" s="57"/>
    </row>
    <row r="1373" spans="17:18" x14ac:dyDescent="0.25">
      <c r="Q1373" s="57"/>
      <c r="R1373" s="57"/>
    </row>
    <row r="1374" spans="17:18" x14ac:dyDescent="0.25">
      <c r="Q1374" s="57"/>
      <c r="R1374" s="57"/>
    </row>
    <row r="1375" spans="17:18" x14ac:dyDescent="0.25">
      <c r="Q1375" s="57"/>
      <c r="R1375" s="57"/>
    </row>
    <row r="1376" spans="17:18" x14ac:dyDescent="0.25">
      <c r="Q1376" s="57"/>
      <c r="R1376" s="57"/>
    </row>
    <row r="1377" spans="17:18" x14ac:dyDescent="0.25">
      <c r="Q1377" s="57"/>
      <c r="R1377" s="57"/>
    </row>
    <row r="1378" spans="17:18" x14ac:dyDescent="0.25">
      <c r="Q1378" s="57"/>
      <c r="R1378" s="57"/>
    </row>
    <row r="1379" spans="17:18" x14ac:dyDescent="0.25">
      <c r="Q1379" s="57"/>
      <c r="R1379" s="57"/>
    </row>
    <row r="1380" spans="17:18" x14ac:dyDescent="0.25">
      <c r="Q1380" s="57"/>
      <c r="R1380" s="57"/>
    </row>
    <row r="1381" spans="17:18" x14ac:dyDescent="0.25">
      <c r="Q1381" s="57"/>
      <c r="R1381" s="57"/>
    </row>
    <row r="1382" spans="17:18" x14ac:dyDescent="0.25">
      <c r="Q1382" s="57"/>
      <c r="R1382" s="57"/>
    </row>
    <row r="1383" spans="17:18" x14ac:dyDescent="0.25">
      <c r="Q1383" s="57"/>
      <c r="R1383" s="57"/>
    </row>
    <row r="1384" spans="17:18" x14ac:dyDescent="0.25">
      <c r="Q1384" s="57"/>
      <c r="R1384" s="57"/>
    </row>
    <row r="1385" spans="17:18" x14ac:dyDescent="0.25">
      <c r="Q1385" s="57"/>
      <c r="R1385" s="57"/>
    </row>
    <row r="1386" spans="17:18" x14ac:dyDescent="0.25">
      <c r="Q1386" s="57"/>
      <c r="R1386" s="57"/>
    </row>
    <row r="1387" spans="17:18" x14ac:dyDescent="0.25">
      <c r="Q1387" s="57"/>
      <c r="R1387" s="57"/>
    </row>
    <row r="1388" spans="17:18" x14ac:dyDescent="0.25">
      <c r="Q1388" s="57"/>
      <c r="R1388" s="57"/>
    </row>
    <row r="1389" spans="17:18" x14ac:dyDescent="0.25">
      <c r="Q1389" s="57"/>
      <c r="R1389" s="57"/>
    </row>
    <row r="1390" spans="17:18" x14ac:dyDescent="0.25">
      <c r="Q1390" s="57"/>
      <c r="R1390" s="57"/>
    </row>
    <row r="1391" spans="17:18" x14ac:dyDescent="0.25">
      <c r="Q1391" s="57"/>
      <c r="R1391" s="57"/>
    </row>
    <row r="1392" spans="17:18" x14ac:dyDescent="0.25">
      <c r="Q1392" s="57"/>
      <c r="R1392" s="57"/>
    </row>
    <row r="1393" spans="17:18" x14ac:dyDescent="0.25">
      <c r="Q1393" s="57"/>
      <c r="R1393" s="57"/>
    </row>
    <row r="1394" spans="17:18" x14ac:dyDescent="0.25">
      <c r="Q1394" s="57"/>
      <c r="R1394" s="57"/>
    </row>
    <row r="1395" spans="17:18" x14ac:dyDescent="0.25">
      <c r="Q1395" s="57"/>
      <c r="R1395" s="57"/>
    </row>
    <row r="1396" spans="17:18" x14ac:dyDescent="0.25">
      <c r="Q1396" s="57"/>
      <c r="R1396" s="57"/>
    </row>
    <row r="1397" spans="17:18" x14ac:dyDescent="0.25">
      <c r="Q1397" s="57"/>
      <c r="R1397" s="57"/>
    </row>
    <row r="1398" spans="17:18" x14ac:dyDescent="0.25">
      <c r="Q1398" s="57"/>
      <c r="R1398" s="57"/>
    </row>
    <row r="1399" spans="17:18" x14ac:dyDescent="0.25">
      <c r="Q1399" s="57"/>
      <c r="R1399" s="57"/>
    </row>
    <row r="1400" spans="17:18" x14ac:dyDescent="0.25">
      <c r="Q1400" s="57"/>
      <c r="R1400" s="57"/>
    </row>
    <row r="1401" spans="17:18" x14ac:dyDescent="0.25">
      <c r="Q1401" s="57"/>
      <c r="R1401" s="57"/>
    </row>
    <row r="1402" spans="17:18" x14ac:dyDescent="0.25">
      <c r="Q1402" s="57"/>
      <c r="R1402" s="57"/>
    </row>
    <row r="1403" spans="17:18" x14ac:dyDescent="0.25">
      <c r="Q1403" s="57"/>
      <c r="R1403" s="57"/>
    </row>
    <row r="1404" spans="17:18" x14ac:dyDescent="0.25">
      <c r="Q1404" s="57"/>
      <c r="R1404" s="57"/>
    </row>
    <row r="1405" spans="17:18" x14ac:dyDescent="0.25">
      <c r="Q1405" s="57"/>
      <c r="R1405" s="57"/>
    </row>
    <row r="1406" spans="17:18" x14ac:dyDescent="0.25">
      <c r="Q1406" s="57"/>
      <c r="R1406" s="57"/>
    </row>
    <row r="1407" spans="17:18" x14ac:dyDescent="0.25">
      <c r="Q1407" s="57"/>
      <c r="R1407" s="57"/>
    </row>
    <row r="1408" spans="17:18" x14ac:dyDescent="0.25">
      <c r="Q1408" s="57"/>
      <c r="R1408" s="57"/>
    </row>
    <row r="1409" spans="17:18" x14ac:dyDescent="0.25">
      <c r="Q1409" s="57"/>
      <c r="R1409" s="57"/>
    </row>
    <row r="1410" spans="17:18" x14ac:dyDescent="0.25">
      <c r="Q1410" s="57"/>
      <c r="R1410" s="57"/>
    </row>
    <row r="1411" spans="17:18" x14ac:dyDescent="0.25">
      <c r="Q1411" s="57"/>
      <c r="R1411" s="57"/>
    </row>
    <row r="1412" spans="17:18" x14ac:dyDescent="0.25">
      <c r="Q1412" s="57"/>
      <c r="R1412" s="57"/>
    </row>
    <row r="1413" spans="17:18" x14ac:dyDescent="0.25">
      <c r="Q1413" s="57"/>
      <c r="R1413" s="57"/>
    </row>
    <row r="1414" spans="17:18" x14ac:dyDescent="0.25">
      <c r="Q1414" s="57"/>
      <c r="R1414" s="57"/>
    </row>
    <row r="1415" spans="17:18" x14ac:dyDescent="0.25">
      <c r="Q1415" s="57"/>
      <c r="R1415" s="57"/>
    </row>
    <row r="1416" spans="17:18" x14ac:dyDescent="0.25">
      <c r="Q1416" s="57"/>
      <c r="R1416" s="57"/>
    </row>
    <row r="1417" spans="17:18" x14ac:dyDescent="0.25">
      <c r="Q1417" s="57"/>
      <c r="R1417" s="57"/>
    </row>
    <row r="1418" spans="17:18" x14ac:dyDescent="0.25">
      <c r="Q1418" s="57"/>
      <c r="R1418" s="57"/>
    </row>
    <row r="1419" spans="17:18" x14ac:dyDescent="0.25">
      <c r="Q1419" s="57"/>
      <c r="R1419" s="57"/>
    </row>
    <row r="1420" spans="17:18" x14ac:dyDescent="0.25">
      <c r="Q1420" s="57"/>
      <c r="R1420" s="57"/>
    </row>
    <row r="1421" spans="17:18" x14ac:dyDescent="0.25">
      <c r="Q1421" s="57"/>
      <c r="R1421" s="57"/>
    </row>
    <row r="1422" spans="17:18" x14ac:dyDescent="0.25">
      <c r="Q1422" s="57"/>
      <c r="R1422" s="57"/>
    </row>
    <row r="1423" spans="17:18" x14ac:dyDescent="0.25">
      <c r="Q1423" s="57"/>
      <c r="R1423" s="57"/>
    </row>
    <row r="1424" spans="17:18" x14ac:dyDescent="0.25">
      <c r="Q1424" s="57"/>
      <c r="R1424" s="57"/>
    </row>
    <row r="1425" spans="17:18" x14ac:dyDescent="0.25">
      <c r="Q1425" s="57"/>
      <c r="R1425" s="57"/>
    </row>
    <row r="1426" spans="17:18" x14ac:dyDescent="0.25">
      <c r="Q1426" s="57"/>
      <c r="R1426" s="57"/>
    </row>
    <row r="1427" spans="17:18" x14ac:dyDescent="0.25">
      <c r="Q1427" s="57"/>
      <c r="R1427" s="57"/>
    </row>
    <row r="1428" spans="17:18" x14ac:dyDescent="0.25">
      <c r="Q1428" s="57"/>
      <c r="R1428" s="57"/>
    </row>
    <row r="1429" spans="17:18" x14ac:dyDescent="0.25">
      <c r="Q1429" s="57"/>
      <c r="R1429" s="57"/>
    </row>
    <row r="1430" spans="17:18" x14ac:dyDescent="0.25">
      <c r="Q1430" s="57"/>
      <c r="R1430" s="57"/>
    </row>
    <row r="1431" spans="17:18" x14ac:dyDescent="0.25">
      <c r="Q1431" s="57"/>
      <c r="R1431" s="57"/>
    </row>
    <row r="1432" spans="17:18" x14ac:dyDescent="0.25">
      <c r="Q1432" s="57"/>
      <c r="R1432" s="57"/>
    </row>
    <row r="1433" spans="17:18" x14ac:dyDescent="0.25">
      <c r="Q1433" s="57"/>
      <c r="R1433" s="57"/>
    </row>
    <row r="1434" spans="17:18" x14ac:dyDescent="0.25">
      <c r="Q1434" s="57"/>
      <c r="R1434" s="57"/>
    </row>
    <row r="1435" spans="17:18" x14ac:dyDescent="0.25">
      <c r="Q1435" s="57"/>
      <c r="R1435" s="57"/>
    </row>
    <row r="1436" spans="17:18" x14ac:dyDescent="0.25">
      <c r="Q1436" s="57"/>
      <c r="R1436" s="57"/>
    </row>
    <row r="1437" spans="17:18" x14ac:dyDescent="0.25">
      <c r="Q1437" s="57"/>
      <c r="R1437" s="57"/>
    </row>
    <row r="1438" spans="17:18" x14ac:dyDescent="0.25">
      <c r="Q1438" s="57"/>
      <c r="R1438" s="57"/>
    </row>
    <row r="1439" spans="17:18" x14ac:dyDescent="0.25">
      <c r="Q1439" s="57"/>
      <c r="R1439" s="57"/>
    </row>
    <row r="1440" spans="17:18" x14ac:dyDescent="0.25">
      <c r="Q1440" s="57"/>
      <c r="R1440" s="57"/>
    </row>
    <row r="1441" spans="17:18" x14ac:dyDescent="0.25">
      <c r="Q1441" s="57"/>
      <c r="R1441" s="57"/>
    </row>
    <row r="1442" spans="17:18" x14ac:dyDescent="0.25">
      <c r="Q1442" s="57"/>
      <c r="R1442" s="57"/>
    </row>
    <row r="1443" spans="17:18" x14ac:dyDescent="0.25">
      <c r="Q1443" s="57"/>
      <c r="R1443" s="57"/>
    </row>
    <row r="1444" spans="17:18" x14ac:dyDescent="0.25">
      <c r="Q1444" s="57"/>
      <c r="R1444" s="57"/>
    </row>
    <row r="1445" spans="17:18" x14ac:dyDescent="0.25">
      <c r="Q1445" s="57"/>
      <c r="R1445" s="57"/>
    </row>
    <row r="1446" spans="17:18" x14ac:dyDescent="0.25">
      <c r="Q1446" s="57"/>
      <c r="R1446" s="57"/>
    </row>
    <row r="1447" spans="17:18" x14ac:dyDescent="0.25">
      <c r="Q1447" s="57"/>
      <c r="R1447" s="57"/>
    </row>
    <row r="1448" spans="17:18" x14ac:dyDescent="0.25">
      <c r="Q1448" s="57"/>
      <c r="R1448" s="57"/>
    </row>
    <row r="1449" spans="17:18" x14ac:dyDescent="0.25">
      <c r="Q1449" s="57"/>
      <c r="R1449" s="57"/>
    </row>
    <row r="1450" spans="17:18" x14ac:dyDescent="0.25">
      <c r="Q1450" s="57"/>
      <c r="R1450" s="57"/>
    </row>
    <row r="1451" spans="17:18" x14ac:dyDescent="0.25">
      <c r="Q1451" s="57"/>
      <c r="R1451" s="57"/>
    </row>
    <row r="1452" spans="17:18" x14ac:dyDescent="0.25">
      <c r="Q1452" s="57"/>
      <c r="R1452" s="57"/>
    </row>
    <row r="1453" spans="17:18" x14ac:dyDescent="0.25">
      <c r="Q1453" s="57"/>
      <c r="R1453" s="57"/>
    </row>
    <row r="1454" spans="17:18" x14ac:dyDescent="0.25">
      <c r="Q1454" s="57"/>
      <c r="R1454" s="57"/>
    </row>
    <row r="1455" spans="17:18" x14ac:dyDescent="0.25">
      <c r="Q1455" s="57"/>
      <c r="R1455" s="57"/>
    </row>
    <row r="1456" spans="17:18" x14ac:dyDescent="0.25">
      <c r="Q1456" s="57"/>
      <c r="R1456" s="57"/>
    </row>
    <row r="1457" spans="17:18" x14ac:dyDescent="0.25">
      <c r="Q1457" s="57"/>
      <c r="R1457" s="57"/>
    </row>
    <row r="1458" spans="17:18" x14ac:dyDescent="0.25">
      <c r="Q1458" s="57"/>
      <c r="R1458" s="57"/>
    </row>
    <row r="1459" spans="17:18" x14ac:dyDescent="0.25">
      <c r="Q1459" s="57"/>
      <c r="R1459" s="57"/>
    </row>
    <row r="1460" spans="17:18" x14ac:dyDescent="0.25">
      <c r="Q1460" s="57"/>
      <c r="R1460" s="57"/>
    </row>
    <row r="1461" spans="17:18" x14ac:dyDescent="0.25">
      <c r="Q1461" s="57"/>
      <c r="R1461" s="57"/>
    </row>
    <row r="1462" spans="17:18" x14ac:dyDescent="0.25">
      <c r="Q1462" s="57"/>
      <c r="R1462" s="57"/>
    </row>
    <row r="1463" spans="17:18" x14ac:dyDescent="0.25">
      <c r="Q1463" s="57"/>
      <c r="R1463" s="57"/>
    </row>
    <row r="1464" spans="17:18" x14ac:dyDescent="0.25">
      <c r="Q1464" s="57"/>
      <c r="R1464" s="57"/>
    </row>
    <row r="1465" spans="17:18" x14ac:dyDescent="0.25">
      <c r="Q1465" s="57"/>
      <c r="R1465" s="57"/>
    </row>
    <row r="1466" spans="17:18" x14ac:dyDescent="0.25">
      <c r="Q1466" s="57"/>
      <c r="R1466" s="57"/>
    </row>
    <row r="1467" spans="17:18" x14ac:dyDescent="0.25">
      <c r="Q1467" s="57"/>
      <c r="R1467" s="57"/>
    </row>
    <row r="1468" spans="17:18" x14ac:dyDescent="0.25">
      <c r="Q1468" s="57"/>
      <c r="R1468" s="57"/>
    </row>
    <row r="1469" spans="17:18" x14ac:dyDescent="0.25">
      <c r="Q1469" s="57"/>
      <c r="R1469" s="57"/>
    </row>
    <row r="1470" spans="17:18" x14ac:dyDescent="0.25">
      <c r="Q1470" s="57"/>
      <c r="R1470" s="57"/>
    </row>
    <row r="1471" spans="17:18" x14ac:dyDescent="0.25">
      <c r="Q1471" s="57"/>
      <c r="R1471" s="57"/>
    </row>
    <row r="1472" spans="17:18" x14ac:dyDescent="0.25">
      <c r="Q1472" s="57"/>
      <c r="R1472" s="57"/>
    </row>
    <row r="1473" spans="17:18" x14ac:dyDescent="0.25">
      <c r="Q1473" s="57"/>
      <c r="R1473" s="57"/>
    </row>
    <row r="1474" spans="17:18" x14ac:dyDescent="0.25">
      <c r="Q1474" s="57"/>
      <c r="R1474" s="57"/>
    </row>
    <row r="1475" spans="17:18" x14ac:dyDescent="0.25">
      <c r="Q1475" s="57"/>
      <c r="R1475" s="57"/>
    </row>
    <row r="1476" spans="17:18" x14ac:dyDescent="0.25">
      <c r="Q1476" s="57"/>
      <c r="R1476" s="57"/>
    </row>
    <row r="1477" spans="17:18" x14ac:dyDescent="0.25">
      <c r="Q1477" s="57"/>
      <c r="R1477" s="57"/>
    </row>
    <row r="1478" spans="17:18" x14ac:dyDescent="0.25">
      <c r="Q1478" s="57"/>
      <c r="R1478" s="57"/>
    </row>
    <row r="1479" spans="17:18" x14ac:dyDescent="0.25">
      <c r="Q1479" s="57"/>
      <c r="R1479" s="57"/>
    </row>
    <row r="1480" spans="17:18" x14ac:dyDescent="0.25">
      <c r="Q1480" s="57"/>
      <c r="R1480" s="57"/>
    </row>
    <row r="1481" spans="17:18" x14ac:dyDescent="0.25">
      <c r="Q1481" s="57"/>
      <c r="R1481" s="57"/>
    </row>
    <row r="1482" spans="17:18" x14ac:dyDescent="0.25">
      <c r="Q1482" s="57"/>
      <c r="R1482" s="57"/>
    </row>
    <row r="1483" spans="17:18" x14ac:dyDescent="0.25">
      <c r="Q1483" s="57"/>
      <c r="R1483" s="57"/>
    </row>
    <row r="1484" spans="17:18" x14ac:dyDescent="0.25">
      <c r="Q1484" s="57"/>
      <c r="R1484" s="57"/>
    </row>
    <row r="1485" spans="17:18" x14ac:dyDescent="0.25">
      <c r="Q1485" s="57"/>
      <c r="R1485" s="57"/>
    </row>
    <row r="1486" spans="17:18" x14ac:dyDescent="0.25">
      <c r="Q1486" s="57"/>
      <c r="R1486" s="57"/>
    </row>
    <row r="1487" spans="17:18" x14ac:dyDescent="0.25">
      <c r="Q1487" s="57"/>
      <c r="R1487" s="57"/>
    </row>
    <row r="1488" spans="17:18" x14ac:dyDescent="0.25">
      <c r="Q1488" s="57"/>
      <c r="R1488" s="57"/>
    </row>
    <row r="1489" spans="17:18" x14ac:dyDescent="0.25">
      <c r="Q1489" s="57"/>
      <c r="R1489" s="57"/>
    </row>
    <row r="1490" spans="17:18" x14ac:dyDescent="0.25">
      <c r="Q1490" s="57"/>
      <c r="R1490" s="57"/>
    </row>
    <row r="1491" spans="17:18" x14ac:dyDescent="0.25">
      <c r="Q1491" s="57"/>
      <c r="R1491" s="57"/>
    </row>
    <row r="1492" spans="17:18" x14ac:dyDescent="0.25">
      <c r="Q1492" s="57"/>
      <c r="R1492" s="57"/>
    </row>
    <row r="1493" spans="17:18" x14ac:dyDescent="0.25">
      <c r="Q1493" s="57"/>
      <c r="R1493" s="57"/>
    </row>
    <row r="1494" spans="17:18" x14ac:dyDescent="0.25">
      <c r="Q1494" s="57"/>
      <c r="R1494" s="57"/>
    </row>
    <row r="1495" spans="17:18" x14ac:dyDescent="0.25">
      <c r="Q1495" s="57"/>
      <c r="R1495" s="57"/>
    </row>
    <row r="1496" spans="17:18" x14ac:dyDescent="0.25">
      <c r="Q1496" s="57"/>
      <c r="R1496" s="57"/>
    </row>
    <row r="1497" spans="17:18" x14ac:dyDescent="0.25">
      <c r="Q1497" s="57"/>
      <c r="R1497" s="57"/>
    </row>
    <row r="1498" spans="17:18" x14ac:dyDescent="0.25">
      <c r="Q1498" s="57"/>
      <c r="R1498" s="57"/>
    </row>
    <row r="1499" spans="17:18" x14ac:dyDescent="0.25">
      <c r="Q1499" s="57"/>
      <c r="R1499" s="57"/>
    </row>
    <row r="1500" spans="17:18" x14ac:dyDescent="0.25">
      <c r="Q1500" s="57"/>
      <c r="R1500" s="57"/>
    </row>
    <row r="1501" spans="17:18" x14ac:dyDescent="0.25">
      <c r="Q1501" s="57"/>
      <c r="R1501" s="57"/>
    </row>
    <row r="1502" spans="17:18" x14ac:dyDescent="0.25">
      <c r="Q1502" s="57"/>
      <c r="R1502" s="57"/>
    </row>
    <row r="1503" spans="17:18" x14ac:dyDescent="0.25">
      <c r="Q1503" s="57"/>
      <c r="R1503" s="57"/>
    </row>
    <row r="1504" spans="17:18" x14ac:dyDescent="0.25">
      <c r="Q1504" s="57"/>
      <c r="R1504" s="57"/>
    </row>
    <row r="1505" spans="17:18" x14ac:dyDescent="0.25">
      <c r="Q1505" s="57"/>
      <c r="R1505" s="57"/>
    </row>
    <row r="1506" spans="17:18" x14ac:dyDescent="0.25">
      <c r="Q1506" s="57"/>
      <c r="R1506" s="57"/>
    </row>
    <row r="1507" spans="17:18" x14ac:dyDescent="0.25">
      <c r="Q1507" s="57"/>
      <c r="R1507" s="57"/>
    </row>
    <row r="1508" spans="17:18" x14ac:dyDescent="0.25">
      <c r="Q1508" s="57"/>
      <c r="R1508" s="57"/>
    </row>
    <row r="1509" spans="17:18" x14ac:dyDescent="0.25">
      <c r="Q1509" s="57"/>
      <c r="R1509" s="57"/>
    </row>
    <row r="1510" spans="17:18" x14ac:dyDescent="0.25">
      <c r="Q1510" s="57"/>
      <c r="R1510" s="57"/>
    </row>
    <row r="1511" spans="17:18" x14ac:dyDescent="0.25">
      <c r="Q1511" s="57"/>
      <c r="R1511" s="57"/>
    </row>
    <row r="1512" spans="17:18" x14ac:dyDescent="0.25">
      <c r="Q1512" s="57"/>
      <c r="R1512" s="57"/>
    </row>
    <row r="1513" spans="17:18" x14ac:dyDescent="0.25">
      <c r="Q1513" s="57"/>
      <c r="R1513" s="57"/>
    </row>
    <row r="1514" spans="17:18" x14ac:dyDescent="0.25">
      <c r="Q1514" s="57"/>
      <c r="R1514" s="57"/>
    </row>
    <row r="1515" spans="17:18" x14ac:dyDescent="0.25">
      <c r="Q1515" s="57"/>
      <c r="R1515" s="57"/>
    </row>
    <row r="1516" spans="17:18" x14ac:dyDescent="0.25">
      <c r="Q1516" s="57"/>
      <c r="R1516" s="57"/>
    </row>
    <row r="1517" spans="17:18" x14ac:dyDescent="0.25">
      <c r="Q1517" s="57"/>
      <c r="R1517" s="57"/>
    </row>
    <row r="1518" spans="17:18" x14ac:dyDescent="0.25">
      <c r="Q1518" s="57"/>
      <c r="R1518" s="57"/>
    </row>
    <row r="1519" spans="17:18" x14ac:dyDescent="0.25">
      <c r="Q1519" s="57"/>
      <c r="R1519" s="57"/>
    </row>
    <row r="1520" spans="17:18" x14ac:dyDescent="0.25">
      <c r="Q1520" s="57"/>
      <c r="R1520" s="57"/>
    </row>
    <row r="1521" spans="17:18" x14ac:dyDescent="0.25">
      <c r="Q1521" s="57"/>
      <c r="R1521" s="57"/>
    </row>
    <row r="1522" spans="17:18" x14ac:dyDescent="0.25">
      <c r="Q1522" s="57"/>
      <c r="R1522" s="57"/>
    </row>
    <row r="1523" spans="17:18" x14ac:dyDescent="0.25">
      <c r="Q1523" s="57"/>
      <c r="R1523" s="57"/>
    </row>
    <row r="1524" spans="17:18" x14ac:dyDescent="0.25">
      <c r="Q1524" s="57"/>
      <c r="R1524" s="57"/>
    </row>
    <row r="1525" spans="17:18" x14ac:dyDescent="0.25">
      <c r="Q1525" s="57"/>
      <c r="R1525" s="57"/>
    </row>
    <row r="1526" spans="17:18" x14ac:dyDescent="0.25">
      <c r="Q1526" s="57"/>
      <c r="R1526" s="57"/>
    </row>
    <row r="1527" spans="17:18" x14ac:dyDescent="0.25">
      <c r="Q1527" s="57"/>
      <c r="R1527" s="57"/>
    </row>
    <row r="1528" spans="17:18" x14ac:dyDescent="0.25">
      <c r="Q1528" s="57"/>
      <c r="R1528" s="57"/>
    </row>
    <row r="1529" spans="17:18" x14ac:dyDescent="0.25">
      <c r="Q1529" s="57"/>
      <c r="R1529" s="57"/>
    </row>
    <row r="1530" spans="17:18" x14ac:dyDescent="0.25">
      <c r="Q1530" s="57"/>
      <c r="R1530" s="57"/>
    </row>
    <row r="1531" spans="17:18" x14ac:dyDescent="0.25">
      <c r="Q1531" s="57"/>
      <c r="R1531" s="57"/>
    </row>
    <row r="1532" spans="17:18" x14ac:dyDescent="0.25">
      <c r="Q1532" s="57"/>
      <c r="R1532" s="57"/>
    </row>
    <row r="1533" spans="17:18" x14ac:dyDescent="0.25">
      <c r="Q1533" s="57"/>
      <c r="R1533" s="57"/>
    </row>
    <row r="1534" spans="17:18" x14ac:dyDescent="0.25">
      <c r="Q1534" s="57"/>
      <c r="R1534" s="57"/>
    </row>
    <row r="1535" spans="17:18" x14ac:dyDescent="0.25">
      <c r="Q1535" s="57"/>
      <c r="R1535" s="57"/>
    </row>
    <row r="1536" spans="17:18" x14ac:dyDescent="0.25">
      <c r="Q1536" s="57"/>
      <c r="R1536" s="57"/>
    </row>
    <row r="1537" spans="17:18" x14ac:dyDescent="0.25">
      <c r="Q1537" s="57"/>
      <c r="R1537" s="57"/>
    </row>
    <row r="1538" spans="17:18" x14ac:dyDescent="0.25">
      <c r="Q1538" s="57"/>
      <c r="R1538" s="57"/>
    </row>
    <row r="1539" spans="17:18" x14ac:dyDescent="0.25">
      <c r="Q1539" s="57"/>
      <c r="R1539" s="57"/>
    </row>
    <row r="1540" spans="17:18" x14ac:dyDescent="0.25">
      <c r="Q1540" s="57"/>
      <c r="R1540" s="57"/>
    </row>
    <row r="1541" spans="17:18" x14ac:dyDescent="0.25">
      <c r="Q1541" s="57"/>
      <c r="R1541" s="57"/>
    </row>
    <row r="1542" spans="17:18" x14ac:dyDescent="0.25">
      <c r="Q1542" s="57"/>
      <c r="R1542" s="57"/>
    </row>
    <row r="1543" spans="17:18" x14ac:dyDescent="0.25">
      <c r="Q1543" s="57"/>
      <c r="R1543" s="57"/>
    </row>
    <row r="1544" spans="17:18" x14ac:dyDescent="0.25">
      <c r="Q1544" s="57"/>
      <c r="R1544" s="57"/>
    </row>
    <row r="1545" spans="17:18" x14ac:dyDescent="0.25">
      <c r="Q1545" s="57"/>
      <c r="R1545" s="57"/>
    </row>
    <row r="1546" spans="17:18" x14ac:dyDescent="0.25">
      <c r="Q1546" s="57"/>
      <c r="R1546" s="57"/>
    </row>
    <row r="1547" spans="17:18" x14ac:dyDescent="0.25">
      <c r="Q1547" s="57"/>
      <c r="R1547" s="57"/>
    </row>
    <row r="1548" spans="17:18" x14ac:dyDescent="0.25">
      <c r="Q1548" s="57"/>
      <c r="R1548" s="57"/>
    </row>
    <row r="1549" spans="17:18" x14ac:dyDescent="0.25">
      <c r="Q1549" s="57"/>
      <c r="R1549" s="57"/>
    </row>
    <row r="1550" spans="17:18" x14ac:dyDescent="0.25">
      <c r="Q1550" s="57"/>
      <c r="R1550" s="57"/>
    </row>
    <row r="1551" spans="17:18" x14ac:dyDescent="0.25">
      <c r="Q1551" s="57"/>
      <c r="R1551" s="57"/>
    </row>
    <row r="1552" spans="17:18" x14ac:dyDescent="0.25">
      <c r="Q1552" s="57"/>
      <c r="R1552" s="57"/>
    </row>
    <row r="1553" spans="17:18" x14ac:dyDescent="0.25">
      <c r="Q1553" s="57"/>
      <c r="R1553" s="57"/>
    </row>
    <row r="1554" spans="17:18" x14ac:dyDescent="0.25">
      <c r="Q1554" s="57"/>
      <c r="R1554" s="57"/>
    </row>
    <row r="1555" spans="17:18" x14ac:dyDescent="0.25">
      <c r="Q1555" s="57"/>
      <c r="R1555" s="57"/>
    </row>
    <row r="1556" spans="17:18" x14ac:dyDescent="0.25">
      <c r="Q1556" s="57"/>
      <c r="R1556" s="57"/>
    </row>
    <row r="1557" spans="17:18" x14ac:dyDescent="0.25">
      <c r="Q1557" s="57"/>
      <c r="R1557" s="57"/>
    </row>
    <row r="1558" spans="17:18" x14ac:dyDescent="0.25">
      <c r="Q1558" s="57"/>
      <c r="R1558" s="57"/>
    </row>
    <row r="1559" spans="17:18" x14ac:dyDescent="0.25">
      <c r="Q1559" s="57"/>
      <c r="R1559" s="57"/>
    </row>
    <row r="1560" spans="17:18" x14ac:dyDescent="0.25">
      <c r="Q1560" s="57"/>
      <c r="R1560" s="57"/>
    </row>
    <row r="1561" spans="17:18" x14ac:dyDescent="0.25">
      <c r="Q1561" s="57"/>
      <c r="R1561" s="57"/>
    </row>
    <row r="1562" spans="17:18" x14ac:dyDescent="0.25">
      <c r="Q1562" s="57"/>
      <c r="R1562" s="57"/>
    </row>
    <row r="1563" spans="17:18" x14ac:dyDescent="0.25">
      <c r="Q1563" s="57"/>
      <c r="R1563" s="57"/>
    </row>
    <row r="1564" spans="17:18" x14ac:dyDescent="0.25">
      <c r="Q1564" s="57"/>
      <c r="R1564" s="57"/>
    </row>
    <row r="1565" spans="17:18" x14ac:dyDescent="0.25">
      <c r="Q1565" s="57"/>
      <c r="R1565" s="57"/>
    </row>
    <row r="1566" spans="17:18" x14ac:dyDescent="0.25">
      <c r="Q1566" s="57"/>
      <c r="R1566" s="57"/>
    </row>
    <row r="1567" spans="17:18" x14ac:dyDescent="0.25">
      <c r="Q1567" s="57"/>
      <c r="R1567" s="57"/>
    </row>
    <row r="1568" spans="17:18" x14ac:dyDescent="0.25">
      <c r="Q1568" s="57"/>
      <c r="R1568" s="57"/>
    </row>
    <row r="1569" spans="17:18" x14ac:dyDescent="0.25">
      <c r="Q1569" s="57"/>
      <c r="R1569" s="57"/>
    </row>
    <row r="1570" spans="17:18" x14ac:dyDescent="0.25">
      <c r="Q1570" s="57"/>
      <c r="R1570" s="57"/>
    </row>
    <row r="1571" spans="17:18" x14ac:dyDescent="0.25">
      <c r="Q1571" s="57"/>
      <c r="R1571" s="57"/>
    </row>
    <row r="1572" spans="17:18" x14ac:dyDescent="0.25">
      <c r="Q1572" s="57"/>
      <c r="R1572" s="57"/>
    </row>
    <row r="1573" spans="17:18" x14ac:dyDescent="0.25">
      <c r="Q1573" s="57"/>
      <c r="R1573" s="57"/>
    </row>
    <row r="1574" spans="17:18" x14ac:dyDescent="0.25">
      <c r="Q1574" s="57"/>
      <c r="R1574" s="57"/>
    </row>
    <row r="1575" spans="17:18" x14ac:dyDescent="0.25">
      <c r="Q1575" s="57"/>
      <c r="R1575" s="57"/>
    </row>
    <row r="1576" spans="17:18" x14ac:dyDescent="0.25">
      <c r="Q1576" s="57"/>
      <c r="R1576" s="57"/>
    </row>
    <row r="1577" spans="17:18" x14ac:dyDescent="0.25">
      <c r="Q1577" s="57"/>
      <c r="R1577" s="57"/>
    </row>
    <row r="1578" spans="17:18" x14ac:dyDescent="0.25">
      <c r="Q1578" s="57"/>
      <c r="R1578" s="57"/>
    </row>
    <row r="1579" spans="17:18" x14ac:dyDescent="0.25">
      <c r="Q1579" s="57"/>
      <c r="R1579" s="57"/>
    </row>
    <row r="1580" spans="17:18" x14ac:dyDescent="0.25">
      <c r="Q1580" s="57"/>
      <c r="R1580" s="57"/>
    </row>
    <row r="1581" spans="17:18" x14ac:dyDescent="0.25">
      <c r="Q1581" s="57"/>
      <c r="R1581" s="57"/>
    </row>
    <row r="1582" spans="17:18" x14ac:dyDescent="0.25">
      <c r="Q1582" s="57"/>
      <c r="R1582" s="57"/>
    </row>
    <row r="1583" spans="17:18" x14ac:dyDescent="0.25">
      <c r="Q1583" s="57"/>
      <c r="R1583" s="57"/>
    </row>
    <row r="1584" spans="17:18" x14ac:dyDescent="0.25">
      <c r="Q1584" s="57"/>
      <c r="R1584" s="57"/>
    </row>
    <row r="1585" spans="17:18" x14ac:dyDescent="0.25">
      <c r="Q1585" s="57"/>
      <c r="R1585" s="57"/>
    </row>
    <row r="1586" spans="17:18" x14ac:dyDescent="0.25">
      <c r="Q1586" s="57"/>
      <c r="R1586" s="57"/>
    </row>
    <row r="1587" spans="17:18" x14ac:dyDescent="0.25">
      <c r="Q1587" s="57"/>
      <c r="R1587" s="57"/>
    </row>
    <row r="1588" spans="17:18" x14ac:dyDescent="0.25">
      <c r="Q1588" s="57"/>
      <c r="R1588" s="57"/>
    </row>
    <row r="1589" spans="17:18" x14ac:dyDescent="0.25">
      <c r="Q1589" s="57"/>
      <c r="R1589" s="57"/>
    </row>
    <row r="1590" spans="17:18" x14ac:dyDescent="0.25">
      <c r="Q1590" s="57"/>
      <c r="R1590" s="57"/>
    </row>
    <row r="1591" spans="17:18" x14ac:dyDescent="0.25">
      <c r="Q1591" s="57"/>
      <c r="R1591" s="57"/>
    </row>
    <row r="1592" spans="17:18" x14ac:dyDescent="0.25">
      <c r="Q1592" s="57"/>
      <c r="R1592" s="57"/>
    </row>
    <row r="1593" spans="17:18" x14ac:dyDescent="0.25">
      <c r="Q1593" s="57"/>
      <c r="R1593" s="57"/>
    </row>
    <row r="1594" spans="17:18" x14ac:dyDescent="0.25">
      <c r="Q1594" s="57"/>
      <c r="R1594" s="57"/>
    </row>
    <row r="1595" spans="17:18" x14ac:dyDescent="0.25">
      <c r="Q1595" s="57"/>
      <c r="R1595" s="57"/>
    </row>
    <row r="1596" spans="17:18" x14ac:dyDescent="0.25">
      <c r="Q1596" s="57"/>
      <c r="R1596" s="57"/>
    </row>
    <row r="1597" spans="17:18" x14ac:dyDescent="0.25">
      <c r="Q1597" s="57"/>
      <c r="R1597" s="57"/>
    </row>
    <row r="1598" spans="17:18" x14ac:dyDescent="0.25">
      <c r="Q1598" s="57"/>
      <c r="R1598" s="57"/>
    </row>
    <row r="1599" spans="17:18" x14ac:dyDescent="0.25">
      <c r="Q1599" s="57"/>
      <c r="R1599" s="57"/>
    </row>
    <row r="1600" spans="17:18" x14ac:dyDescent="0.25">
      <c r="Q1600" s="57"/>
      <c r="R1600" s="57"/>
    </row>
    <row r="1601" spans="17:18" x14ac:dyDescent="0.25">
      <c r="Q1601" s="57"/>
      <c r="R1601" s="57"/>
    </row>
    <row r="1602" spans="17:18" x14ac:dyDescent="0.25">
      <c r="Q1602" s="57"/>
      <c r="R1602" s="57"/>
    </row>
    <row r="1603" spans="17:18" x14ac:dyDescent="0.25">
      <c r="Q1603" s="57"/>
      <c r="R1603" s="57"/>
    </row>
    <row r="1604" spans="17:18" x14ac:dyDescent="0.25">
      <c r="Q1604" s="57"/>
      <c r="R1604" s="57"/>
    </row>
    <row r="1605" spans="17:18" x14ac:dyDescent="0.25">
      <c r="Q1605" s="57"/>
      <c r="R1605" s="57"/>
    </row>
    <row r="1606" spans="17:18" x14ac:dyDescent="0.25">
      <c r="Q1606" s="57"/>
      <c r="R1606" s="57"/>
    </row>
    <row r="1607" spans="17:18" x14ac:dyDescent="0.25">
      <c r="Q1607" s="57"/>
      <c r="R1607" s="57"/>
    </row>
    <row r="1608" spans="17:18" x14ac:dyDescent="0.25">
      <c r="Q1608" s="57"/>
      <c r="R1608" s="57"/>
    </row>
    <row r="1609" spans="17:18" x14ac:dyDescent="0.25">
      <c r="Q1609" s="57"/>
      <c r="R1609" s="57"/>
    </row>
    <row r="1610" spans="17:18" x14ac:dyDescent="0.25">
      <c r="Q1610" s="57"/>
      <c r="R1610" s="57"/>
    </row>
    <row r="1611" spans="17:18" x14ac:dyDescent="0.25">
      <c r="Q1611" s="57"/>
      <c r="R1611" s="57"/>
    </row>
    <row r="1612" spans="17:18" x14ac:dyDescent="0.25">
      <c r="Q1612" s="57"/>
      <c r="R1612" s="57"/>
    </row>
    <row r="1613" spans="17:18" x14ac:dyDescent="0.25">
      <c r="Q1613" s="57"/>
      <c r="R1613" s="57"/>
    </row>
    <row r="1614" spans="17:18" x14ac:dyDescent="0.25">
      <c r="Q1614" s="57"/>
      <c r="R1614" s="57"/>
    </row>
    <row r="1615" spans="17:18" x14ac:dyDescent="0.25">
      <c r="Q1615" s="57"/>
      <c r="R1615" s="57"/>
    </row>
    <row r="1616" spans="17:18" x14ac:dyDescent="0.25">
      <c r="Q1616" s="57"/>
      <c r="R1616" s="57"/>
    </row>
    <row r="1617" spans="17:18" x14ac:dyDescent="0.25">
      <c r="Q1617" s="57"/>
      <c r="R1617" s="57"/>
    </row>
    <row r="1618" spans="17:18" x14ac:dyDescent="0.25">
      <c r="Q1618" s="57"/>
      <c r="R1618" s="57"/>
    </row>
    <row r="1619" spans="17:18" x14ac:dyDescent="0.25">
      <c r="Q1619" s="57"/>
      <c r="R1619" s="57"/>
    </row>
    <row r="1620" spans="17:18" x14ac:dyDescent="0.25">
      <c r="Q1620" s="57"/>
      <c r="R1620" s="57"/>
    </row>
    <row r="1621" spans="17:18" x14ac:dyDescent="0.25">
      <c r="Q1621" s="57"/>
      <c r="R1621" s="57"/>
    </row>
    <row r="1622" spans="17:18" x14ac:dyDescent="0.25">
      <c r="Q1622" s="57"/>
      <c r="R1622" s="57"/>
    </row>
    <row r="1623" spans="17:18" x14ac:dyDescent="0.25">
      <c r="Q1623" s="57"/>
      <c r="R1623" s="57"/>
    </row>
    <row r="1624" spans="17:18" x14ac:dyDescent="0.25">
      <c r="Q1624" s="57"/>
      <c r="R1624" s="57"/>
    </row>
    <row r="1625" spans="17:18" x14ac:dyDescent="0.25">
      <c r="Q1625" s="57"/>
      <c r="R1625" s="57"/>
    </row>
    <row r="1626" spans="17:18" x14ac:dyDescent="0.25">
      <c r="Q1626" s="57"/>
      <c r="R1626" s="57"/>
    </row>
    <row r="1627" spans="17:18" x14ac:dyDescent="0.25">
      <c r="Q1627" s="57"/>
      <c r="R1627" s="57"/>
    </row>
    <row r="1628" spans="17:18" x14ac:dyDescent="0.25">
      <c r="Q1628" s="57"/>
      <c r="R1628" s="57"/>
    </row>
    <row r="1629" spans="17:18" x14ac:dyDescent="0.25">
      <c r="Q1629" s="57"/>
      <c r="R1629" s="57"/>
    </row>
    <row r="1630" spans="17:18" x14ac:dyDescent="0.25">
      <c r="Q1630" s="57"/>
      <c r="R1630" s="57"/>
    </row>
    <row r="1631" spans="17:18" x14ac:dyDescent="0.25">
      <c r="Q1631" s="57"/>
      <c r="R1631" s="57"/>
    </row>
    <row r="1632" spans="17:18" x14ac:dyDescent="0.25">
      <c r="Q1632" s="57"/>
      <c r="R1632" s="57"/>
    </row>
    <row r="1633" spans="17:18" x14ac:dyDescent="0.25">
      <c r="Q1633" s="57"/>
      <c r="R1633" s="57"/>
    </row>
    <row r="1634" spans="17:18" x14ac:dyDescent="0.25">
      <c r="Q1634" s="57"/>
      <c r="R1634" s="57"/>
    </row>
    <row r="1635" spans="17:18" x14ac:dyDescent="0.25">
      <c r="Q1635" s="57"/>
      <c r="R1635" s="57"/>
    </row>
    <row r="1636" spans="17:18" x14ac:dyDescent="0.25">
      <c r="Q1636" s="57"/>
      <c r="R1636" s="57"/>
    </row>
    <row r="1637" spans="17:18" x14ac:dyDescent="0.25">
      <c r="Q1637" s="57"/>
      <c r="R1637" s="57"/>
    </row>
    <row r="1638" spans="17:18" x14ac:dyDescent="0.25">
      <c r="Q1638" s="57"/>
      <c r="R1638" s="57"/>
    </row>
    <row r="1639" spans="17:18" x14ac:dyDescent="0.25">
      <c r="Q1639" s="57"/>
      <c r="R1639" s="57"/>
    </row>
    <row r="1640" spans="17:18" x14ac:dyDescent="0.25">
      <c r="Q1640" s="57"/>
      <c r="R1640" s="57"/>
    </row>
    <row r="1641" spans="17:18" x14ac:dyDescent="0.25">
      <c r="Q1641" s="57"/>
      <c r="R1641" s="57"/>
    </row>
    <row r="1642" spans="17:18" x14ac:dyDescent="0.25">
      <c r="Q1642" s="57"/>
      <c r="R1642" s="57"/>
    </row>
    <row r="1643" spans="17:18" x14ac:dyDescent="0.25">
      <c r="Q1643" s="57"/>
      <c r="R1643" s="57"/>
    </row>
    <row r="1644" spans="17:18" x14ac:dyDescent="0.25">
      <c r="Q1644" s="57"/>
      <c r="R1644" s="57"/>
    </row>
    <row r="1645" spans="17:18" x14ac:dyDescent="0.25">
      <c r="Q1645" s="57"/>
      <c r="R1645" s="57"/>
    </row>
    <row r="1646" spans="17:18" x14ac:dyDescent="0.25">
      <c r="Q1646" s="57"/>
      <c r="R1646" s="57"/>
    </row>
    <row r="1647" spans="17:18" x14ac:dyDescent="0.25">
      <c r="Q1647" s="57"/>
      <c r="R1647" s="57"/>
    </row>
    <row r="1648" spans="17:18" x14ac:dyDescent="0.25">
      <c r="Q1648" s="57"/>
      <c r="R1648" s="57"/>
    </row>
    <row r="1649" spans="17:18" x14ac:dyDescent="0.25">
      <c r="Q1649" s="57"/>
      <c r="R1649" s="57"/>
    </row>
    <row r="1650" spans="17:18" x14ac:dyDescent="0.25">
      <c r="Q1650" s="57"/>
      <c r="R1650" s="57"/>
    </row>
    <row r="1651" spans="17:18" x14ac:dyDescent="0.25">
      <c r="Q1651" s="57"/>
      <c r="R1651" s="57"/>
    </row>
    <row r="1652" spans="17:18" x14ac:dyDescent="0.25">
      <c r="Q1652" s="57"/>
      <c r="R1652" s="57"/>
    </row>
    <row r="1653" spans="17:18" x14ac:dyDescent="0.25">
      <c r="Q1653" s="57"/>
      <c r="R1653" s="57"/>
    </row>
    <row r="1654" spans="17:18" x14ac:dyDescent="0.25">
      <c r="Q1654" s="57"/>
      <c r="R1654" s="57"/>
    </row>
    <row r="1655" spans="17:18" x14ac:dyDescent="0.25">
      <c r="Q1655" s="57"/>
      <c r="R1655" s="57"/>
    </row>
    <row r="1656" spans="17:18" x14ac:dyDescent="0.25">
      <c r="Q1656" s="57"/>
      <c r="R1656" s="57"/>
    </row>
    <row r="1657" spans="17:18" x14ac:dyDescent="0.25">
      <c r="Q1657" s="57"/>
      <c r="R1657" s="57"/>
    </row>
    <row r="1658" spans="17:18" x14ac:dyDescent="0.25">
      <c r="Q1658" s="57"/>
      <c r="R1658" s="57"/>
    </row>
    <row r="1659" spans="17:18" x14ac:dyDescent="0.25">
      <c r="Q1659" s="57"/>
      <c r="R1659" s="57"/>
    </row>
    <row r="1660" spans="17:18" x14ac:dyDescent="0.25">
      <c r="Q1660" s="57"/>
      <c r="R1660" s="57"/>
    </row>
    <row r="1661" spans="17:18" x14ac:dyDescent="0.25">
      <c r="Q1661" s="57"/>
      <c r="R1661" s="57"/>
    </row>
    <row r="1662" spans="17:18" x14ac:dyDescent="0.25">
      <c r="Q1662" s="57"/>
      <c r="R1662" s="57"/>
    </row>
    <row r="1663" spans="17:18" x14ac:dyDescent="0.25">
      <c r="Q1663" s="57"/>
      <c r="R1663" s="57"/>
    </row>
    <row r="1664" spans="17:18" x14ac:dyDescent="0.25">
      <c r="Q1664" s="57"/>
      <c r="R1664" s="57"/>
    </row>
    <row r="1665" spans="17:18" x14ac:dyDescent="0.25">
      <c r="Q1665" s="57"/>
      <c r="R1665" s="57"/>
    </row>
    <row r="1666" spans="17:18" x14ac:dyDescent="0.25">
      <c r="Q1666" s="57"/>
      <c r="R1666" s="57"/>
    </row>
    <row r="1667" spans="17:18" x14ac:dyDescent="0.25">
      <c r="Q1667" s="57"/>
      <c r="R1667" s="57"/>
    </row>
    <row r="1668" spans="17:18" x14ac:dyDescent="0.25">
      <c r="Q1668" s="57"/>
      <c r="R1668" s="57"/>
    </row>
    <row r="1669" spans="17:18" x14ac:dyDescent="0.25">
      <c r="Q1669" s="57"/>
      <c r="R1669" s="57"/>
    </row>
    <row r="1670" spans="17:18" x14ac:dyDescent="0.25">
      <c r="Q1670" s="57"/>
      <c r="R1670" s="57"/>
    </row>
    <row r="1671" spans="17:18" x14ac:dyDescent="0.25">
      <c r="Q1671" s="57"/>
      <c r="R1671" s="57"/>
    </row>
    <row r="1672" spans="17:18" x14ac:dyDescent="0.25">
      <c r="Q1672" s="57"/>
      <c r="R1672" s="57"/>
    </row>
    <row r="1673" spans="17:18" x14ac:dyDescent="0.25">
      <c r="Q1673" s="57"/>
      <c r="R1673" s="57"/>
    </row>
    <row r="1674" spans="17:18" x14ac:dyDescent="0.25">
      <c r="Q1674" s="57"/>
      <c r="R1674" s="57"/>
    </row>
    <row r="1675" spans="17:18" x14ac:dyDescent="0.25">
      <c r="Q1675" s="57"/>
      <c r="R1675" s="57"/>
    </row>
    <row r="1676" spans="17:18" x14ac:dyDescent="0.25">
      <c r="Q1676" s="57"/>
      <c r="R1676" s="57"/>
    </row>
    <row r="1677" spans="17:18" x14ac:dyDescent="0.25">
      <c r="Q1677" s="57"/>
      <c r="R1677" s="57"/>
    </row>
    <row r="1678" spans="17:18" x14ac:dyDescent="0.25">
      <c r="Q1678" s="57"/>
      <c r="R1678" s="57"/>
    </row>
    <row r="1679" spans="17:18" x14ac:dyDescent="0.25">
      <c r="Q1679" s="57"/>
      <c r="R1679" s="57"/>
    </row>
    <row r="1680" spans="17:18" x14ac:dyDescent="0.25">
      <c r="Q1680" s="57"/>
      <c r="R1680" s="57"/>
    </row>
    <row r="1681" spans="17:18" x14ac:dyDescent="0.25">
      <c r="Q1681" s="57"/>
      <c r="R1681" s="57"/>
    </row>
    <row r="1682" spans="17:18" x14ac:dyDescent="0.25">
      <c r="Q1682" s="57"/>
      <c r="R1682" s="57"/>
    </row>
    <row r="1683" spans="17:18" x14ac:dyDescent="0.25">
      <c r="Q1683" s="57"/>
      <c r="R1683" s="57"/>
    </row>
    <row r="1684" spans="17:18" x14ac:dyDescent="0.25">
      <c r="Q1684" s="57"/>
      <c r="R1684" s="57"/>
    </row>
    <row r="1685" spans="17:18" x14ac:dyDescent="0.25">
      <c r="Q1685" s="57"/>
      <c r="R1685" s="57"/>
    </row>
    <row r="1686" spans="17:18" x14ac:dyDescent="0.25">
      <c r="Q1686" s="57"/>
      <c r="R1686" s="57"/>
    </row>
    <row r="1687" spans="17:18" x14ac:dyDescent="0.25">
      <c r="Q1687" s="57"/>
      <c r="R1687" s="57"/>
    </row>
    <row r="1688" spans="17:18" x14ac:dyDescent="0.25">
      <c r="Q1688" s="57"/>
      <c r="R1688" s="57"/>
    </row>
    <row r="1689" spans="17:18" x14ac:dyDescent="0.25">
      <c r="Q1689" s="57"/>
      <c r="R1689" s="57"/>
    </row>
    <row r="1690" spans="17:18" x14ac:dyDescent="0.25">
      <c r="Q1690" s="57"/>
      <c r="R1690" s="57"/>
    </row>
    <row r="1691" spans="17:18" x14ac:dyDescent="0.25">
      <c r="Q1691" s="57"/>
      <c r="R1691" s="57"/>
    </row>
    <row r="1692" spans="17:18" x14ac:dyDescent="0.25">
      <c r="Q1692" s="57"/>
      <c r="R1692" s="57"/>
    </row>
    <row r="1693" spans="17:18" x14ac:dyDescent="0.25">
      <c r="Q1693" s="57"/>
      <c r="R1693" s="57"/>
    </row>
    <row r="1694" spans="17:18" x14ac:dyDescent="0.25">
      <c r="Q1694" s="57"/>
      <c r="R1694" s="57"/>
    </row>
    <row r="1695" spans="17:18" x14ac:dyDescent="0.25">
      <c r="Q1695" s="57"/>
      <c r="R1695" s="57"/>
    </row>
    <row r="1696" spans="17:18" x14ac:dyDescent="0.25">
      <c r="Q1696" s="57"/>
      <c r="R1696" s="57"/>
    </row>
    <row r="1697" spans="17:18" x14ac:dyDescent="0.25">
      <c r="Q1697" s="57"/>
      <c r="R1697" s="57"/>
    </row>
    <row r="1698" spans="17:18" x14ac:dyDescent="0.25">
      <c r="Q1698" s="57"/>
      <c r="R1698" s="57"/>
    </row>
    <row r="1699" spans="17:18" x14ac:dyDescent="0.25">
      <c r="Q1699" s="57"/>
      <c r="R1699" s="57"/>
    </row>
    <row r="1700" spans="17:18" x14ac:dyDescent="0.25">
      <c r="Q1700" s="57"/>
      <c r="R1700" s="57"/>
    </row>
    <row r="1701" spans="17:18" x14ac:dyDescent="0.25">
      <c r="Q1701" s="57"/>
      <c r="R1701" s="57"/>
    </row>
    <row r="1702" spans="17:18" x14ac:dyDescent="0.25">
      <c r="Q1702" s="57"/>
      <c r="R1702" s="57"/>
    </row>
    <row r="1703" spans="17:18" x14ac:dyDescent="0.25">
      <c r="Q1703" s="57"/>
      <c r="R1703" s="57"/>
    </row>
    <row r="1704" spans="17:18" x14ac:dyDescent="0.25">
      <c r="Q1704" s="57"/>
      <c r="R1704" s="57"/>
    </row>
    <row r="1705" spans="17:18" x14ac:dyDescent="0.25">
      <c r="Q1705" s="57"/>
      <c r="R1705" s="57"/>
    </row>
    <row r="1706" spans="17:18" x14ac:dyDescent="0.25">
      <c r="Q1706" s="57"/>
      <c r="R1706" s="57"/>
    </row>
    <row r="1707" spans="17:18" x14ac:dyDescent="0.25">
      <c r="Q1707" s="57"/>
      <c r="R1707" s="57"/>
    </row>
    <row r="1708" spans="17:18" x14ac:dyDescent="0.25">
      <c r="Q1708" s="57"/>
      <c r="R1708" s="57"/>
    </row>
    <row r="1709" spans="17:18" x14ac:dyDescent="0.25">
      <c r="Q1709" s="57"/>
      <c r="R1709" s="57"/>
    </row>
    <row r="1710" spans="17:18" x14ac:dyDescent="0.25">
      <c r="Q1710" s="57"/>
      <c r="R1710" s="57"/>
    </row>
    <row r="1711" spans="17:18" x14ac:dyDescent="0.25">
      <c r="Q1711" s="57"/>
      <c r="R1711" s="57"/>
    </row>
    <row r="1712" spans="17:18" x14ac:dyDescent="0.25">
      <c r="Q1712" s="57"/>
      <c r="R1712" s="57"/>
    </row>
    <row r="1713" spans="17:18" x14ac:dyDescent="0.25">
      <c r="Q1713" s="57"/>
      <c r="R1713" s="57"/>
    </row>
    <row r="1714" spans="17:18" x14ac:dyDescent="0.25">
      <c r="Q1714" s="57"/>
      <c r="R1714" s="57"/>
    </row>
    <row r="1715" spans="17:18" x14ac:dyDescent="0.25">
      <c r="Q1715" s="57"/>
      <c r="R1715" s="57"/>
    </row>
    <row r="1716" spans="17:18" x14ac:dyDescent="0.25">
      <c r="Q1716" s="57"/>
      <c r="R1716" s="57"/>
    </row>
    <row r="1717" spans="17:18" x14ac:dyDescent="0.25">
      <c r="Q1717" s="57"/>
      <c r="R1717" s="57"/>
    </row>
    <row r="1718" spans="17:18" x14ac:dyDescent="0.25">
      <c r="Q1718" s="57"/>
      <c r="R1718" s="57"/>
    </row>
    <row r="1719" spans="17:18" x14ac:dyDescent="0.25">
      <c r="Q1719" s="57"/>
      <c r="R1719" s="57"/>
    </row>
    <row r="1720" spans="17:18" x14ac:dyDescent="0.25">
      <c r="Q1720" s="57"/>
      <c r="R1720" s="57"/>
    </row>
    <row r="1721" spans="17:18" x14ac:dyDescent="0.25">
      <c r="Q1721" s="57"/>
      <c r="R1721" s="57"/>
    </row>
    <row r="1722" spans="17:18" x14ac:dyDescent="0.25">
      <c r="Q1722" s="57"/>
      <c r="R1722" s="57"/>
    </row>
    <row r="1723" spans="17:18" x14ac:dyDescent="0.25">
      <c r="Q1723" s="57"/>
      <c r="R1723" s="57"/>
    </row>
    <row r="1724" spans="17:18" x14ac:dyDescent="0.25">
      <c r="Q1724" s="57"/>
      <c r="R1724" s="57"/>
    </row>
    <row r="1725" spans="17:18" x14ac:dyDescent="0.25">
      <c r="Q1725" s="57"/>
      <c r="R1725" s="57"/>
    </row>
    <row r="1726" spans="17:18" x14ac:dyDescent="0.25">
      <c r="Q1726" s="57"/>
      <c r="R1726" s="57"/>
    </row>
    <row r="1727" spans="17:18" x14ac:dyDescent="0.25">
      <c r="Q1727" s="57"/>
      <c r="R1727" s="57"/>
    </row>
    <row r="1728" spans="17:18" x14ac:dyDescent="0.25">
      <c r="Q1728" s="57"/>
      <c r="R1728" s="57"/>
    </row>
    <row r="1729" spans="17:18" x14ac:dyDescent="0.25">
      <c r="Q1729" s="57"/>
      <c r="R1729" s="57"/>
    </row>
    <row r="1730" spans="17:18" x14ac:dyDescent="0.25">
      <c r="Q1730" s="57"/>
      <c r="R1730" s="57"/>
    </row>
    <row r="1731" spans="17:18" x14ac:dyDescent="0.25">
      <c r="Q1731" s="57"/>
      <c r="R1731" s="57"/>
    </row>
    <row r="1732" spans="17:18" x14ac:dyDescent="0.25">
      <c r="Q1732" s="57"/>
      <c r="R1732" s="57"/>
    </row>
    <row r="1733" spans="17:18" x14ac:dyDescent="0.25">
      <c r="Q1733" s="57"/>
      <c r="R1733" s="57"/>
    </row>
    <row r="1734" spans="17:18" x14ac:dyDescent="0.25">
      <c r="Q1734" s="57"/>
      <c r="R1734" s="57"/>
    </row>
    <row r="1735" spans="17:18" x14ac:dyDescent="0.25">
      <c r="Q1735" s="57"/>
      <c r="R1735" s="57"/>
    </row>
    <row r="1736" spans="17:18" x14ac:dyDescent="0.25">
      <c r="Q1736" s="57"/>
      <c r="R1736" s="57"/>
    </row>
    <row r="1737" spans="17:18" x14ac:dyDescent="0.25">
      <c r="Q1737" s="57"/>
      <c r="R1737" s="57"/>
    </row>
    <row r="1738" spans="17:18" x14ac:dyDescent="0.25">
      <c r="Q1738" s="57"/>
      <c r="R1738" s="57"/>
    </row>
    <row r="1739" spans="17:18" x14ac:dyDescent="0.25">
      <c r="Q1739" s="57"/>
      <c r="R1739" s="57"/>
    </row>
    <row r="1740" spans="17:18" x14ac:dyDescent="0.25">
      <c r="Q1740" s="57"/>
      <c r="R1740" s="57"/>
    </row>
    <row r="1741" spans="17:18" x14ac:dyDescent="0.25">
      <c r="Q1741" s="57"/>
      <c r="R1741" s="57"/>
    </row>
    <row r="1742" spans="17:18" x14ac:dyDescent="0.25">
      <c r="Q1742" s="57"/>
      <c r="R1742" s="57"/>
    </row>
    <row r="1743" spans="17:18" x14ac:dyDescent="0.25">
      <c r="Q1743" s="57"/>
      <c r="R1743" s="57"/>
    </row>
    <row r="1744" spans="17:18" x14ac:dyDescent="0.25">
      <c r="Q1744" s="57"/>
      <c r="R1744" s="57"/>
    </row>
    <row r="1745" spans="17:18" x14ac:dyDescent="0.25">
      <c r="Q1745" s="57"/>
      <c r="R1745" s="57"/>
    </row>
    <row r="1746" spans="17:18" x14ac:dyDescent="0.25">
      <c r="Q1746" s="57"/>
      <c r="R1746" s="57"/>
    </row>
    <row r="1747" spans="17:18" x14ac:dyDescent="0.25">
      <c r="Q1747" s="57"/>
      <c r="R1747" s="57"/>
    </row>
    <row r="1748" spans="17:18" x14ac:dyDescent="0.25">
      <c r="Q1748" s="57"/>
      <c r="R1748" s="57"/>
    </row>
    <row r="1749" spans="17:18" x14ac:dyDescent="0.25">
      <c r="Q1749" s="57"/>
      <c r="R1749" s="57"/>
    </row>
    <row r="1750" spans="17:18" x14ac:dyDescent="0.25">
      <c r="Q1750" s="57"/>
      <c r="R1750" s="57"/>
    </row>
    <row r="1751" spans="17:18" x14ac:dyDescent="0.25">
      <c r="Q1751" s="57"/>
      <c r="R1751" s="57"/>
    </row>
    <row r="1752" spans="17:18" x14ac:dyDescent="0.25">
      <c r="Q1752" s="57"/>
      <c r="R1752" s="57"/>
    </row>
    <row r="1753" spans="17:18" x14ac:dyDescent="0.25">
      <c r="Q1753" s="57"/>
      <c r="R1753" s="57"/>
    </row>
    <row r="1754" spans="17:18" x14ac:dyDescent="0.25">
      <c r="Q1754" s="57"/>
      <c r="R1754" s="57"/>
    </row>
    <row r="1755" spans="17:18" x14ac:dyDescent="0.25">
      <c r="Q1755" s="57"/>
      <c r="R1755" s="57"/>
    </row>
    <row r="1756" spans="17:18" x14ac:dyDescent="0.25">
      <c r="Q1756" s="57"/>
      <c r="R1756" s="57"/>
    </row>
    <row r="1757" spans="17:18" x14ac:dyDescent="0.25">
      <c r="Q1757" s="57"/>
      <c r="R1757" s="57"/>
    </row>
    <row r="1758" spans="17:18" x14ac:dyDescent="0.25">
      <c r="Q1758" s="57"/>
      <c r="R1758" s="57"/>
    </row>
    <row r="1759" spans="17:18" x14ac:dyDescent="0.25">
      <c r="Q1759" s="57"/>
      <c r="R1759" s="57"/>
    </row>
    <row r="1760" spans="17:18" x14ac:dyDescent="0.25">
      <c r="Q1760" s="57"/>
      <c r="R1760" s="57"/>
    </row>
    <row r="1761" spans="17:18" x14ac:dyDescent="0.25">
      <c r="Q1761" s="57"/>
      <c r="R1761" s="57"/>
    </row>
    <row r="1762" spans="17:18" x14ac:dyDescent="0.25">
      <c r="Q1762" s="57"/>
      <c r="R1762" s="57"/>
    </row>
    <row r="1763" spans="17:18" x14ac:dyDescent="0.25">
      <c r="Q1763" s="57"/>
      <c r="R1763" s="57"/>
    </row>
    <row r="1764" spans="17:18" x14ac:dyDescent="0.25">
      <c r="Q1764" s="57"/>
      <c r="R1764" s="57"/>
    </row>
    <row r="1765" spans="17:18" x14ac:dyDescent="0.25">
      <c r="Q1765" s="57"/>
      <c r="R1765" s="57"/>
    </row>
    <row r="1766" spans="17:18" x14ac:dyDescent="0.25">
      <c r="Q1766" s="57"/>
      <c r="R1766" s="57"/>
    </row>
    <row r="1767" spans="17:18" x14ac:dyDescent="0.25">
      <c r="Q1767" s="57"/>
      <c r="R1767" s="57"/>
    </row>
    <row r="1768" spans="17:18" x14ac:dyDescent="0.25">
      <c r="Q1768" s="57"/>
      <c r="R1768" s="57"/>
    </row>
    <row r="1769" spans="17:18" x14ac:dyDescent="0.25">
      <c r="Q1769" s="57"/>
      <c r="R1769" s="57"/>
    </row>
    <row r="1770" spans="17:18" x14ac:dyDescent="0.25">
      <c r="Q1770" s="57"/>
      <c r="R1770" s="57"/>
    </row>
    <row r="1771" spans="17:18" x14ac:dyDescent="0.25">
      <c r="Q1771" s="57"/>
      <c r="R1771" s="57"/>
    </row>
    <row r="1772" spans="17:18" x14ac:dyDescent="0.25">
      <c r="Q1772" s="57"/>
      <c r="R1772" s="57"/>
    </row>
    <row r="1773" spans="17:18" x14ac:dyDescent="0.25">
      <c r="Q1773" s="57"/>
      <c r="R1773" s="57"/>
    </row>
    <row r="1774" spans="17:18" x14ac:dyDescent="0.25">
      <c r="Q1774" s="57"/>
      <c r="R1774" s="57"/>
    </row>
    <row r="1775" spans="17:18" x14ac:dyDescent="0.25">
      <c r="Q1775" s="57"/>
      <c r="R1775" s="57"/>
    </row>
    <row r="1776" spans="17:18" x14ac:dyDescent="0.25">
      <c r="Q1776" s="57"/>
      <c r="R1776" s="57"/>
    </row>
    <row r="1777" spans="17:18" x14ac:dyDescent="0.25">
      <c r="Q1777" s="57"/>
      <c r="R1777" s="57"/>
    </row>
    <row r="1778" spans="17:18" x14ac:dyDescent="0.25">
      <c r="Q1778" s="57"/>
      <c r="R1778" s="57"/>
    </row>
    <row r="1779" spans="17:18" x14ac:dyDescent="0.25">
      <c r="Q1779" s="57"/>
      <c r="R1779" s="57"/>
    </row>
    <row r="1780" spans="17:18" x14ac:dyDescent="0.25">
      <c r="Q1780" s="57"/>
      <c r="R1780" s="57"/>
    </row>
    <row r="1781" spans="17:18" x14ac:dyDescent="0.25">
      <c r="Q1781" s="57"/>
      <c r="R1781" s="57"/>
    </row>
    <row r="1782" spans="17:18" x14ac:dyDescent="0.25">
      <c r="Q1782" s="57"/>
      <c r="R1782" s="57"/>
    </row>
    <row r="1783" spans="17:18" x14ac:dyDescent="0.25">
      <c r="Q1783" s="57"/>
      <c r="R1783" s="57"/>
    </row>
    <row r="1784" spans="17:18" x14ac:dyDescent="0.25">
      <c r="Q1784" s="57"/>
      <c r="R1784" s="57"/>
    </row>
    <row r="1785" spans="17:18" x14ac:dyDescent="0.25">
      <c r="Q1785" s="57"/>
      <c r="R1785" s="57"/>
    </row>
    <row r="1786" spans="17:18" x14ac:dyDescent="0.25">
      <c r="Q1786" s="57"/>
      <c r="R1786" s="57"/>
    </row>
    <row r="1787" spans="17:18" x14ac:dyDescent="0.25">
      <c r="Q1787" s="57"/>
      <c r="R1787" s="57"/>
    </row>
    <row r="1788" spans="17:18" x14ac:dyDescent="0.25">
      <c r="Q1788" s="57"/>
      <c r="R1788" s="57"/>
    </row>
    <row r="1789" spans="17:18" x14ac:dyDescent="0.25">
      <c r="Q1789" s="57"/>
      <c r="R1789" s="57"/>
    </row>
    <row r="1790" spans="17:18" x14ac:dyDescent="0.25">
      <c r="Q1790" s="57"/>
      <c r="R1790" s="57"/>
    </row>
    <row r="1791" spans="17:18" x14ac:dyDescent="0.25">
      <c r="Q1791" s="57"/>
      <c r="R1791" s="57"/>
    </row>
    <row r="1792" spans="17:18" x14ac:dyDescent="0.25">
      <c r="Q1792" s="57"/>
      <c r="R1792" s="57"/>
    </row>
    <row r="1793" spans="17:18" x14ac:dyDescent="0.25">
      <c r="Q1793" s="57"/>
      <c r="R1793" s="57"/>
    </row>
    <row r="1794" spans="17:18" x14ac:dyDescent="0.25">
      <c r="Q1794" s="57"/>
      <c r="R1794" s="57"/>
    </row>
    <row r="1795" spans="17:18" x14ac:dyDescent="0.25">
      <c r="Q1795" s="57"/>
      <c r="R1795" s="57"/>
    </row>
    <row r="1796" spans="17:18" x14ac:dyDescent="0.25">
      <c r="Q1796" s="57"/>
      <c r="R1796" s="57"/>
    </row>
    <row r="1797" spans="17:18" x14ac:dyDescent="0.25">
      <c r="Q1797" s="57"/>
      <c r="R1797" s="57"/>
    </row>
    <row r="1798" spans="17:18" x14ac:dyDescent="0.25">
      <c r="Q1798" s="57"/>
      <c r="R1798" s="57"/>
    </row>
    <row r="1799" spans="17:18" x14ac:dyDescent="0.25">
      <c r="Q1799" s="57"/>
      <c r="R1799" s="57"/>
    </row>
    <row r="1800" spans="17:18" x14ac:dyDescent="0.25">
      <c r="Q1800" s="57"/>
      <c r="R1800" s="57"/>
    </row>
    <row r="1801" spans="17:18" x14ac:dyDescent="0.25">
      <c r="Q1801" s="57"/>
      <c r="R1801" s="57"/>
    </row>
    <row r="1802" spans="17:18" x14ac:dyDescent="0.25">
      <c r="Q1802" s="57"/>
      <c r="R1802" s="57"/>
    </row>
    <row r="1803" spans="17:18" x14ac:dyDescent="0.25">
      <c r="Q1803" s="57"/>
      <c r="R1803" s="57"/>
    </row>
    <row r="1804" spans="17:18" x14ac:dyDescent="0.25">
      <c r="Q1804" s="57"/>
      <c r="R1804" s="57"/>
    </row>
    <row r="1805" spans="17:18" x14ac:dyDescent="0.25">
      <c r="Q1805" s="57"/>
      <c r="R1805" s="57"/>
    </row>
    <row r="1806" spans="17:18" x14ac:dyDescent="0.25">
      <c r="Q1806" s="57"/>
      <c r="R1806" s="57"/>
    </row>
    <row r="1807" spans="17:18" x14ac:dyDescent="0.25">
      <c r="Q1807" s="57"/>
      <c r="R1807" s="57"/>
    </row>
    <row r="1808" spans="17:18" x14ac:dyDescent="0.25">
      <c r="Q1808" s="57"/>
      <c r="R1808" s="57"/>
    </row>
    <row r="1809" spans="17:18" x14ac:dyDescent="0.25">
      <c r="Q1809" s="57"/>
      <c r="R1809" s="57"/>
    </row>
    <row r="1810" spans="17:18" x14ac:dyDescent="0.25">
      <c r="Q1810" s="57"/>
      <c r="R1810" s="57"/>
    </row>
    <row r="1811" spans="17:18" x14ac:dyDescent="0.25">
      <c r="Q1811" s="57"/>
      <c r="R1811" s="57"/>
    </row>
    <row r="1812" spans="17:18" x14ac:dyDescent="0.25">
      <c r="Q1812" s="57"/>
      <c r="R1812" s="57"/>
    </row>
    <row r="1813" spans="17:18" x14ac:dyDescent="0.25">
      <c r="Q1813" s="57"/>
      <c r="R1813" s="57"/>
    </row>
    <row r="1814" spans="17:18" x14ac:dyDescent="0.25">
      <c r="Q1814" s="57"/>
      <c r="R1814" s="57"/>
    </row>
    <row r="1815" spans="17:18" x14ac:dyDescent="0.25">
      <c r="Q1815" s="57"/>
      <c r="R1815" s="57"/>
    </row>
    <row r="1816" spans="17:18" x14ac:dyDescent="0.25">
      <c r="Q1816" s="57"/>
      <c r="R1816" s="57"/>
    </row>
    <row r="1817" spans="17:18" x14ac:dyDescent="0.25">
      <c r="Q1817" s="57"/>
      <c r="R1817" s="57"/>
    </row>
    <row r="1818" spans="17:18" x14ac:dyDescent="0.25">
      <c r="Q1818" s="57"/>
      <c r="R1818" s="57"/>
    </row>
    <row r="1819" spans="17:18" x14ac:dyDescent="0.25">
      <c r="Q1819" s="57"/>
      <c r="R1819" s="57"/>
    </row>
    <row r="1820" spans="17:18" x14ac:dyDescent="0.25">
      <c r="Q1820" s="57"/>
      <c r="R1820" s="57"/>
    </row>
    <row r="1821" spans="17:18" x14ac:dyDescent="0.25">
      <c r="Q1821" s="57"/>
      <c r="R1821" s="57"/>
    </row>
    <row r="1822" spans="17:18" x14ac:dyDescent="0.25">
      <c r="Q1822" s="57"/>
      <c r="R1822" s="57"/>
    </row>
    <row r="1823" spans="17:18" x14ac:dyDescent="0.25">
      <c r="Q1823" s="57"/>
      <c r="R1823" s="57"/>
    </row>
    <row r="1824" spans="17:18" x14ac:dyDescent="0.25">
      <c r="Q1824" s="57"/>
      <c r="R1824" s="57"/>
    </row>
    <row r="1825" spans="17:18" x14ac:dyDescent="0.25">
      <c r="Q1825" s="57"/>
      <c r="R1825" s="57"/>
    </row>
    <row r="1826" spans="17:18" x14ac:dyDescent="0.25">
      <c r="Q1826" s="57"/>
      <c r="R1826" s="57"/>
    </row>
    <row r="1827" spans="17:18" x14ac:dyDescent="0.25">
      <c r="Q1827" s="57"/>
      <c r="R1827" s="57"/>
    </row>
    <row r="1828" spans="17:18" x14ac:dyDescent="0.25">
      <c r="Q1828" s="57"/>
      <c r="R1828" s="57"/>
    </row>
    <row r="1829" spans="17:18" x14ac:dyDescent="0.25">
      <c r="Q1829" s="57"/>
      <c r="R1829" s="57"/>
    </row>
    <row r="1830" spans="17:18" x14ac:dyDescent="0.25">
      <c r="Q1830" s="57"/>
      <c r="R1830" s="57"/>
    </row>
    <row r="1831" spans="17:18" x14ac:dyDescent="0.25">
      <c r="Q1831" s="57"/>
      <c r="R1831" s="57"/>
    </row>
  </sheetData>
  <mergeCells count="3">
    <mergeCell ref="Q14:S14"/>
    <mergeCell ref="AA31:AD31"/>
    <mergeCell ref="AE31:AH3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1831"/>
  <sheetViews>
    <sheetView tabSelected="1" zoomScale="90" zoomScaleNormal="90" workbookViewId="0">
      <selection activeCell="T24" sqref="T24"/>
    </sheetView>
  </sheetViews>
  <sheetFormatPr defaultRowHeight="15" x14ac:dyDescent="0.25"/>
  <cols>
    <col min="16" max="16" width="6.5703125" customWidth="1"/>
    <col min="17" max="17" width="9.5703125" bestFit="1" customWidth="1"/>
    <col min="18" max="18" width="18.28515625" bestFit="1" customWidth="1"/>
    <col min="19" max="19" width="10" customWidth="1"/>
    <col min="20" max="20" width="12.42578125" bestFit="1" customWidth="1"/>
    <col min="21" max="21" width="7" bestFit="1" customWidth="1"/>
    <col min="22" max="22" width="54" bestFit="1" customWidth="1"/>
    <col min="23" max="23" width="8.7109375" bestFit="1" customWidth="1"/>
    <col min="24" max="24" width="9" bestFit="1" customWidth="1"/>
    <col min="25" max="25" width="7" style="80" bestFit="1" customWidth="1"/>
    <col min="26" max="26" width="8.7109375" bestFit="1" customWidth="1"/>
    <col min="27" max="27" width="51" bestFit="1" customWidth="1"/>
    <col min="28" max="28" width="9.5703125" bestFit="1" customWidth="1"/>
    <col min="31" max="31" width="9.5703125" bestFit="1" customWidth="1"/>
    <col min="35" max="35" width="19.5703125" bestFit="1" customWidth="1"/>
  </cols>
  <sheetData>
    <row r="1" spans="16:30" ht="15.75" thickBot="1" x14ac:dyDescent="0.3"/>
    <row r="2" spans="16:30" ht="15.75" thickBot="1" x14ac:dyDescent="0.3">
      <c r="V2" s="1" t="s">
        <v>0</v>
      </c>
      <c r="W2" s="2"/>
      <c r="X2" s="2"/>
      <c r="Y2" s="81"/>
    </row>
    <row r="3" spans="16:30" x14ac:dyDescent="0.25">
      <c r="Q3" t="s">
        <v>1</v>
      </c>
      <c r="V3" s="4" t="s">
        <v>2</v>
      </c>
      <c r="W3" s="5" t="s">
        <v>3</v>
      </c>
      <c r="X3" s="5" t="s">
        <v>4</v>
      </c>
      <c r="Y3" s="82"/>
      <c r="AB3">
        <v>0</v>
      </c>
      <c r="AC3" s="7">
        <f>Q5</f>
        <v>3</v>
      </c>
      <c r="AD3">
        <f>AC3/10</f>
        <v>0.3</v>
      </c>
    </row>
    <row r="4" spans="16:30" x14ac:dyDescent="0.25">
      <c r="Q4" t="s">
        <v>5</v>
      </c>
      <c r="R4" t="s">
        <v>6</v>
      </c>
      <c r="S4" t="s">
        <v>7</v>
      </c>
      <c r="T4" t="s">
        <v>8</v>
      </c>
      <c r="V4" s="8" t="s">
        <v>9</v>
      </c>
      <c r="W4" s="9" t="s">
        <v>10</v>
      </c>
      <c r="X4" s="9"/>
      <c r="Y4" s="10" t="s">
        <v>11</v>
      </c>
      <c r="AB4">
        <f>R5</f>
        <v>74.400000000000006</v>
      </c>
      <c r="AC4" s="7">
        <f>AC3</f>
        <v>3</v>
      </c>
      <c r="AD4">
        <f t="shared" ref="AD4:AD16" si="0">AC4/10</f>
        <v>0.3</v>
      </c>
    </row>
    <row r="5" spans="16:30" x14ac:dyDescent="0.25">
      <c r="Q5">
        <v>3</v>
      </c>
      <c r="R5">
        <f>T5</f>
        <v>74.400000000000006</v>
      </c>
      <c r="S5">
        <v>200</v>
      </c>
      <c r="T5">
        <f>1.24*60</f>
        <v>74.400000000000006</v>
      </c>
      <c r="V5" s="8" t="s">
        <v>12</v>
      </c>
      <c r="W5" s="9" t="s">
        <v>13</v>
      </c>
      <c r="X5" s="12">
        <v>3.8</v>
      </c>
      <c r="Y5" s="10">
        <v>53</v>
      </c>
      <c r="AB5">
        <f>AB4</f>
        <v>74.400000000000006</v>
      </c>
      <c r="AC5" s="7">
        <f>Q6</f>
        <v>8</v>
      </c>
      <c r="AD5">
        <f t="shared" si="0"/>
        <v>0.8</v>
      </c>
    </row>
    <row r="6" spans="16:30" x14ac:dyDescent="0.25">
      <c r="Q6">
        <v>8</v>
      </c>
      <c r="R6">
        <f>R5+T6</f>
        <v>134.4</v>
      </c>
      <c r="S6">
        <v>200</v>
      </c>
      <c r="T6">
        <v>60</v>
      </c>
      <c r="V6" s="8" t="s">
        <v>14</v>
      </c>
      <c r="W6" s="9" t="s">
        <v>13</v>
      </c>
      <c r="X6" s="12">
        <v>5</v>
      </c>
      <c r="Y6" s="10">
        <v>55</v>
      </c>
      <c r="AB6">
        <f>R6</f>
        <v>134.4</v>
      </c>
      <c r="AC6" s="7">
        <f>AC5</f>
        <v>8</v>
      </c>
      <c r="AD6">
        <f t="shared" si="0"/>
        <v>0.8</v>
      </c>
    </row>
    <row r="7" spans="16:30" x14ac:dyDescent="0.25">
      <c r="Q7" s="14">
        <v>44</v>
      </c>
      <c r="R7">
        <f>R6+T7</f>
        <v>176.4</v>
      </c>
      <c r="S7">
        <v>50</v>
      </c>
      <c r="T7">
        <v>42</v>
      </c>
      <c r="V7" s="8" t="s">
        <v>15</v>
      </c>
      <c r="W7" s="9" t="s">
        <v>13</v>
      </c>
      <c r="X7" s="12">
        <v>0.5</v>
      </c>
      <c r="Y7" s="10">
        <v>57</v>
      </c>
      <c r="AB7">
        <f>AB6</f>
        <v>134.4</v>
      </c>
      <c r="AC7" s="7">
        <f>Q7</f>
        <v>44</v>
      </c>
      <c r="AD7">
        <f t="shared" si="0"/>
        <v>4.4000000000000004</v>
      </c>
    </row>
    <row r="8" spans="16:30" x14ac:dyDescent="0.25">
      <c r="Q8" s="14">
        <v>50</v>
      </c>
      <c r="R8" s="7">
        <f>R7+T8</f>
        <v>206.4</v>
      </c>
      <c r="S8">
        <v>50</v>
      </c>
      <c r="T8">
        <v>30</v>
      </c>
      <c r="V8" s="8" t="s">
        <v>73</v>
      </c>
      <c r="W8" s="9" t="s">
        <v>13</v>
      </c>
      <c r="X8" s="12">
        <v>0.37</v>
      </c>
      <c r="Y8" s="10">
        <v>59</v>
      </c>
      <c r="AB8">
        <f>R7</f>
        <v>176.4</v>
      </c>
      <c r="AC8" s="7">
        <f>AC7</f>
        <v>44</v>
      </c>
      <c r="AD8">
        <f t="shared" si="0"/>
        <v>4.4000000000000004</v>
      </c>
    </row>
    <row r="9" spans="16:30" x14ac:dyDescent="0.25">
      <c r="Q9">
        <v>60</v>
      </c>
      <c r="R9" s="7">
        <f>R8+T9</f>
        <v>305.39999999999998</v>
      </c>
      <c r="S9">
        <v>50</v>
      </c>
      <c r="T9">
        <f>1.65*60</f>
        <v>99</v>
      </c>
      <c r="V9" s="8" t="s">
        <v>17</v>
      </c>
      <c r="W9" s="9" t="s">
        <v>13</v>
      </c>
      <c r="X9" s="12">
        <v>1</v>
      </c>
      <c r="Y9" s="10">
        <v>61</v>
      </c>
      <c r="AB9">
        <f>AB8</f>
        <v>176.4</v>
      </c>
      <c r="AC9" s="7">
        <f>Q8</f>
        <v>50</v>
      </c>
      <c r="AD9">
        <f t="shared" si="0"/>
        <v>5</v>
      </c>
    </row>
    <row r="10" spans="16:30" x14ac:dyDescent="0.25">
      <c r="Q10">
        <v>87</v>
      </c>
      <c r="R10" s="7">
        <f t="shared" ref="R10:R11" si="1">R9+T10</f>
        <v>385.2</v>
      </c>
      <c r="S10">
        <v>50</v>
      </c>
      <c r="T10">
        <f>1.33*60</f>
        <v>79.800000000000011</v>
      </c>
      <c r="V10" s="8" t="s">
        <v>18</v>
      </c>
      <c r="W10" s="9" t="s">
        <v>13</v>
      </c>
      <c r="X10" s="12">
        <v>1</v>
      </c>
      <c r="Y10" s="10">
        <v>63</v>
      </c>
      <c r="AB10">
        <f>R8</f>
        <v>206.4</v>
      </c>
      <c r="AC10" s="7">
        <f>AC9</f>
        <v>50</v>
      </c>
      <c r="AD10">
        <f t="shared" si="0"/>
        <v>5</v>
      </c>
    </row>
    <row r="11" spans="16:30" x14ac:dyDescent="0.25">
      <c r="Q11">
        <v>227</v>
      </c>
      <c r="R11" s="7">
        <f t="shared" si="1"/>
        <v>456</v>
      </c>
      <c r="S11">
        <v>50</v>
      </c>
      <c r="T11">
        <f>1.18*60</f>
        <v>70.8</v>
      </c>
      <c r="V11" s="8" t="s">
        <v>19</v>
      </c>
      <c r="W11" s="9" t="s">
        <v>13</v>
      </c>
      <c r="X11" s="12">
        <v>3.6</v>
      </c>
      <c r="Y11" s="10">
        <v>65</v>
      </c>
      <c r="AB11">
        <f>AB10</f>
        <v>206.4</v>
      </c>
      <c r="AC11" s="7">
        <f>Q9</f>
        <v>60</v>
      </c>
      <c r="AD11">
        <f t="shared" si="0"/>
        <v>6</v>
      </c>
    </row>
    <row r="12" spans="16:30" x14ac:dyDescent="0.25">
      <c r="P12" s="11" t="s">
        <v>20</v>
      </c>
      <c r="Q12" s="11">
        <f>Q5*T5/60+Q6*T6/60+Q7*T7/60+Q8*T8/60+Q9*T9/60+Q10*T10/60+Q11*T11/60</f>
        <v>550.08999999999992</v>
      </c>
      <c r="R12" s="18"/>
      <c r="S12" s="11"/>
      <c r="T12" s="11">
        <f>SUM(T5:T11)</f>
        <v>456</v>
      </c>
      <c r="V12" s="8"/>
      <c r="W12" s="9"/>
      <c r="X12" s="9"/>
      <c r="Y12" s="10"/>
      <c r="Z12" s="7"/>
      <c r="AB12">
        <f>R9</f>
        <v>305.39999999999998</v>
      </c>
      <c r="AC12" s="7">
        <f>AC11</f>
        <v>60</v>
      </c>
      <c r="AD12">
        <f t="shared" si="0"/>
        <v>6</v>
      </c>
    </row>
    <row r="13" spans="16:30" x14ac:dyDescent="0.25">
      <c r="R13" s="7"/>
      <c r="V13" s="8"/>
      <c r="W13" s="9"/>
      <c r="X13" s="9"/>
      <c r="Y13" s="10"/>
      <c r="Z13" s="7"/>
      <c r="AB13">
        <f>AB12</f>
        <v>305.39999999999998</v>
      </c>
      <c r="AC13" s="7">
        <f>Q10</f>
        <v>87</v>
      </c>
      <c r="AD13">
        <f t="shared" si="0"/>
        <v>8.6999999999999993</v>
      </c>
    </row>
    <row r="14" spans="16:30" x14ac:dyDescent="0.25">
      <c r="Q14" s="19" t="s">
        <v>21</v>
      </c>
      <c r="R14" s="19"/>
      <c r="S14" s="19"/>
      <c r="T14" s="20">
        <f>SUM(AI33:AI632)/60</f>
        <v>17.660613514873173</v>
      </c>
      <c r="V14" s="15"/>
      <c r="W14" s="16"/>
      <c r="X14" s="16"/>
      <c r="Y14" s="13"/>
      <c r="AB14">
        <f>R10</f>
        <v>385.2</v>
      </c>
      <c r="AC14" s="7">
        <f>AC13</f>
        <v>87</v>
      </c>
      <c r="AD14">
        <f t="shared" si="0"/>
        <v>8.6999999999999993</v>
      </c>
    </row>
    <row r="15" spans="16:30" x14ac:dyDescent="0.25">
      <c r="V15" s="21" t="s">
        <v>22</v>
      </c>
      <c r="W15" s="16" t="s">
        <v>23</v>
      </c>
      <c r="X15" s="16"/>
      <c r="Y15" s="13"/>
      <c r="AB15">
        <f>AB14</f>
        <v>385.2</v>
      </c>
      <c r="AC15" s="7">
        <f>Q11</f>
        <v>227</v>
      </c>
      <c r="AD15">
        <f t="shared" si="0"/>
        <v>22.7</v>
      </c>
    </row>
    <row r="16" spans="16:30" x14ac:dyDescent="0.25">
      <c r="Q16" s="11" t="s">
        <v>24</v>
      </c>
      <c r="R16" s="11"/>
      <c r="S16" s="11"/>
      <c r="T16" s="22">
        <f>((X19/2)^2+(X19/2)*(X21/2)+(X21/2)^2)*X22*3.1415/3+X19^2*3.1415/4*(X20-X22)</f>
        <v>664.54828414124995</v>
      </c>
      <c r="V16" s="21" t="s">
        <v>25</v>
      </c>
      <c r="W16" s="16">
        <v>20</v>
      </c>
      <c r="X16" s="16" t="s">
        <v>26</v>
      </c>
      <c r="Y16" s="13">
        <v>71</v>
      </c>
      <c r="AB16">
        <f>R11</f>
        <v>456</v>
      </c>
      <c r="AC16" s="7">
        <f>AC15</f>
        <v>227</v>
      </c>
      <c r="AD16">
        <f t="shared" si="0"/>
        <v>22.7</v>
      </c>
    </row>
    <row r="17" spans="1:41" ht="15.75" thickBot="1" x14ac:dyDescent="0.3">
      <c r="V17" s="21" t="s">
        <v>27</v>
      </c>
      <c r="W17" s="16">
        <v>0.2</v>
      </c>
      <c r="X17" s="16" t="s">
        <v>28</v>
      </c>
      <c r="Y17" s="13">
        <v>69</v>
      </c>
      <c r="AC17" s="7"/>
    </row>
    <row r="18" spans="1:41" x14ac:dyDescent="0.25">
      <c r="Q18" t="s">
        <v>29</v>
      </c>
      <c r="T18" s="27">
        <v>5.5</v>
      </c>
      <c r="V18" s="28"/>
      <c r="W18" s="29"/>
      <c r="X18" s="29"/>
      <c r="Y18" s="30"/>
      <c r="AC18" s="7"/>
    </row>
    <row r="19" spans="1:41" x14ac:dyDescent="0.25">
      <c r="V19" s="15" t="s">
        <v>30</v>
      </c>
      <c r="W19" s="16"/>
      <c r="X19" s="31">
        <v>8.1</v>
      </c>
      <c r="Y19" s="13">
        <v>10</v>
      </c>
      <c r="AC19" s="7"/>
    </row>
    <row r="20" spans="1:41" x14ac:dyDescent="0.25">
      <c r="Q20" s="11" t="s">
        <v>31</v>
      </c>
      <c r="R20" s="11"/>
      <c r="S20" s="11"/>
      <c r="T20" s="11">
        <f>(Q12-T18*X19^2*3.1415/4-T14)/T16</f>
        <v>0.37472505279570745</v>
      </c>
      <c r="V20" s="15" t="s">
        <v>32</v>
      </c>
      <c r="W20" s="16"/>
      <c r="X20" s="31">
        <f>(10272)/1000+X22</f>
        <v>16.728999999999999</v>
      </c>
      <c r="Y20" s="13">
        <v>12</v>
      </c>
      <c r="AA20" s="32" t="s">
        <v>93</v>
      </c>
      <c r="AB20" s="7">
        <f>B144</f>
        <v>0</v>
      </c>
      <c r="AC20" t="s">
        <v>26</v>
      </c>
    </row>
    <row r="21" spans="1:41" x14ac:dyDescent="0.25">
      <c r="V21" s="15" t="s">
        <v>33</v>
      </c>
      <c r="W21" s="16"/>
      <c r="X21" s="31">
        <v>1.5</v>
      </c>
      <c r="Y21" s="13">
        <v>14</v>
      </c>
      <c r="AB21" s="14">
        <f>AB20/60</f>
        <v>0</v>
      </c>
      <c r="AC21" t="s">
        <v>94</v>
      </c>
    </row>
    <row r="22" spans="1:41" x14ac:dyDescent="0.25">
      <c r="R22" s="14"/>
      <c r="S22" s="32" t="s">
        <v>34</v>
      </c>
      <c r="T22" s="14">
        <f>F137/1000</f>
        <v>538.93399999999997</v>
      </c>
      <c r="V22" s="15" t="s">
        <v>35</v>
      </c>
      <c r="W22" s="16"/>
      <c r="X22" s="31">
        <f>(1032+5425)/1000</f>
        <v>6.4569999999999999</v>
      </c>
      <c r="Y22" s="13">
        <v>16</v>
      </c>
      <c r="AC22" s="7"/>
    </row>
    <row r="23" spans="1:41" x14ac:dyDescent="0.25">
      <c r="S23" s="32" t="s">
        <v>36</v>
      </c>
      <c r="T23" s="14">
        <f>F138/1000</f>
        <v>13.315100000000001</v>
      </c>
      <c r="V23" s="15" t="s">
        <v>37</v>
      </c>
      <c r="W23" s="16"/>
      <c r="X23" s="33">
        <v>3</v>
      </c>
      <c r="Y23" s="13">
        <v>20</v>
      </c>
    </row>
    <row r="24" spans="1:41" x14ac:dyDescent="0.25">
      <c r="V24" s="15" t="s">
        <v>38</v>
      </c>
      <c r="W24" s="16"/>
      <c r="X24" s="34">
        <f>AA33</f>
        <v>370.13961979015158</v>
      </c>
      <c r="Y24" s="13">
        <v>22</v>
      </c>
    </row>
    <row r="25" spans="1:41" x14ac:dyDescent="0.25">
      <c r="V25" s="15" t="s">
        <v>40</v>
      </c>
      <c r="W25" s="16"/>
      <c r="X25" s="31">
        <v>1350</v>
      </c>
      <c r="Y25" s="13">
        <v>43</v>
      </c>
    </row>
    <row r="26" spans="1:41" x14ac:dyDescent="0.25">
      <c r="V26" s="15" t="s">
        <v>41</v>
      </c>
      <c r="W26" s="16"/>
      <c r="X26" s="31">
        <v>0.26</v>
      </c>
      <c r="Y26" s="13">
        <v>45</v>
      </c>
    </row>
    <row r="27" spans="1:41" ht="15" customHeight="1" x14ac:dyDescent="0.25">
      <c r="Q27" s="35"/>
      <c r="R27" s="35"/>
      <c r="S27" s="35"/>
      <c r="T27" s="35"/>
      <c r="V27" s="15" t="s">
        <v>92</v>
      </c>
      <c r="W27" s="16"/>
      <c r="X27" s="83">
        <v>0.59</v>
      </c>
      <c r="Y27" s="13">
        <v>47</v>
      </c>
    </row>
    <row r="28" spans="1:41" ht="15" customHeight="1" thickBot="1" x14ac:dyDescent="0.3">
      <c r="Q28" s="35"/>
      <c r="R28" s="35"/>
      <c r="S28" s="35"/>
      <c r="T28" s="35"/>
      <c r="U28" s="35"/>
      <c r="V28" s="36" t="s">
        <v>43</v>
      </c>
      <c r="W28" s="37"/>
      <c r="X28" s="38">
        <v>0.95</v>
      </c>
      <c r="Y28" s="77">
        <v>49</v>
      </c>
      <c r="Z28" s="35"/>
      <c r="AA28" s="39" t="s">
        <v>44</v>
      </c>
      <c r="AB28" s="35"/>
    </row>
    <row r="29" spans="1:41" x14ac:dyDescent="0.25">
      <c r="AA29" s="44">
        <v>41969.86041666667</v>
      </c>
      <c r="AB29" s="44"/>
      <c r="AC29" s="44"/>
      <c r="AD29" s="44"/>
      <c r="AE29" s="44"/>
      <c r="AF29" s="44"/>
      <c r="AH29" s="35"/>
      <c r="AI29" s="47" t="s">
        <v>48</v>
      </c>
      <c r="AK29" s="35"/>
      <c r="AL29" s="35"/>
      <c r="AM29" s="35"/>
      <c r="AN29" s="35"/>
      <c r="AO29" s="35"/>
    </row>
    <row r="30" spans="1:41" ht="15.75" thickBot="1" x14ac:dyDescent="0.3">
      <c r="AA30" s="45" t="s">
        <v>47</v>
      </c>
      <c r="AB30" s="45"/>
      <c r="AH30" s="46"/>
      <c r="AI30" t="s">
        <v>95</v>
      </c>
    </row>
    <row r="31" spans="1:41" x14ac:dyDescent="0.25">
      <c r="D31" t="s">
        <v>50</v>
      </c>
      <c r="F31" t="s">
        <v>50</v>
      </c>
      <c r="G31" t="s">
        <v>50</v>
      </c>
      <c r="W31" s="11">
        <f>COUNTA(W32:W132)</f>
        <v>101</v>
      </c>
      <c r="Z31" t="s">
        <v>49</v>
      </c>
      <c r="AA31" s="48" t="s">
        <v>52</v>
      </c>
      <c r="AB31" s="49"/>
      <c r="AC31" s="49"/>
      <c r="AD31" s="50"/>
      <c r="AE31" s="48" t="s">
        <v>53</v>
      </c>
      <c r="AF31" s="49"/>
      <c r="AG31" s="49"/>
      <c r="AH31" s="50"/>
      <c r="AI31" s="47" t="s">
        <v>96</v>
      </c>
      <c r="AL31">
        <v>0</v>
      </c>
      <c r="AM31">
        <v>236.92500000000001</v>
      </c>
    </row>
    <row r="32" spans="1:41" x14ac:dyDescent="0.25">
      <c r="A32" s="51" t="s">
        <v>56</v>
      </c>
      <c r="B32" t="s">
        <v>57</v>
      </c>
      <c r="C32" t="s">
        <v>58</v>
      </c>
      <c r="D32" t="s">
        <v>59</v>
      </c>
      <c r="E32" t="s">
        <v>60</v>
      </c>
      <c r="F32" t="s">
        <v>61</v>
      </c>
      <c r="G32" t="s">
        <v>62</v>
      </c>
      <c r="H32" t="s">
        <v>63</v>
      </c>
      <c r="I32" t="s">
        <v>64</v>
      </c>
      <c r="V32" s="14"/>
      <c r="W32">
        <v>0</v>
      </c>
      <c r="X32" s="14">
        <f>TRUNC(AA33,1)</f>
        <v>370.1</v>
      </c>
      <c r="Z32">
        <v>0</v>
      </c>
      <c r="AA32" s="52" t="s">
        <v>67</v>
      </c>
      <c r="AB32" s="53" t="s">
        <v>68</v>
      </c>
      <c r="AC32" s="53" t="s">
        <v>69</v>
      </c>
      <c r="AD32" s="54" t="s">
        <v>70</v>
      </c>
      <c r="AE32" s="52" t="s">
        <v>67</v>
      </c>
      <c r="AF32" s="53" t="s">
        <v>68</v>
      </c>
      <c r="AG32" s="53" t="s">
        <v>69</v>
      </c>
      <c r="AH32" s="54" t="s">
        <v>70</v>
      </c>
      <c r="AI32" s="55" t="s">
        <v>97</v>
      </c>
      <c r="AL32">
        <v>1</v>
      </c>
      <c r="AM32">
        <v>159.36799999999999</v>
      </c>
    </row>
    <row r="33" spans="1:39" x14ac:dyDescent="0.25">
      <c r="A33" s="7">
        <v>0</v>
      </c>
      <c r="B33" s="7">
        <v>328.10700000000003</v>
      </c>
      <c r="C33" s="7">
        <v>370.1</v>
      </c>
      <c r="D33" s="7">
        <v>370.1</v>
      </c>
      <c r="E33" s="7">
        <v>370.1</v>
      </c>
      <c r="F33" s="14">
        <v>3</v>
      </c>
      <c r="G33" s="14">
        <v>0</v>
      </c>
      <c r="H33" s="7">
        <v>370.1</v>
      </c>
      <c r="I33" s="7">
        <v>370.1</v>
      </c>
      <c r="J33" s="7"/>
      <c r="M33" s="14"/>
      <c r="N33" s="57"/>
      <c r="Q33" s="57"/>
      <c r="R33" s="57"/>
      <c r="W33">
        <f>W32+5</f>
        <v>5</v>
      </c>
      <c r="X33" s="14">
        <f>TRUNC(VLOOKUP(W33,$Z$32:$AA$631,2,FALSE),1)</f>
        <v>370</v>
      </c>
      <c r="Z33">
        <v>1</v>
      </c>
      <c r="AA33" s="58">
        <v>370.13961979015158</v>
      </c>
      <c r="AB33" s="59">
        <v>35.100325094140842</v>
      </c>
      <c r="AC33" s="59">
        <v>405.23994488429241</v>
      </c>
      <c r="AD33" s="60">
        <v>335.03929469601076</v>
      </c>
      <c r="AE33" s="61">
        <v>1</v>
      </c>
      <c r="AF33" s="62">
        <v>0</v>
      </c>
      <c r="AG33" s="62">
        <v>1</v>
      </c>
      <c r="AH33" s="63">
        <v>1</v>
      </c>
      <c r="AI33">
        <v>0</v>
      </c>
      <c r="AL33">
        <v>2</v>
      </c>
      <c r="AM33">
        <v>157.09700000000001</v>
      </c>
    </row>
    <row r="34" spans="1:39" x14ac:dyDescent="0.25">
      <c r="A34" s="7">
        <v>5</v>
      </c>
      <c r="B34" s="7">
        <v>326.06099999999998</v>
      </c>
      <c r="C34" s="7">
        <v>368.89</v>
      </c>
      <c r="D34" s="7">
        <v>369.81200000000001</v>
      </c>
      <c r="E34" s="7">
        <v>370.06099999999998</v>
      </c>
      <c r="F34" s="14">
        <v>3</v>
      </c>
      <c r="G34" s="14">
        <v>0</v>
      </c>
      <c r="H34" s="7">
        <v>358.43</v>
      </c>
      <c r="I34" s="7">
        <v>365.77100000000002</v>
      </c>
      <c r="J34" s="7"/>
      <c r="M34" s="14"/>
      <c r="N34" s="57"/>
      <c r="Q34" s="57"/>
      <c r="R34" s="57"/>
      <c r="W34">
        <f t="shared" ref="W34:W97" si="2">W33+5</f>
        <v>10</v>
      </c>
      <c r="X34" s="14">
        <f t="shared" ref="X34:X97" si="3">TRUNC(VLOOKUP(W34,$Z$32:$AA$631,2,FALSE),1)</f>
        <v>369.9</v>
      </c>
      <c r="Z34">
        <v>2</v>
      </c>
      <c r="AA34" s="58">
        <v>370.15296506575368</v>
      </c>
      <c r="AB34" s="59">
        <v>35.131198320749313</v>
      </c>
      <c r="AC34" s="59">
        <v>405.284163386503</v>
      </c>
      <c r="AD34" s="60">
        <v>335.02176674500436</v>
      </c>
      <c r="AE34" s="61">
        <v>1.0000281590404745</v>
      </c>
      <c r="AF34" s="62">
        <v>5.4587972812251983E-4</v>
      </c>
      <c r="AG34" s="62">
        <v>1.0005740387685971</v>
      </c>
      <c r="AH34" s="63">
        <v>0.99948227931235201</v>
      </c>
      <c r="AI34">
        <v>0</v>
      </c>
      <c r="AL34">
        <v>3</v>
      </c>
      <c r="AM34">
        <v>157.09700000000001</v>
      </c>
    </row>
    <row r="35" spans="1:39" x14ac:dyDescent="0.25">
      <c r="A35" s="7">
        <v>10</v>
      </c>
      <c r="B35" s="7">
        <v>325.96499999999997</v>
      </c>
      <c r="C35" s="7">
        <v>367.62299999999999</v>
      </c>
      <c r="D35" s="7">
        <v>369.60300000000001</v>
      </c>
      <c r="E35" s="7">
        <v>370.01900000000001</v>
      </c>
      <c r="F35" s="14">
        <v>3</v>
      </c>
      <c r="G35" s="14">
        <v>0</v>
      </c>
      <c r="H35" s="7">
        <v>357.25099999999998</v>
      </c>
      <c r="I35" s="7">
        <v>365.53399999999999</v>
      </c>
      <c r="J35" s="7"/>
      <c r="M35" s="14"/>
      <c r="N35" s="57"/>
      <c r="Q35" s="57"/>
      <c r="R35" s="57"/>
      <c r="W35">
        <f t="shared" si="2"/>
        <v>15</v>
      </c>
      <c r="X35" s="14">
        <f t="shared" si="3"/>
        <v>369.7</v>
      </c>
      <c r="Z35">
        <v>3</v>
      </c>
      <c r="AA35" s="58">
        <v>370.11769182939588</v>
      </c>
      <c r="AB35" s="59">
        <v>35.125722291931559</v>
      </c>
      <c r="AC35" s="59">
        <v>405.24341412132742</v>
      </c>
      <c r="AD35" s="60">
        <v>334.99196953746434</v>
      </c>
      <c r="AE35" s="61">
        <v>0.99993419459569655</v>
      </c>
      <c r="AF35" s="62">
        <v>7.300159638929921E-4</v>
      </c>
      <c r="AG35" s="62">
        <v>1.0006642105595895</v>
      </c>
      <c r="AH35" s="63">
        <v>0.99920417863180355</v>
      </c>
      <c r="AI35">
        <v>0</v>
      </c>
      <c r="AL35">
        <v>4</v>
      </c>
      <c r="AM35">
        <v>157.09700000000001</v>
      </c>
    </row>
    <row r="36" spans="1:39" x14ac:dyDescent="0.25">
      <c r="A36" s="7">
        <v>15</v>
      </c>
      <c r="B36" s="7">
        <v>325.87799999999999</v>
      </c>
      <c r="C36" s="7">
        <v>366.36500000000001</v>
      </c>
      <c r="D36" s="7">
        <v>369.41399999999999</v>
      </c>
      <c r="E36" s="7">
        <v>369.97800000000001</v>
      </c>
      <c r="F36" s="14">
        <v>3</v>
      </c>
      <c r="G36" s="14">
        <v>0</v>
      </c>
      <c r="H36" s="7">
        <v>356.07900000000001</v>
      </c>
      <c r="I36" s="7">
        <v>365.363</v>
      </c>
      <c r="J36" s="7"/>
      <c r="M36" s="14"/>
      <c r="N36" s="57"/>
      <c r="Q36" s="57"/>
      <c r="R36" s="57"/>
      <c r="W36">
        <f t="shared" si="2"/>
        <v>20</v>
      </c>
      <c r="X36" s="14">
        <f t="shared" si="3"/>
        <v>369.2</v>
      </c>
      <c r="Z36">
        <v>4</v>
      </c>
      <c r="AA36" s="58">
        <v>370.0685204376943</v>
      </c>
      <c r="AB36" s="59">
        <v>35.112512521167091</v>
      </c>
      <c r="AC36" s="59">
        <v>405.18103295886141</v>
      </c>
      <c r="AD36" s="60">
        <v>334.9560079165272</v>
      </c>
      <c r="AE36" s="61">
        <v>0.99980442469963593</v>
      </c>
      <c r="AF36" s="62">
        <v>8.031886379264425E-4</v>
      </c>
      <c r="AG36" s="62">
        <v>1.0006076133375623</v>
      </c>
      <c r="AH36" s="63">
        <v>0.99900123606170954</v>
      </c>
      <c r="AI36">
        <v>0</v>
      </c>
      <c r="AL36">
        <v>5</v>
      </c>
      <c r="AM36">
        <v>155.209</v>
      </c>
    </row>
    <row r="37" spans="1:39" x14ac:dyDescent="0.25">
      <c r="A37" s="7">
        <v>20</v>
      </c>
      <c r="B37" s="7">
        <v>325.79399999999998</v>
      </c>
      <c r="C37" s="7">
        <v>365.11700000000002</v>
      </c>
      <c r="D37" s="7">
        <v>369.25799999999998</v>
      </c>
      <c r="E37" s="7">
        <v>369.93599999999998</v>
      </c>
      <c r="F37" s="14">
        <v>3</v>
      </c>
      <c r="G37" s="14">
        <v>0</v>
      </c>
      <c r="H37" s="7">
        <v>354.916</v>
      </c>
      <c r="I37" s="7">
        <v>365.197</v>
      </c>
      <c r="J37" s="7"/>
      <c r="M37" s="14"/>
      <c r="N37" s="57"/>
      <c r="Q37" s="57"/>
      <c r="R37" s="57"/>
      <c r="W37">
        <f t="shared" si="2"/>
        <v>25</v>
      </c>
      <c r="X37" s="14">
        <f t="shared" si="3"/>
        <v>368.9</v>
      </c>
      <c r="Z37">
        <v>5</v>
      </c>
      <c r="AA37" s="58">
        <v>370.04359248993273</v>
      </c>
      <c r="AB37" s="59">
        <v>35.109317197900559</v>
      </c>
      <c r="AC37" s="59">
        <v>405.1529096878333</v>
      </c>
      <c r="AD37" s="60">
        <v>334.93427529203217</v>
      </c>
      <c r="AE37" s="61">
        <v>0.99973792031771547</v>
      </c>
      <c r="AF37" s="62">
        <v>8.9747881117868439E-4</v>
      </c>
      <c r="AG37" s="62">
        <v>1.0006353991288941</v>
      </c>
      <c r="AH37" s="63">
        <v>0.99884044150653684</v>
      </c>
      <c r="AI37">
        <v>0</v>
      </c>
      <c r="AL37">
        <v>6</v>
      </c>
      <c r="AM37">
        <v>117.759</v>
      </c>
    </row>
    <row r="38" spans="1:39" x14ac:dyDescent="0.25">
      <c r="A38" s="7">
        <v>25</v>
      </c>
      <c r="B38" s="7">
        <v>325.71300000000002</v>
      </c>
      <c r="C38" s="7">
        <v>363.87599999999998</v>
      </c>
      <c r="D38" s="7">
        <v>369.1</v>
      </c>
      <c r="E38" s="7">
        <v>369.89400000000001</v>
      </c>
      <c r="F38" s="14">
        <v>3</v>
      </c>
      <c r="G38" s="14">
        <v>0</v>
      </c>
      <c r="H38" s="7">
        <v>353.76</v>
      </c>
      <c r="I38" s="7">
        <v>365.04899999999998</v>
      </c>
      <c r="J38" s="7"/>
      <c r="M38" s="14"/>
      <c r="N38" s="57"/>
      <c r="Q38" s="57"/>
      <c r="R38" s="57"/>
      <c r="W38">
        <f t="shared" si="2"/>
        <v>30</v>
      </c>
      <c r="X38" s="14">
        <f t="shared" si="3"/>
        <v>368.2</v>
      </c>
      <c r="Z38">
        <v>6</v>
      </c>
      <c r="AA38" s="58">
        <v>370.08065667316419</v>
      </c>
      <c r="AB38" s="59">
        <v>35.142556444228404</v>
      </c>
      <c r="AC38" s="59">
        <v>405.22321311739256</v>
      </c>
      <c r="AD38" s="60">
        <v>334.93810022893581</v>
      </c>
      <c r="AE38" s="61">
        <v>0.99983107392782811</v>
      </c>
      <c r="AF38" s="62">
        <v>1.2975148786697212E-3</v>
      </c>
      <c r="AG38" s="62">
        <v>1.0011285888064978</v>
      </c>
      <c r="AH38" s="63">
        <v>0.99853355904915841</v>
      </c>
      <c r="AI38">
        <v>0</v>
      </c>
      <c r="AL38">
        <v>7</v>
      </c>
      <c r="AM38">
        <v>117.759</v>
      </c>
    </row>
    <row r="39" spans="1:39" x14ac:dyDescent="0.25">
      <c r="A39" s="7">
        <v>30</v>
      </c>
      <c r="B39" s="7">
        <v>325.63200000000001</v>
      </c>
      <c r="C39" s="7">
        <v>362.64499999999998</v>
      </c>
      <c r="D39" s="7">
        <v>368.95400000000001</v>
      </c>
      <c r="E39" s="7">
        <v>369.85199999999998</v>
      </c>
      <c r="F39" s="14">
        <v>3</v>
      </c>
      <c r="G39" s="14">
        <v>0</v>
      </c>
      <c r="H39" s="7">
        <v>352.613</v>
      </c>
      <c r="I39" s="7">
        <v>364.89800000000002</v>
      </c>
      <c r="J39" s="7"/>
      <c r="M39" s="14"/>
      <c r="N39" s="57"/>
      <c r="Q39" s="57"/>
      <c r="R39" s="57"/>
      <c r="W39">
        <f t="shared" si="2"/>
        <v>35</v>
      </c>
      <c r="X39" s="14">
        <f t="shared" si="3"/>
        <v>367.8</v>
      </c>
      <c r="Z39">
        <v>7</v>
      </c>
      <c r="AA39" s="58">
        <v>370.05392041197894</v>
      </c>
      <c r="AB39" s="59">
        <v>35.138141604819566</v>
      </c>
      <c r="AC39" s="59">
        <v>405.1920620167985</v>
      </c>
      <c r="AD39" s="60">
        <v>334.91577880715937</v>
      </c>
      <c r="AE39" s="61">
        <v>0.99976015617671454</v>
      </c>
      <c r="AF39" s="62">
        <v>1.5177223373663686E-3</v>
      </c>
      <c r="AG39" s="62">
        <v>1.001277878514081</v>
      </c>
      <c r="AH39" s="63">
        <v>0.99824243383934819</v>
      </c>
      <c r="AI39">
        <v>0</v>
      </c>
      <c r="AL39">
        <v>8</v>
      </c>
      <c r="AM39">
        <v>117.759</v>
      </c>
    </row>
    <row r="40" spans="1:39" x14ac:dyDescent="0.25">
      <c r="A40" s="7">
        <v>35</v>
      </c>
      <c r="B40" s="7">
        <v>325.55099999999999</v>
      </c>
      <c r="C40" s="7">
        <v>361.42200000000003</v>
      </c>
      <c r="D40" s="7">
        <v>368.80500000000001</v>
      </c>
      <c r="E40" s="7">
        <v>369.80900000000003</v>
      </c>
      <c r="F40" s="14">
        <v>3</v>
      </c>
      <c r="G40" s="14">
        <v>0</v>
      </c>
      <c r="H40" s="7">
        <v>351.47399999999999</v>
      </c>
      <c r="I40" s="7">
        <v>364.755</v>
      </c>
      <c r="J40" s="7"/>
      <c r="M40" s="14"/>
      <c r="N40" s="57"/>
      <c r="Q40" s="57"/>
      <c r="R40" s="57"/>
      <c r="W40">
        <f t="shared" si="2"/>
        <v>40</v>
      </c>
      <c r="X40" s="14">
        <f t="shared" si="3"/>
        <v>367.5</v>
      </c>
      <c r="Z40">
        <v>8</v>
      </c>
      <c r="AA40" s="58">
        <v>370.01980763700635</v>
      </c>
      <c r="AB40" s="59">
        <v>35.128214866403319</v>
      </c>
      <c r="AC40" s="59">
        <v>405.14802250340966</v>
      </c>
      <c r="AD40" s="60">
        <v>334.89159277060304</v>
      </c>
      <c r="AE40" s="61">
        <v>0.99967046068037435</v>
      </c>
      <c r="AF40" s="62">
        <v>1.6586339766066465E-3</v>
      </c>
      <c r="AG40" s="62">
        <v>1.0013290946569811</v>
      </c>
      <c r="AH40" s="63">
        <v>0.99801182670376776</v>
      </c>
      <c r="AI40">
        <v>0</v>
      </c>
      <c r="AL40">
        <v>9</v>
      </c>
      <c r="AM40">
        <v>117.759</v>
      </c>
    </row>
    <row r="41" spans="1:39" x14ac:dyDescent="0.25">
      <c r="A41" s="7">
        <v>40</v>
      </c>
      <c r="B41" s="7">
        <v>325.471</v>
      </c>
      <c r="C41" s="7">
        <v>360.20800000000003</v>
      </c>
      <c r="D41" s="7">
        <v>368.66</v>
      </c>
      <c r="E41" s="7">
        <v>369.767</v>
      </c>
      <c r="F41" s="14">
        <v>3</v>
      </c>
      <c r="G41" s="14">
        <v>0</v>
      </c>
      <c r="H41" s="7">
        <v>350.34199999999998</v>
      </c>
      <c r="I41" s="7">
        <v>364.60899999999998</v>
      </c>
      <c r="J41" s="7"/>
      <c r="M41" s="14"/>
      <c r="N41" s="57"/>
      <c r="Q41" s="57"/>
      <c r="R41" s="57"/>
      <c r="W41">
        <f t="shared" si="2"/>
        <v>45</v>
      </c>
      <c r="X41" s="14">
        <f t="shared" si="3"/>
        <v>367.4</v>
      </c>
      <c r="Z41">
        <v>9</v>
      </c>
      <c r="AA41" s="58">
        <v>370.02400613710182</v>
      </c>
      <c r="AB41" s="59">
        <v>35.12809220205326</v>
      </c>
      <c r="AC41" s="59">
        <v>405.15209833915509</v>
      </c>
      <c r="AD41" s="60">
        <v>334.89591393504855</v>
      </c>
      <c r="AE41" s="61">
        <v>0.99968171494646885</v>
      </c>
      <c r="AF41" s="62">
        <v>1.6057846205791988E-3</v>
      </c>
      <c r="AG41" s="62">
        <v>1.001287499567048</v>
      </c>
      <c r="AH41" s="63">
        <v>0.99807593032588959</v>
      </c>
      <c r="AI41">
        <v>0</v>
      </c>
      <c r="AL41">
        <v>10</v>
      </c>
      <c r="AM41">
        <v>114.79300000000001</v>
      </c>
    </row>
    <row r="42" spans="1:39" x14ac:dyDescent="0.25">
      <c r="A42" s="7">
        <v>45</v>
      </c>
      <c r="B42" s="7">
        <v>325.39100000000002</v>
      </c>
      <c r="C42" s="7">
        <v>359.00200000000001</v>
      </c>
      <c r="D42" s="7">
        <v>368.51499999999999</v>
      </c>
      <c r="E42" s="7">
        <v>369.72500000000002</v>
      </c>
      <c r="F42" s="14">
        <v>3</v>
      </c>
      <c r="G42" s="14">
        <v>0</v>
      </c>
      <c r="H42" s="7">
        <v>349.21899999999999</v>
      </c>
      <c r="I42" s="7">
        <v>364.46600000000001</v>
      </c>
      <c r="J42" s="7"/>
      <c r="M42" s="14"/>
      <c r="N42" s="57"/>
      <c r="Q42" s="57"/>
      <c r="R42" s="57"/>
      <c r="W42">
        <f t="shared" si="2"/>
        <v>50</v>
      </c>
      <c r="X42" s="14">
        <f t="shared" si="3"/>
        <v>367.2</v>
      </c>
      <c r="Z42">
        <v>10</v>
      </c>
      <c r="AA42" s="58">
        <v>369.96663372419266</v>
      </c>
      <c r="AB42" s="59">
        <v>35.109417270501517</v>
      </c>
      <c r="AC42" s="59">
        <v>405.07605099469419</v>
      </c>
      <c r="AD42" s="60">
        <v>334.85721645369114</v>
      </c>
      <c r="AE42" s="61">
        <v>0.9995311792065289</v>
      </c>
      <c r="AF42" s="62">
        <v>1.7566687575123229E-3</v>
      </c>
      <c r="AG42" s="62">
        <v>1.0012878479640412</v>
      </c>
      <c r="AH42" s="63">
        <v>0.99777451044901655</v>
      </c>
      <c r="AI42">
        <v>0</v>
      </c>
      <c r="AL42">
        <v>11</v>
      </c>
      <c r="AM42">
        <v>114.79300000000001</v>
      </c>
    </row>
    <row r="43" spans="1:39" x14ac:dyDescent="0.25">
      <c r="A43" s="7">
        <v>50</v>
      </c>
      <c r="B43" s="7">
        <v>325.31200000000001</v>
      </c>
      <c r="C43" s="7">
        <v>357.80500000000001</v>
      </c>
      <c r="D43" s="7">
        <v>368.37</v>
      </c>
      <c r="E43" s="7">
        <v>369.68299999999999</v>
      </c>
      <c r="F43" s="14">
        <v>3</v>
      </c>
      <c r="G43" s="14">
        <v>0</v>
      </c>
      <c r="H43" s="7">
        <v>348.10300000000001</v>
      </c>
      <c r="I43" s="7">
        <v>364.32299999999998</v>
      </c>
      <c r="J43" s="7"/>
      <c r="M43" s="14"/>
      <c r="N43" s="57"/>
      <c r="Q43" s="57"/>
      <c r="R43" s="57"/>
      <c r="W43">
        <f t="shared" si="2"/>
        <v>55</v>
      </c>
      <c r="X43" s="14">
        <f t="shared" si="3"/>
        <v>367.2</v>
      </c>
      <c r="Z43">
        <v>11</v>
      </c>
      <c r="AA43" s="58">
        <v>369.89029880666675</v>
      </c>
      <c r="AB43" s="59">
        <v>35.085472928925107</v>
      </c>
      <c r="AC43" s="59">
        <v>404.97577173559188</v>
      </c>
      <c r="AD43" s="60">
        <v>334.80482587774162</v>
      </c>
      <c r="AE43" s="61">
        <v>0.99933075355449719</v>
      </c>
      <c r="AF43" s="62">
        <v>1.9734410616612176E-3</v>
      </c>
      <c r="AG43" s="62">
        <v>1.0013041946161585</v>
      </c>
      <c r="AH43" s="63">
        <v>0.99735731249283599</v>
      </c>
      <c r="AI43">
        <v>0</v>
      </c>
      <c r="AL43">
        <v>12</v>
      </c>
      <c r="AM43">
        <v>114.79300000000001</v>
      </c>
    </row>
    <row r="44" spans="1:39" x14ac:dyDescent="0.25">
      <c r="A44" s="7">
        <v>55</v>
      </c>
      <c r="B44" s="7">
        <v>325.233</v>
      </c>
      <c r="C44" s="7">
        <v>356.61599999999999</v>
      </c>
      <c r="D44" s="7">
        <v>368.22500000000002</v>
      </c>
      <c r="E44" s="7">
        <v>369.64100000000002</v>
      </c>
      <c r="F44" s="14">
        <v>3</v>
      </c>
      <c r="G44" s="14">
        <v>0</v>
      </c>
      <c r="H44" s="7">
        <v>346.995</v>
      </c>
      <c r="I44" s="7">
        <v>364.17899999999997</v>
      </c>
      <c r="J44" s="7"/>
      <c r="M44" s="14"/>
      <c r="N44" s="57"/>
      <c r="Q44" s="57"/>
      <c r="R44" s="57"/>
      <c r="W44">
        <f t="shared" si="2"/>
        <v>60</v>
      </c>
      <c r="X44" s="14">
        <f t="shared" si="3"/>
        <v>366.5</v>
      </c>
      <c r="Z44">
        <v>12</v>
      </c>
      <c r="AA44" s="58">
        <v>369.81696912245087</v>
      </c>
      <c r="AB44" s="59">
        <v>35.062187742955786</v>
      </c>
      <c r="AC44" s="59">
        <v>404.87915686540669</v>
      </c>
      <c r="AD44" s="60">
        <v>334.75478137949506</v>
      </c>
      <c r="AE44" s="61">
        <v>0.99913831957868027</v>
      </c>
      <c r="AF44" s="62">
        <v>2.1822869693104282E-3</v>
      </c>
      <c r="AG44" s="62">
        <v>1.0013206065479907</v>
      </c>
      <c r="AH44" s="63">
        <v>0.99695603260936982</v>
      </c>
      <c r="AI44">
        <v>0</v>
      </c>
      <c r="AL44">
        <v>13</v>
      </c>
      <c r="AM44">
        <v>114.79300000000001</v>
      </c>
    </row>
    <row r="45" spans="1:39" x14ac:dyDescent="0.25">
      <c r="A45" s="7">
        <v>60</v>
      </c>
      <c r="B45" s="7">
        <v>325.15499999999997</v>
      </c>
      <c r="C45" s="7">
        <v>355.322</v>
      </c>
      <c r="D45" s="7">
        <v>368.07900000000001</v>
      </c>
      <c r="E45" s="7">
        <v>369.59800000000001</v>
      </c>
      <c r="F45" s="14">
        <v>3</v>
      </c>
      <c r="G45" s="14">
        <v>0</v>
      </c>
      <c r="H45" s="7">
        <v>345.78800000000001</v>
      </c>
      <c r="I45" s="7">
        <v>364.036</v>
      </c>
      <c r="J45" s="7"/>
      <c r="M45" s="14"/>
      <c r="N45" s="57"/>
      <c r="Q45" s="57"/>
      <c r="R45" s="57"/>
      <c r="W45">
        <f t="shared" si="2"/>
        <v>65</v>
      </c>
      <c r="X45" s="14">
        <f t="shared" si="3"/>
        <v>365.6</v>
      </c>
      <c r="Z45">
        <v>13</v>
      </c>
      <c r="AA45" s="58">
        <v>369.75219253914565</v>
      </c>
      <c r="AB45" s="59">
        <v>35.039515330222606</v>
      </c>
      <c r="AC45" s="59">
        <v>404.79170786936828</v>
      </c>
      <c r="AD45" s="60">
        <v>334.71267720892303</v>
      </c>
      <c r="AE45" s="61">
        <v>0.99896872073797971</v>
      </c>
      <c r="AF45" s="62">
        <v>2.3150237167844346E-3</v>
      </c>
      <c r="AG45" s="62">
        <v>1.0012837444547642</v>
      </c>
      <c r="AH45" s="63">
        <v>0.99665369702119533</v>
      </c>
      <c r="AI45">
        <v>0</v>
      </c>
      <c r="AL45">
        <v>14</v>
      </c>
      <c r="AM45">
        <v>114.79300000000001</v>
      </c>
    </row>
    <row r="46" spans="1:39" x14ac:dyDescent="0.25">
      <c r="A46" s="7">
        <v>65</v>
      </c>
      <c r="B46" s="7">
        <v>325.077</v>
      </c>
      <c r="C46" s="7">
        <v>354.15100000000001</v>
      </c>
      <c r="D46" s="7">
        <v>367.935</v>
      </c>
      <c r="E46" s="7">
        <v>369.55500000000001</v>
      </c>
      <c r="F46" s="14">
        <v>3</v>
      </c>
      <c r="G46" s="14">
        <v>0</v>
      </c>
      <c r="H46" s="7">
        <v>344.69499999999999</v>
      </c>
      <c r="I46" s="7">
        <v>363.89299999999997</v>
      </c>
      <c r="J46" s="7"/>
      <c r="M46" s="14"/>
      <c r="N46" s="57"/>
      <c r="Q46" s="57"/>
      <c r="R46" s="57"/>
      <c r="W46">
        <f t="shared" si="2"/>
        <v>70</v>
      </c>
      <c r="X46" s="14">
        <f t="shared" si="3"/>
        <v>364.6</v>
      </c>
      <c r="Z46">
        <v>14</v>
      </c>
      <c r="AA46" s="58">
        <v>369.72264600412768</v>
      </c>
      <c r="AB46" s="59">
        <v>35.034547467109128</v>
      </c>
      <c r="AC46" s="59">
        <v>404.7571934712368</v>
      </c>
      <c r="AD46" s="60">
        <v>334.68809853701856</v>
      </c>
      <c r="AE46" s="61">
        <v>0.99889049179210421</v>
      </c>
      <c r="AF46" s="62">
        <v>2.5153213017956489E-3</v>
      </c>
      <c r="AG46" s="62">
        <v>1.0014058130938999</v>
      </c>
      <c r="AH46" s="63">
        <v>0.99637517049030855</v>
      </c>
      <c r="AI46">
        <v>0</v>
      </c>
      <c r="AL46">
        <v>15</v>
      </c>
      <c r="AM46">
        <v>114.79300000000001</v>
      </c>
    </row>
    <row r="47" spans="1:39" x14ac:dyDescent="0.25">
      <c r="A47" s="7">
        <v>70</v>
      </c>
      <c r="B47" s="7">
        <v>324.99900000000002</v>
      </c>
      <c r="C47" s="7">
        <v>352.988</v>
      </c>
      <c r="D47" s="7">
        <v>367.78899999999999</v>
      </c>
      <c r="E47" s="7">
        <v>369.51299999999998</v>
      </c>
      <c r="F47" s="14">
        <v>3</v>
      </c>
      <c r="G47" s="14">
        <v>0</v>
      </c>
      <c r="H47" s="7">
        <v>343.61</v>
      </c>
      <c r="I47" s="7">
        <v>363.75099999999998</v>
      </c>
      <c r="J47" s="7"/>
      <c r="M47" s="14"/>
      <c r="N47" s="57"/>
      <c r="Q47" s="57"/>
      <c r="R47" s="57"/>
      <c r="W47">
        <f t="shared" si="2"/>
        <v>75</v>
      </c>
      <c r="X47" s="14">
        <f t="shared" si="3"/>
        <v>363.5</v>
      </c>
      <c r="Z47">
        <v>15</v>
      </c>
      <c r="AA47" s="58">
        <v>369.71508296096846</v>
      </c>
      <c r="AB47" s="59">
        <v>35.045722489512549</v>
      </c>
      <c r="AC47" s="59">
        <v>404.76080545048103</v>
      </c>
      <c r="AD47" s="60">
        <v>334.66936047145589</v>
      </c>
      <c r="AE47" s="61">
        <v>0.99886785396983624</v>
      </c>
      <c r="AF47" s="62">
        <v>2.779872845950564E-3</v>
      </c>
      <c r="AG47" s="62">
        <v>1.0016477268157868</v>
      </c>
      <c r="AH47" s="63">
        <v>0.99608798112388564</v>
      </c>
      <c r="AI47">
        <v>0</v>
      </c>
      <c r="AL47">
        <v>16</v>
      </c>
      <c r="AM47">
        <v>114.79300000000001</v>
      </c>
    </row>
    <row r="48" spans="1:39" x14ac:dyDescent="0.25">
      <c r="A48" s="7">
        <v>75</v>
      </c>
      <c r="B48" s="7">
        <v>273.52800000000002</v>
      </c>
      <c r="C48" s="7">
        <v>352.06299999999999</v>
      </c>
      <c r="D48" s="7">
        <v>367.654</v>
      </c>
      <c r="E48" s="7">
        <v>369.47300000000001</v>
      </c>
      <c r="F48" s="14">
        <v>8</v>
      </c>
      <c r="G48" s="14">
        <v>0</v>
      </c>
      <c r="H48" s="7">
        <v>335.97300000000001</v>
      </c>
      <c r="I48" s="7">
        <v>362.48200000000003</v>
      </c>
      <c r="J48" s="7"/>
      <c r="M48" s="14"/>
      <c r="N48" s="57"/>
      <c r="Q48" s="57"/>
      <c r="R48" s="57"/>
      <c r="W48">
        <f t="shared" si="2"/>
        <v>80</v>
      </c>
      <c r="X48" s="14">
        <f t="shared" si="3"/>
        <v>360.7</v>
      </c>
      <c r="Z48">
        <v>16</v>
      </c>
      <c r="AA48" s="58">
        <v>369.59921810138366</v>
      </c>
      <c r="AB48" s="59">
        <v>35.043625072467684</v>
      </c>
      <c r="AC48" s="59">
        <v>404.64284317385136</v>
      </c>
      <c r="AD48" s="60">
        <v>334.55559302891595</v>
      </c>
      <c r="AE48" s="61">
        <v>0.99855194226620914</v>
      </c>
      <c r="AF48" s="62">
        <v>2.8141004439050064E-3</v>
      </c>
      <c r="AG48" s="62">
        <v>1.0013660427101141</v>
      </c>
      <c r="AH48" s="63">
        <v>0.99573784182230418</v>
      </c>
      <c r="AI48">
        <v>0</v>
      </c>
      <c r="AL48">
        <v>17</v>
      </c>
      <c r="AM48">
        <v>114.79300000000001</v>
      </c>
    </row>
    <row r="49" spans="1:39" x14ac:dyDescent="0.25">
      <c r="A49" s="7">
        <v>80</v>
      </c>
      <c r="B49" s="7">
        <v>273.39699999999999</v>
      </c>
      <c r="C49" s="7">
        <v>350.34100000000001</v>
      </c>
      <c r="D49" s="7">
        <v>367.346</v>
      </c>
      <c r="E49" s="7">
        <v>369.327</v>
      </c>
      <c r="F49" s="14">
        <v>8</v>
      </c>
      <c r="G49" s="14">
        <v>0</v>
      </c>
      <c r="H49" s="7">
        <v>334.50400000000002</v>
      </c>
      <c r="I49" s="7">
        <v>362.185</v>
      </c>
      <c r="J49" s="7"/>
      <c r="M49" s="14"/>
      <c r="N49" s="57"/>
      <c r="Q49" s="57"/>
      <c r="R49" s="57"/>
      <c r="W49">
        <f t="shared" si="2"/>
        <v>85</v>
      </c>
      <c r="X49" s="14">
        <f t="shared" si="3"/>
        <v>358.4</v>
      </c>
      <c r="Z49">
        <v>17</v>
      </c>
      <c r="AA49" s="58">
        <v>369.48489840406404</v>
      </c>
      <c r="AB49" s="59">
        <v>35.052257414408146</v>
      </c>
      <c r="AC49" s="59">
        <v>404.53715581847217</v>
      </c>
      <c r="AD49" s="60">
        <v>334.43264098965591</v>
      </c>
      <c r="AE49" s="61">
        <v>0.99823728377774412</v>
      </c>
      <c r="AF49" s="62">
        <v>2.9247895056562674E-3</v>
      </c>
      <c r="AG49" s="62">
        <v>1.0011620732834003</v>
      </c>
      <c r="AH49" s="63">
        <v>0.9953124942720879</v>
      </c>
      <c r="AI49">
        <v>0</v>
      </c>
      <c r="AL49">
        <v>18</v>
      </c>
      <c r="AM49">
        <v>114.79300000000001</v>
      </c>
    </row>
    <row r="50" spans="1:39" x14ac:dyDescent="0.25">
      <c r="A50" s="7">
        <v>85</v>
      </c>
      <c r="B50" s="7">
        <v>273.26799999999997</v>
      </c>
      <c r="C50" s="7">
        <v>348.56599999999997</v>
      </c>
      <c r="D50" s="7">
        <v>367.00900000000001</v>
      </c>
      <c r="E50" s="7">
        <v>369.19499999999999</v>
      </c>
      <c r="F50" s="14">
        <v>8</v>
      </c>
      <c r="G50" s="14">
        <v>0</v>
      </c>
      <c r="H50" s="7">
        <v>332.92899999999997</v>
      </c>
      <c r="I50" s="7">
        <v>361.858</v>
      </c>
      <c r="J50" s="7"/>
      <c r="M50" s="14"/>
      <c r="N50" s="57"/>
      <c r="Q50" s="57"/>
      <c r="R50" s="57"/>
      <c r="W50">
        <f t="shared" si="2"/>
        <v>90</v>
      </c>
      <c r="X50" s="14">
        <f t="shared" si="3"/>
        <v>357</v>
      </c>
      <c r="Z50">
        <v>18</v>
      </c>
      <c r="AA50" s="58">
        <v>369.3871709808663</v>
      </c>
      <c r="AB50" s="59">
        <v>35.063045139673086</v>
      </c>
      <c r="AC50" s="59">
        <v>404.45021612053938</v>
      </c>
      <c r="AD50" s="60">
        <v>334.32412584119322</v>
      </c>
      <c r="AE50" s="61">
        <v>0.99796791689032538</v>
      </c>
      <c r="AF50" s="62">
        <v>3.1764469067699012E-3</v>
      </c>
      <c r="AG50" s="62">
        <v>1.0011443637970954</v>
      </c>
      <c r="AH50" s="63">
        <v>0.9947914699835555</v>
      </c>
      <c r="AI50">
        <v>0</v>
      </c>
      <c r="AL50">
        <v>19</v>
      </c>
      <c r="AM50">
        <v>108.7</v>
      </c>
    </row>
    <row r="51" spans="1:39" x14ac:dyDescent="0.25">
      <c r="A51" s="7">
        <v>90</v>
      </c>
      <c r="B51" s="7">
        <v>273.14499999999998</v>
      </c>
      <c r="C51" s="7">
        <v>346.80799999999999</v>
      </c>
      <c r="D51" s="7">
        <v>366.66399999999999</v>
      </c>
      <c r="E51" s="7">
        <v>369.08</v>
      </c>
      <c r="F51" s="14">
        <v>8</v>
      </c>
      <c r="G51" s="14">
        <v>0</v>
      </c>
      <c r="H51" s="7">
        <v>331.37099999999998</v>
      </c>
      <c r="I51" s="7">
        <v>361.524</v>
      </c>
      <c r="J51" s="7"/>
      <c r="M51" s="14"/>
      <c r="N51" s="57"/>
      <c r="Q51" s="57"/>
      <c r="R51" s="57"/>
      <c r="W51">
        <f t="shared" si="2"/>
        <v>95</v>
      </c>
      <c r="X51" s="14">
        <f t="shared" si="3"/>
        <v>356</v>
      </c>
      <c r="Z51">
        <v>19</v>
      </c>
      <c r="AA51" s="58">
        <v>369.30903915291839</v>
      </c>
      <c r="AB51" s="59">
        <v>35.033641460618576</v>
      </c>
      <c r="AC51" s="59">
        <v>404.34268061353697</v>
      </c>
      <c r="AD51" s="60">
        <v>334.2753976922998</v>
      </c>
      <c r="AE51" s="61">
        <v>0.99776355324393828</v>
      </c>
      <c r="AF51" s="62">
        <v>3.435270436991919E-3</v>
      </c>
      <c r="AG51" s="62">
        <v>1.0011988236809302</v>
      </c>
      <c r="AH51" s="63">
        <v>0.99432828280694641</v>
      </c>
      <c r="AI51">
        <v>0</v>
      </c>
    </row>
    <row r="52" spans="1:39" x14ac:dyDescent="0.25">
      <c r="A52" s="7">
        <v>95</v>
      </c>
      <c r="B52" s="7">
        <v>273.02600000000001</v>
      </c>
      <c r="C52" s="7">
        <v>345.06900000000002</v>
      </c>
      <c r="D52" s="7">
        <v>366.31599999999997</v>
      </c>
      <c r="E52" s="7">
        <v>368.964</v>
      </c>
      <c r="F52" s="14">
        <v>8</v>
      </c>
      <c r="G52" s="14">
        <v>0</v>
      </c>
      <c r="H52" s="7">
        <v>329.82900000000001</v>
      </c>
      <c r="I52" s="7">
        <v>361.18799999999999</v>
      </c>
      <c r="J52" s="7"/>
      <c r="M52" s="14"/>
      <c r="N52" s="57"/>
      <c r="Q52" s="57"/>
      <c r="R52" s="57"/>
      <c r="W52">
        <f t="shared" si="2"/>
        <v>100</v>
      </c>
      <c r="X52" s="14">
        <f t="shared" si="3"/>
        <v>354.7</v>
      </c>
      <c r="Z52">
        <v>20</v>
      </c>
      <c r="AA52" s="58">
        <v>369.24076434850514</v>
      </c>
      <c r="AB52" s="59">
        <v>35.007239582996078</v>
      </c>
      <c r="AC52" s="59">
        <v>404.24800393150122</v>
      </c>
      <c r="AD52" s="60">
        <v>334.23352476550906</v>
      </c>
      <c r="AE52" s="61">
        <v>0.99758574510028442</v>
      </c>
      <c r="AF52" s="62">
        <v>3.6943392424504317E-3</v>
      </c>
      <c r="AG52" s="62">
        <v>1.0012800843427347</v>
      </c>
      <c r="AH52" s="63">
        <v>0.99389140585783398</v>
      </c>
      <c r="AI52">
        <v>0</v>
      </c>
    </row>
    <row r="53" spans="1:39" x14ac:dyDescent="0.25">
      <c r="A53" s="7">
        <v>100</v>
      </c>
      <c r="B53" s="7">
        <v>272.90899999999999</v>
      </c>
      <c r="C53" s="7">
        <v>343.34899999999999</v>
      </c>
      <c r="D53" s="7">
        <v>365.96300000000002</v>
      </c>
      <c r="E53" s="7">
        <v>368.85300000000001</v>
      </c>
      <c r="F53" s="14">
        <v>8</v>
      </c>
      <c r="G53" s="14">
        <v>0</v>
      </c>
      <c r="H53" s="7">
        <v>328.303</v>
      </c>
      <c r="I53" s="7">
        <v>360.84699999999998</v>
      </c>
      <c r="J53" s="7"/>
      <c r="M53" s="14"/>
      <c r="N53" s="57"/>
      <c r="Q53" s="57"/>
      <c r="R53" s="57"/>
      <c r="W53">
        <f t="shared" si="2"/>
        <v>105</v>
      </c>
      <c r="X53" s="14">
        <f t="shared" si="3"/>
        <v>353.5</v>
      </c>
      <c r="Z53">
        <v>21</v>
      </c>
      <c r="AA53" s="58">
        <v>369.17289153032681</v>
      </c>
      <c r="AB53" s="59">
        <v>34.98164414899346</v>
      </c>
      <c r="AC53" s="59">
        <v>404.15453567932025</v>
      </c>
      <c r="AD53" s="60">
        <v>334.19124738133337</v>
      </c>
      <c r="AE53" s="61">
        <v>0.99740891392211528</v>
      </c>
      <c r="AF53" s="62">
        <v>3.9554914509058597E-3</v>
      </c>
      <c r="AG53" s="62">
        <v>1.0013644053730211</v>
      </c>
      <c r="AH53" s="63">
        <v>0.99345342247120938</v>
      </c>
      <c r="AI53">
        <v>0</v>
      </c>
    </row>
    <row r="54" spans="1:39" x14ac:dyDescent="0.25">
      <c r="A54" s="7">
        <v>105</v>
      </c>
      <c r="B54" s="7">
        <v>272.79399999999998</v>
      </c>
      <c r="C54" s="7">
        <v>341.64600000000002</v>
      </c>
      <c r="D54" s="7">
        <v>365.60899999999998</v>
      </c>
      <c r="E54" s="7">
        <v>368.74</v>
      </c>
      <c r="F54" s="14">
        <v>8</v>
      </c>
      <c r="G54" s="14">
        <v>0</v>
      </c>
      <c r="H54" s="7">
        <v>326.79199999999997</v>
      </c>
      <c r="I54" s="7">
        <v>360.505</v>
      </c>
      <c r="J54" s="7"/>
      <c r="M54" s="14"/>
      <c r="N54" s="57"/>
      <c r="Q54" s="57"/>
      <c r="R54" s="57"/>
      <c r="W54">
        <f t="shared" si="2"/>
        <v>110</v>
      </c>
      <c r="X54" s="14">
        <f t="shared" si="3"/>
        <v>351.8</v>
      </c>
      <c r="Z54">
        <v>22</v>
      </c>
      <c r="AA54" s="58">
        <v>369.10413046427084</v>
      </c>
      <c r="AB54" s="59">
        <v>34.956046859684804</v>
      </c>
      <c r="AC54" s="59">
        <v>404.06017732395566</v>
      </c>
      <c r="AD54" s="60">
        <v>334.14808360458602</v>
      </c>
      <c r="AE54" s="61">
        <v>0.99722975466310804</v>
      </c>
      <c r="AF54" s="62">
        <v>4.2196224564354312E-3</v>
      </c>
      <c r="AG54" s="62">
        <v>1.0014493771195434</v>
      </c>
      <c r="AH54" s="63">
        <v>0.99301013220667256</v>
      </c>
      <c r="AI54">
        <v>0</v>
      </c>
    </row>
    <row r="55" spans="1:39" x14ac:dyDescent="0.25">
      <c r="A55" s="7">
        <v>110</v>
      </c>
      <c r="B55" s="7">
        <v>272.678</v>
      </c>
      <c r="C55" s="7">
        <v>339.96100000000001</v>
      </c>
      <c r="D55" s="7">
        <v>365.26</v>
      </c>
      <c r="E55" s="7">
        <v>368.62900000000002</v>
      </c>
      <c r="F55" s="14">
        <v>8</v>
      </c>
      <c r="G55" s="14">
        <v>0</v>
      </c>
      <c r="H55" s="7">
        <v>325.29700000000003</v>
      </c>
      <c r="I55" s="7">
        <v>360.16699999999997</v>
      </c>
      <c r="J55" s="7"/>
      <c r="M55" s="14"/>
      <c r="N55" s="57"/>
      <c r="Q55" s="57"/>
      <c r="R55" s="57"/>
      <c r="W55">
        <f t="shared" si="2"/>
        <v>115</v>
      </c>
      <c r="X55" s="14">
        <f t="shared" si="3"/>
        <v>349.7</v>
      </c>
      <c r="Z55">
        <v>23</v>
      </c>
      <c r="AA55" s="58">
        <v>369.03488625306363</v>
      </c>
      <c r="AB55" s="59">
        <v>34.929010974176101</v>
      </c>
      <c r="AC55" s="59">
        <v>403.96389722723973</v>
      </c>
      <c r="AD55" s="60">
        <v>334.10587527888754</v>
      </c>
      <c r="AE55" s="61">
        <v>0.99704953468340429</v>
      </c>
      <c r="AF55" s="62">
        <v>4.4494785113316417E-3</v>
      </c>
      <c r="AG55" s="62">
        <v>1.0014990131947359</v>
      </c>
      <c r="AH55" s="63">
        <v>0.9926000561720727</v>
      </c>
      <c r="AI55">
        <v>0</v>
      </c>
    </row>
    <row r="56" spans="1:39" x14ac:dyDescent="0.25">
      <c r="A56" s="7">
        <v>115</v>
      </c>
      <c r="B56" s="7">
        <v>272.565</v>
      </c>
      <c r="C56" s="7">
        <v>338.29399999999998</v>
      </c>
      <c r="D56" s="7">
        <v>364.90600000000001</v>
      </c>
      <c r="E56" s="7">
        <v>368.517</v>
      </c>
      <c r="F56" s="14">
        <v>8</v>
      </c>
      <c r="G56" s="14">
        <v>0</v>
      </c>
      <c r="H56" s="7">
        <v>323.81700000000001</v>
      </c>
      <c r="I56" s="7">
        <v>359.82499999999999</v>
      </c>
      <c r="J56" s="7"/>
      <c r="M56" s="14"/>
      <c r="N56" s="57"/>
      <c r="Q56" s="57"/>
      <c r="R56" s="57"/>
      <c r="W56">
        <f t="shared" si="2"/>
        <v>120</v>
      </c>
      <c r="X56" s="14">
        <f t="shared" si="3"/>
        <v>345.6</v>
      </c>
      <c r="Z56">
        <v>24</v>
      </c>
      <c r="AA56" s="58">
        <v>368.97605582624197</v>
      </c>
      <c r="AB56" s="59">
        <v>34.902922510061153</v>
      </c>
      <c r="AC56" s="59">
        <v>403.87897833630313</v>
      </c>
      <c r="AD56" s="60">
        <v>334.07313331618082</v>
      </c>
      <c r="AE56" s="61">
        <v>0.99689696551254869</v>
      </c>
      <c r="AF56" s="62">
        <v>4.6071141609375903E-3</v>
      </c>
      <c r="AG56" s="62">
        <v>1.0015040796734862</v>
      </c>
      <c r="AH56" s="63">
        <v>0.99228985135161107</v>
      </c>
      <c r="AI56">
        <v>0</v>
      </c>
    </row>
    <row r="57" spans="1:39" x14ac:dyDescent="0.25">
      <c r="A57" s="7">
        <v>120</v>
      </c>
      <c r="B57" s="7">
        <v>272.45400000000001</v>
      </c>
      <c r="C57" s="7">
        <v>336.64400000000001</v>
      </c>
      <c r="D57" s="7">
        <v>364.50200000000001</v>
      </c>
      <c r="E57" s="7">
        <v>368.40600000000001</v>
      </c>
      <c r="F57" s="14">
        <v>8</v>
      </c>
      <c r="G57" s="14">
        <v>0</v>
      </c>
      <c r="H57" s="7">
        <v>322.35300000000001</v>
      </c>
      <c r="I57" s="7">
        <v>359.47899999999998</v>
      </c>
      <c r="J57" s="7"/>
      <c r="M57" s="14"/>
      <c r="N57" s="57"/>
      <c r="Q57" s="57"/>
      <c r="R57" s="57"/>
      <c r="W57">
        <f t="shared" si="2"/>
        <v>125</v>
      </c>
      <c r="X57" s="14">
        <f t="shared" si="3"/>
        <v>342.5</v>
      </c>
      <c r="Z57">
        <v>25</v>
      </c>
      <c r="AA57" s="58">
        <v>368.90295829659493</v>
      </c>
      <c r="AB57" s="59">
        <v>34.875013793341921</v>
      </c>
      <c r="AC57" s="59">
        <v>403.77797208993684</v>
      </c>
      <c r="AD57" s="60">
        <v>334.02794450325302</v>
      </c>
      <c r="AE57" s="61">
        <v>0.99670595504428272</v>
      </c>
      <c r="AF57" s="62">
        <v>4.740004391392048E-3</v>
      </c>
      <c r="AG57" s="62">
        <v>1.0014459594356748</v>
      </c>
      <c r="AH57" s="63">
        <v>0.99196595065289073</v>
      </c>
      <c r="AI57">
        <v>0</v>
      </c>
    </row>
    <row r="58" spans="1:39" x14ac:dyDescent="0.25">
      <c r="A58" s="7">
        <v>125</v>
      </c>
      <c r="B58" s="7">
        <v>272.34199999999998</v>
      </c>
      <c r="C58" s="7">
        <v>335.012</v>
      </c>
      <c r="D58" s="7">
        <v>364.065</v>
      </c>
      <c r="E58" s="7">
        <v>368.29399999999998</v>
      </c>
      <c r="F58" s="14">
        <v>8</v>
      </c>
      <c r="G58" s="14">
        <v>0</v>
      </c>
      <c r="H58" s="7">
        <v>320.90300000000002</v>
      </c>
      <c r="I58" s="7">
        <v>359.01100000000002</v>
      </c>
      <c r="J58" s="7"/>
      <c r="M58" s="14"/>
      <c r="N58" s="57"/>
      <c r="Q58" s="57"/>
      <c r="R58" s="57"/>
      <c r="W58">
        <f t="shared" si="2"/>
        <v>130</v>
      </c>
      <c r="X58" s="14">
        <f t="shared" si="3"/>
        <v>340.5</v>
      </c>
      <c r="Z58">
        <v>26</v>
      </c>
      <c r="AA58" s="58">
        <v>368.71858362482766</v>
      </c>
      <c r="AB58" s="59">
        <v>34.83379299169097</v>
      </c>
      <c r="AC58" s="59">
        <v>403.55237661651864</v>
      </c>
      <c r="AD58" s="60">
        <v>333.88479063313667</v>
      </c>
      <c r="AE58" s="61">
        <v>0.99621444837570461</v>
      </c>
      <c r="AF58" s="62">
        <v>4.6311576288010229E-3</v>
      </c>
      <c r="AG58" s="62">
        <v>1.0008456060045057</v>
      </c>
      <c r="AH58" s="63">
        <v>0.99158329074690355</v>
      </c>
      <c r="AI58">
        <v>0</v>
      </c>
    </row>
    <row r="59" spans="1:39" x14ac:dyDescent="0.25">
      <c r="A59" s="7">
        <v>130</v>
      </c>
      <c r="B59" s="7">
        <v>272.233</v>
      </c>
      <c r="C59" s="7">
        <v>333.39600000000002</v>
      </c>
      <c r="D59" s="7">
        <v>363.72399999999999</v>
      </c>
      <c r="E59" s="7">
        <v>368.18200000000002</v>
      </c>
      <c r="F59" s="14">
        <v>8</v>
      </c>
      <c r="G59" s="14">
        <v>0</v>
      </c>
      <c r="H59" s="7">
        <v>319.46899999999999</v>
      </c>
      <c r="I59" s="7">
        <v>358.68200000000002</v>
      </c>
      <c r="J59" s="7"/>
      <c r="M59" s="14"/>
      <c r="N59" s="57"/>
      <c r="Q59" s="57"/>
      <c r="R59" s="57"/>
      <c r="W59">
        <f t="shared" si="2"/>
        <v>135</v>
      </c>
      <c r="X59" s="14">
        <f t="shared" si="3"/>
        <v>338.9</v>
      </c>
      <c r="Z59">
        <v>27</v>
      </c>
      <c r="AA59" s="58">
        <v>368.53834709013563</v>
      </c>
      <c r="AB59" s="59">
        <v>34.805894324962566</v>
      </c>
      <c r="AC59" s="59">
        <v>403.34424141509817</v>
      </c>
      <c r="AD59" s="60">
        <v>333.73245276517309</v>
      </c>
      <c r="AE59" s="61">
        <v>0.99573067313880514</v>
      </c>
      <c r="AF59" s="62">
        <v>4.4937251215982684E-3</v>
      </c>
      <c r="AG59" s="62">
        <v>1.0002243982604033</v>
      </c>
      <c r="AH59" s="63">
        <v>0.99123694801720685</v>
      </c>
      <c r="AI59">
        <v>0</v>
      </c>
    </row>
    <row r="60" spans="1:39" x14ac:dyDescent="0.25">
      <c r="A60" s="7">
        <v>135</v>
      </c>
      <c r="B60" s="7">
        <v>261.76</v>
      </c>
      <c r="C60" s="7">
        <v>331.798</v>
      </c>
      <c r="D60" s="7">
        <v>363.38600000000002</v>
      </c>
      <c r="E60" s="7">
        <v>368.07799999999997</v>
      </c>
      <c r="F60" s="14">
        <v>5.3803400000000003</v>
      </c>
      <c r="G60" s="14">
        <v>0.12622</v>
      </c>
      <c r="H60" s="7">
        <v>148.90700000000001</v>
      </c>
      <c r="I60" s="7">
        <v>356.62700000000001</v>
      </c>
      <c r="J60" s="7"/>
      <c r="M60" s="14"/>
      <c r="N60" s="57"/>
      <c r="Q60" s="57"/>
      <c r="R60" s="57"/>
      <c r="W60">
        <f t="shared" si="2"/>
        <v>140</v>
      </c>
      <c r="X60" s="14">
        <f t="shared" si="3"/>
        <v>337.2</v>
      </c>
      <c r="Z60">
        <v>28</v>
      </c>
      <c r="AA60" s="58">
        <v>368.40456846793995</v>
      </c>
      <c r="AB60" s="59">
        <v>34.773032797178502</v>
      </c>
      <c r="AC60" s="59">
        <v>403.17760126511848</v>
      </c>
      <c r="AD60" s="60">
        <v>333.63153567076142</v>
      </c>
      <c r="AE60" s="61">
        <v>0.99537465404766845</v>
      </c>
      <c r="AF60" s="62">
        <v>4.436761730042294E-3</v>
      </c>
      <c r="AG60" s="62">
        <v>0.99981141577771071</v>
      </c>
      <c r="AH60" s="63">
        <v>0.99093789231762619</v>
      </c>
      <c r="AI60">
        <v>0</v>
      </c>
    </row>
    <row r="61" spans="1:39" x14ac:dyDescent="0.25">
      <c r="A61" s="7">
        <v>140</v>
      </c>
      <c r="B61" s="7">
        <v>278.95600000000002</v>
      </c>
      <c r="C61" s="7">
        <v>324.29599999999999</v>
      </c>
      <c r="D61" s="7">
        <v>363.38600000000002</v>
      </c>
      <c r="E61" s="7">
        <v>368.07799999999997</v>
      </c>
      <c r="F61" s="14">
        <v>3.8989600000000002</v>
      </c>
      <c r="G61" s="14">
        <v>1.29521</v>
      </c>
      <c r="H61" s="7">
        <v>105.297</v>
      </c>
      <c r="I61" s="7">
        <v>355.23500000000001</v>
      </c>
      <c r="J61" s="7"/>
      <c r="M61" s="14"/>
      <c r="N61" s="57"/>
      <c r="Q61" s="57"/>
      <c r="R61" s="57"/>
      <c r="W61">
        <f t="shared" si="2"/>
        <v>145</v>
      </c>
      <c r="X61" s="14">
        <f t="shared" si="3"/>
        <v>336</v>
      </c>
      <c r="Z61">
        <v>29</v>
      </c>
      <c r="AA61" s="58">
        <v>368.3034124818239</v>
      </c>
      <c r="AB61" s="59">
        <v>34.740874263970504</v>
      </c>
      <c r="AC61" s="59">
        <v>403.04428674579441</v>
      </c>
      <c r="AD61" s="60">
        <v>333.56253821785339</v>
      </c>
      <c r="AE61" s="61">
        <v>0.99510751007028053</v>
      </c>
      <c r="AF61" s="62">
        <v>4.470803787402583E-3</v>
      </c>
      <c r="AG61" s="62">
        <v>0.99957831385768314</v>
      </c>
      <c r="AH61" s="63">
        <v>0.99063670628287792</v>
      </c>
      <c r="AI61">
        <v>0</v>
      </c>
    </row>
    <row r="62" spans="1:39" x14ac:dyDescent="0.25">
      <c r="A62" s="7">
        <v>145</v>
      </c>
      <c r="B62" s="7">
        <v>352.71600000000001</v>
      </c>
      <c r="C62" s="7">
        <v>312.512</v>
      </c>
      <c r="D62" s="7">
        <v>361.68799999999999</v>
      </c>
      <c r="E62" s="7">
        <v>368.07799999999997</v>
      </c>
      <c r="F62" s="14">
        <v>0.94645800000000002</v>
      </c>
      <c r="G62" s="14">
        <v>1.97356</v>
      </c>
      <c r="H62" s="7">
        <v>103.527</v>
      </c>
      <c r="I62" s="7">
        <v>146.172</v>
      </c>
      <c r="J62" s="7"/>
      <c r="M62" s="14"/>
      <c r="N62" s="57"/>
      <c r="Q62" s="57"/>
      <c r="R62" s="57"/>
      <c r="W62">
        <f t="shared" si="2"/>
        <v>150</v>
      </c>
      <c r="X62" s="14">
        <f t="shared" si="3"/>
        <v>335.1</v>
      </c>
      <c r="Z62">
        <v>30</v>
      </c>
      <c r="AA62" s="58">
        <v>368.21399802402902</v>
      </c>
      <c r="AB62" s="59">
        <v>34.720809423567935</v>
      </c>
      <c r="AC62" s="59">
        <v>402.93480744759694</v>
      </c>
      <c r="AD62" s="60">
        <v>333.49318860046111</v>
      </c>
      <c r="AE62" s="61">
        <v>0.99486975545183187</v>
      </c>
      <c r="AF62" s="62">
        <v>4.5821168638398814E-3</v>
      </c>
      <c r="AG62" s="62">
        <v>0.99945187231567179</v>
      </c>
      <c r="AH62" s="63">
        <v>0.99028763858799196</v>
      </c>
      <c r="AI62">
        <v>0</v>
      </c>
    </row>
    <row r="63" spans="1:39" x14ac:dyDescent="0.25">
      <c r="A63" s="7">
        <v>150</v>
      </c>
      <c r="B63" s="7">
        <v>234.34200000000001</v>
      </c>
      <c r="C63" s="7">
        <v>300.21300000000002</v>
      </c>
      <c r="D63" s="7">
        <v>346.52600000000001</v>
      </c>
      <c r="E63" s="7">
        <v>368.077</v>
      </c>
      <c r="F63" s="14">
        <v>6.1491800000000003</v>
      </c>
      <c r="G63" s="14">
        <v>2.4616699999999998</v>
      </c>
      <c r="H63" s="7">
        <v>101.676</v>
      </c>
      <c r="I63" s="7">
        <v>144.55000000000001</v>
      </c>
      <c r="J63" s="7"/>
      <c r="M63" s="14"/>
      <c r="N63" s="57"/>
      <c r="Q63" s="57"/>
      <c r="R63" s="57"/>
      <c r="W63">
        <f t="shared" si="2"/>
        <v>155</v>
      </c>
      <c r="X63" s="14">
        <f t="shared" si="3"/>
        <v>333.2</v>
      </c>
      <c r="Z63">
        <v>31</v>
      </c>
      <c r="AA63" s="58">
        <v>368.12474377541372</v>
      </c>
      <c r="AB63" s="59">
        <v>34.701286016230021</v>
      </c>
      <c r="AC63" s="59">
        <v>402.82602979164375</v>
      </c>
      <c r="AD63" s="60">
        <v>333.42345775918369</v>
      </c>
      <c r="AE63" s="61">
        <v>0.99463235441272069</v>
      </c>
      <c r="AF63" s="62">
        <v>4.7005210591449572E-3</v>
      </c>
      <c r="AG63" s="62">
        <v>0.99933287547186567</v>
      </c>
      <c r="AH63" s="63">
        <v>0.98993183335357571</v>
      </c>
      <c r="AI63">
        <v>0</v>
      </c>
    </row>
    <row r="64" spans="1:39" x14ac:dyDescent="0.25">
      <c r="A64" s="7">
        <v>155</v>
      </c>
      <c r="B64" s="7">
        <v>234.02099999999999</v>
      </c>
      <c r="C64" s="7">
        <v>287.976</v>
      </c>
      <c r="D64" s="7">
        <v>331.74400000000003</v>
      </c>
      <c r="E64" s="7">
        <v>368.07100000000003</v>
      </c>
      <c r="F64" s="14">
        <v>5.8478000000000003</v>
      </c>
      <c r="G64" s="14">
        <v>2.8591500000000001</v>
      </c>
      <c r="H64" s="7">
        <v>99.751400000000004</v>
      </c>
      <c r="I64" s="7">
        <v>142.73099999999999</v>
      </c>
      <c r="J64" s="7"/>
      <c r="M64" s="14"/>
      <c r="N64" s="57"/>
      <c r="Q64" s="57"/>
      <c r="R64" s="57"/>
      <c r="W64">
        <f t="shared" si="2"/>
        <v>160</v>
      </c>
      <c r="X64" s="14">
        <f t="shared" si="3"/>
        <v>328</v>
      </c>
      <c r="Z64">
        <v>32</v>
      </c>
      <c r="AA64" s="58">
        <v>368.03042264007314</v>
      </c>
      <c r="AB64" s="59">
        <v>34.679193179668175</v>
      </c>
      <c r="AC64" s="59">
        <v>402.70961581974132</v>
      </c>
      <c r="AD64" s="60">
        <v>333.35122946040497</v>
      </c>
      <c r="AE64" s="61">
        <v>0.99438187513636367</v>
      </c>
      <c r="AF64" s="62">
        <v>4.8208379174036206E-3</v>
      </c>
      <c r="AG64" s="62">
        <v>0.99920271305376729</v>
      </c>
      <c r="AH64" s="63">
        <v>0.98956103721896005</v>
      </c>
      <c r="AI64">
        <v>0</v>
      </c>
    </row>
    <row r="65" spans="1:35" x14ac:dyDescent="0.25">
      <c r="A65" s="7">
        <v>160</v>
      </c>
      <c r="B65" s="7">
        <v>223.95099999999999</v>
      </c>
      <c r="C65" s="7">
        <v>276.23399999999998</v>
      </c>
      <c r="D65" s="7">
        <v>325.47300000000001</v>
      </c>
      <c r="E65" s="7">
        <v>367.88600000000002</v>
      </c>
      <c r="F65" s="14">
        <v>6.5175799999999997</v>
      </c>
      <c r="G65" s="14">
        <v>3.2075300000000002</v>
      </c>
      <c r="H65" s="7">
        <v>98.188199999999995</v>
      </c>
      <c r="I65" s="7">
        <v>142.10499999999999</v>
      </c>
      <c r="J65" s="7"/>
      <c r="M65" s="14"/>
      <c r="N65" s="57"/>
      <c r="Q65" s="57"/>
      <c r="R65" s="57"/>
      <c r="W65">
        <f t="shared" si="2"/>
        <v>165</v>
      </c>
      <c r="X65" s="14">
        <f t="shared" si="3"/>
        <v>321.2</v>
      </c>
      <c r="Z65">
        <v>33</v>
      </c>
      <c r="AA65" s="58">
        <v>367.95071679866425</v>
      </c>
      <c r="AB65" s="59">
        <v>34.644679214494211</v>
      </c>
      <c r="AC65" s="59">
        <v>402.59539601315845</v>
      </c>
      <c r="AD65" s="60">
        <v>333.30603758417004</v>
      </c>
      <c r="AE65" s="61">
        <v>0.99417402720703774</v>
      </c>
      <c r="AF65" s="62">
        <v>4.8820952590981946E-3</v>
      </c>
      <c r="AG65" s="62">
        <v>0.99905612246613595</v>
      </c>
      <c r="AH65" s="63">
        <v>0.98929193194793952</v>
      </c>
      <c r="AI65">
        <v>0</v>
      </c>
    </row>
    <row r="66" spans="1:35" x14ac:dyDescent="0.25">
      <c r="A66" s="7">
        <v>165</v>
      </c>
      <c r="B66" s="7">
        <v>212.214</v>
      </c>
      <c r="C66" s="7">
        <v>265.315</v>
      </c>
      <c r="D66" s="7">
        <v>320.22899999999998</v>
      </c>
      <c r="E66" s="7">
        <v>367.59899999999999</v>
      </c>
      <c r="F66" s="14">
        <v>7.6840700000000002</v>
      </c>
      <c r="G66" s="14">
        <v>3.50956</v>
      </c>
      <c r="H66" s="7">
        <v>96.307199999999995</v>
      </c>
      <c r="I66" s="7">
        <v>141.755</v>
      </c>
      <c r="J66" s="7"/>
      <c r="M66" s="14"/>
      <c r="N66" s="57"/>
      <c r="Q66" s="57"/>
      <c r="R66" s="57"/>
      <c r="W66">
        <f t="shared" si="2"/>
        <v>170</v>
      </c>
      <c r="X66" s="14">
        <f t="shared" si="3"/>
        <v>314</v>
      </c>
      <c r="Z66">
        <v>34</v>
      </c>
      <c r="AA66" s="58">
        <v>367.87982999612262</v>
      </c>
      <c r="AB66" s="59">
        <v>34.605678547686267</v>
      </c>
      <c r="AC66" s="59">
        <v>402.48550854380892</v>
      </c>
      <c r="AD66" s="60">
        <v>333.27415144843633</v>
      </c>
      <c r="AE66" s="61">
        <v>0.99399128119700553</v>
      </c>
      <c r="AF66" s="62">
        <v>4.9333693237537174E-3</v>
      </c>
      <c r="AG66" s="62">
        <v>0.99892465052075929</v>
      </c>
      <c r="AH66" s="63">
        <v>0.98905791187325176</v>
      </c>
      <c r="AI66">
        <v>0</v>
      </c>
    </row>
    <row r="67" spans="1:35" x14ac:dyDescent="0.25">
      <c r="A67" s="7">
        <v>170</v>
      </c>
      <c r="B67" s="7">
        <v>202.851</v>
      </c>
      <c r="C67" s="7">
        <v>255.54300000000001</v>
      </c>
      <c r="D67" s="7">
        <v>313.19499999999999</v>
      </c>
      <c r="E67" s="7">
        <v>367.238</v>
      </c>
      <c r="F67" s="14">
        <v>8.8825500000000002</v>
      </c>
      <c r="G67" s="14">
        <v>3.7794300000000001</v>
      </c>
      <c r="H67" s="7">
        <v>94.537000000000006</v>
      </c>
      <c r="I67" s="7">
        <v>140.83500000000001</v>
      </c>
      <c r="J67" s="7"/>
      <c r="M67" s="14"/>
      <c r="N67" s="57"/>
      <c r="Q67" s="57"/>
      <c r="R67" s="57"/>
      <c r="W67">
        <f t="shared" si="2"/>
        <v>175</v>
      </c>
      <c r="X67" s="14">
        <f t="shared" si="3"/>
        <v>306.60000000000002</v>
      </c>
      <c r="Z67">
        <v>35</v>
      </c>
      <c r="AA67" s="58">
        <v>367.81641995939935</v>
      </c>
      <c r="AB67" s="59">
        <v>34.571225316153061</v>
      </c>
      <c r="AC67" s="59">
        <v>402.38764527555242</v>
      </c>
      <c r="AD67" s="60">
        <v>333.24519464324629</v>
      </c>
      <c r="AE67" s="61">
        <v>0.99382776802509143</v>
      </c>
      <c r="AF67" s="62">
        <v>4.9942185300578205E-3</v>
      </c>
      <c r="AG67" s="62">
        <v>0.9988219865551492</v>
      </c>
      <c r="AH67" s="63">
        <v>0.98883354949503366</v>
      </c>
      <c r="AI67">
        <v>0</v>
      </c>
    </row>
    <row r="68" spans="1:35" x14ac:dyDescent="0.25">
      <c r="A68" s="7">
        <v>175</v>
      </c>
      <c r="B68" s="7">
        <v>293.78899999999999</v>
      </c>
      <c r="C68" s="7">
        <v>245.22900000000001</v>
      </c>
      <c r="D68" s="7">
        <v>312.50900000000001</v>
      </c>
      <c r="E68" s="7">
        <v>367.23599999999999</v>
      </c>
      <c r="F68" s="14">
        <v>2.2432500000000002</v>
      </c>
      <c r="G68" s="14">
        <v>4.0613200000000003</v>
      </c>
      <c r="H68" s="7">
        <v>92.769599999999997</v>
      </c>
      <c r="I68" s="7">
        <v>141.001</v>
      </c>
      <c r="J68" s="7"/>
      <c r="M68" s="14"/>
      <c r="N68" s="57"/>
      <c r="Q68" s="57"/>
      <c r="R68" s="57"/>
      <c r="W68">
        <f t="shared" si="2"/>
        <v>180</v>
      </c>
      <c r="X68" s="14">
        <f t="shared" si="3"/>
        <v>299.39999999999998</v>
      </c>
      <c r="Z68">
        <v>36</v>
      </c>
      <c r="AA68" s="58">
        <v>367.75356548997047</v>
      </c>
      <c r="AB68" s="59">
        <v>34.537168225417524</v>
      </c>
      <c r="AC68" s="59">
        <v>402.290733715388</v>
      </c>
      <c r="AD68" s="60">
        <v>333.21639726455294</v>
      </c>
      <c r="AE68" s="61">
        <v>0.9936656849647183</v>
      </c>
      <c r="AF68" s="62">
        <v>5.0594003614255053E-3</v>
      </c>
      <c r="AG68" s="62">
        <v>0.99872508532614379</v>
      </c>
      <c r="AH68" s="63">
        <v>0.98860628460329281</v>
      </c>
      <c r="AI68">
        <v>0</v>
      </c>
    </row>
    <row r="69" spans="1:35" x14ac:dyDescent="0.25">
      <c r="A69" s="7">
        <v>180</v>
      </c>
      <c r="B69" s="7">
        <v>355.62900000000002</v>
      </c>
      <c r="C69" s="7">
        <v>236.06</v>
      </c>
      <c r="D69" s="7">
        <v>305.721</v>
      </c>
      <c r="E69" s="7">
        <v>367.23599999999999</v>
      </c>
      <c r="F69" s="14">
        <v>0.48902899999999999</v>
      </c>
      <c r="G69" s="14">
        <v>4.3428000000000004</v>
      </c>
      <c r="H69" s="7">
        <v>91.331100000000006</v>
      </c>
      <c r="I69" s="7">
        <v>140.04</v>
      </c>
      <c r="J69" s="7"/>
      <c r="M69" s="14"/>
      <c r="N69" s="57"/>
      <c r="Q69" s="57"/>
      <c r="R69" s="57"/>
      <c r="W69">
        <f t="shared" si="2"/>
        <v>185</v>
      </c>
      <c r="X69" s="14">
        <f t="shared" si="3"/>
        <v>292.89999999999998</v>
      </c>
      <c r="Z69">
        <v>37</v>
      </c>
      <c r="AA69" s="58">
        <v>367.69959197192776</v>
      </c>
      <c r="AB69" s="59">
        <v>34.507716823463781</v>
      </c>
      <c r="AC69" s="59">
        <v>402.20730879539155</v>
      </c>
      <c r="AD69" s="60">
        <v>333.19187514846396</v>
      </c>
      <c r="AE69" s="61">
        <v>0.99352659584299963</v>
      </c>
      <c r="AF69" s="62">
        <v>5.1296497931914969E-3</v>
      </c>
      <c r="AG69" s="62">
        <v>0.99865624563619115</v>
      </c>
      <c r="AH69" s="63">
        <v>0.9883969460498081</v>
      </c>
      <c r="AI69">
        <v>0</v>
      </c>
    </row>
    <row r="70" spans="1:35" x14ac:dyDescent="0.25">
      <c r="A70" s="7">
        <v>185</v>
      </c>
      <c r="B70" s="7">
        <v>212.477</v>
      </c>
      <c r="C70" s="7">
        <v>227.75200000000001</v>
      </c>
      <c r="D70" s="7">
        <v>296.661</v>
      </c>
      <c r="E70" s="7">
        <v>367.23599999999999</v>
      </c>
      <c r="F70" s="14">
        <v>6.3695500000000003</v>
      </c>
      <c r="G70" s="14">
        <v>4.6151299999999997</v>
      </c>
      <c r="H70" s="7">
        <v>89.775700000000001</v>
      </c>
      <c r="I70" s="7">
        <v>138.93600000000001</v>
      </c>
      <c r="J70" s="7"/>
      <c r="M70" s="14"/>
      <c r="N70" s="57"/>
      <c r="Q70" s="57"/>
      <c r="R70" s="57"/>
      <c r="W70">
        <f t="shared" si="2"/>
        <v>190</v>
      </c>
      <c r="X70" s="14">
        <f t="shared" si="3"/>
        <v>286.8</v>
      </c>
      <c r="Z70">
        <v>38</v>
      </c>
      <c r="AA70" s="58">
        <v>367.65663425680071</v>
      </c>
      <c r="AB70" s="59">
        <v>34.482816962070451</v>
      </c>
      <c r="AC70" s="59">
        <v>402.13945121887116</v>
      </c>
      <c r="AD70" s="60">
        <v>333.17381729473027</v>
      </c>
      <c r="AE70" s="61">
        <v>0.99341619331301378</v>
      </c>
      <c r="AF70" s="62">
        <v>5.1873986505184735E-3</v>
      </c>
      <c r="AG70" s="62">
        <v>0.99860359196353221</v>
      </c>
      <c r="AH70" s="63">
        <v>0.98822879466249536</v>
      </c>
      <c r="AI70">
        <v>0</v>
      </c>
    </row>
    <row r="71" spans="1:35" x14ac:dyDescent="0.25">
      <c r="A71" s="7">
        <v>190</v>
      </c>
      <c r="B71" s="7">
        <v>213.864</v>
      </c>
      <c r="C71" s="7">
        <v>218.81700000000001</v>
      </c>
      <c r="D71" s="7">
        <v>289.35199999999998</v>
      </c>
      <c r="E71" s="7">
        <v>367.23599999999999</v>
      </c>
      <c r="F71" s="14">
        <v>5.7133599999999998</v>
      </c>
      <c r="G71" s="14">
        <v>4.8625499999999997</v>
      </c>
      <c r="H71" s="7">
        <v>88.198599999999999</v>
      </c>
      <c r="I71" s="7">
        <v>138.61600000000001</v>
      </c>
      <c r="J71" s="7"/>
      <c r="M71" s="14"/>
      <c r="N71" s="57"/>
      <c r="Q71" s="57"/>
      <c r="R71" s="57"/>
      <c r="W71">
        <f t="shared" si="2"/>
        <v>195</v>
      </c>
      <c r="X71" s="14">
        <f t="shared" si="3"/>
        <v>281.2</v>
      </c>
      <c r="Z71">
        <v>39</v>
      </c>
      <c r="AA71" s="58">
        <v>367.61426431028184</v>
      </c>
      <c r="AB71" s="59">
        <v>34.458132068255175</v>
      </c>
      <c r="AC71" s="59">
        <v>402.07239637853701</v>
      </c>
      <c r="AD71" s="60">
        <v>333.15613224202667</v>
      </c>
      <c r="AE71" s="61">
        <v>0.9933073315355897</v>
      </c>
      <c r="AF71" s="62">
        <v>5.2454352796444644E-3</v>
      </c>
      <c r="AG71" s="62">
        <v>0.99855276681523419</v>
      </c>
      <c r="AH71" s="63">
        <v>0.9880618962559452</v>
      </c>
      <c r="AI71">
        <v>0</v>
      </c>
    </row>
    <row r="72" spans="1:35" x14ac:dyDescent="0.25">
      <c r="A72" s="7">
        <v>195</v>
      </c>
      <c r="B72" s="7">
        <v>189.25800000000001</v>
      </c>
      <c r="C72" s="7">
        <v>211.809</v>
      </c>
      <c r="D72" s="7">
        <v>279.488</v>
      </c>
      <c r="E72" s="7">
        <v>367.23399999999998</v>
      </c>
      <c r="F72" s="14">
        <v>8.4408600000000007</v>
      </c>
      <c r="G72" s="14">
        <v>5.08826</v>
      </c>
      <c r="H72" s="7">
        <v>86.961399999999998</v>
      </c>
      <c r="I72" s="7">
        <v>137.30099999999999</v>
      </c>
      <c r="J72" s="7"/>
      <c r="M72" s="14"/>
      <c r="N72" s="57"/>
      <c r="Q72" s="57"/>
      <c r="R72" s="57"/>
      <c r="W72">
        <f t="shared" si="2"/>
        <v>200</v>
      </c>
      <c r="X72" s="14">
        <f t="shared" si="3"/>
        <v>275.89999999999998</v>
      </c>
      <c r="Z72">
        <v>40</v>
      </c>
      <c r="AA72" s="58">
        <v>367.57709254702621</v>
      </c>
      <c r="AB72" s="59">
        <v>34.436403096375194</v>
      </c>
      <c r="AC72" s="59">
        <v>402.01349564340143</v>
      </c>
      <c r="AD72" s="60">
        <v>333.140689450651</v>
      </c>
      <c r="AE72" s="61">
        <v>0.99321189979882707</v>
      </c>
      <c r="AF72" s="62">
        <v>5.3111294540226324E-3</v>
      </c>
      <c r="AG72" s="62">
        <v>0.99852302925284975</v>
      </c>
      <c r="AH72" s="63">
        <v>0.98790077034480439</v>
      </c>
      <c r="AI72">
        <v>0</v>
      </c>
    </row>
    <row r="73" spans="1:35" x14ac:dyDescent="0.25">
      <c r="A73" s="7">
        <v>200</v>
      </c>
      <c r="B73" s="7">
        <v>185.62299999999999</v>
      </c>
      <c r="C73" s="7">
        <v>205.19399999999999</v>
      </c>
      <c r="D73" s="7">
        <v>269.23599999999999</v>
      </c>
      <c r="E73" s="7">
        <v>367.22699999999998</v>
      </c>
      <c r="F73" s="14">
        <v>8.8653700000000004</v>
      </c>
      <c r="G73" s="14">
        <v>5.2985600000000002</v>
      </c>
      <c r="H73" s="7">
        <v>85.805400000000006</v>
      </c>
      <c r="I73" s="7">
        <v>135.87700000000001</v>
      </c>
      <c r="J73" s="7"/>
      <c r="M73" s="14"/>
      <c r="N73" s="57"/>
      <c r="Q73" s="57"/>
      <c r="R73" s="57"/>
      <c r="W73">
        <f t="shared" si="2"/>
        <v>205</v>
      </c>
      <c r="X73" s="14">
        <f t="shared" si="3"/>
        <v>271.2</v>
      </c>
      <c r="Z73">
        <v>41</v>
      </c>
      <c r="AA73" s="58">
        <v>367.54955362709001</v>
      </c>
      <c r="AB73" s="59">
        <v>34.421228855907003</v>
      </c>
      <c r="AC73" s="59">
        <v>401.97078248299704</v>
      </c>
      <c r="AD73" s="60">
        <v>333.12832477118297</v>
      </c>
      <c r="AE73" s="61">
        <v>0.99314113262392911</v>
      </c>
      <c r="AF73" s="62">
        <v>5.3906980691396178E-3</v>
      </c>
      <c r="AG73" s="62">
        <v>0.99853183069306872</v>
      </c>
      <c r="AH73" s="63">
        <v>0.9877504345547895</v>
      </c>
      <c r="AI73">
        <v>0</v>
      </c>
    </row>
    <row r="74" spans="1:35" x14ac:dyDescent="0.25">
      <c r="A74" s="7">
        <v>205</v>
      </c>
      <c r="B74" s="7">
        <v>366.959</v>
      </c>
      <c r="C74" s="7">
        <v>198.422</v>
      </c>
      <c r="D74" s="7">
        <v>263.202</v>
      </c>
      <c r="E74" s="7">
        <v>367.22300000000001</v>
      </c>
      <c r="F74" s="14">
        <v>8.1971799999999997E-2</v>
      </c>
      <c r="G74" s="14">
        <v>5.5275299999999996</v>
      </c>
      <c r="H74" s="7">
        <v>84.548900000000003</v>
      </c>
      <c r="I74" s="7">
        <v>133.446</v>
      </c>
      <c r="J74" s="7"/>
      <c r="M74" s="14"/>
      <c r="N74" s="57"/>
      <c r="Q74" s="57"/>
      <c r="R74" s="57"/>
      <c r="W74">
        <f t="shared" si="2"/>
        <v>210</v>
      </c>
      <c r="X74" s="14">
        <f t="shared" si="3"/>
        <v>266.39999999999998</v>
      </c>
      <c r="Z74">
        <v>42</v>
      </c>
      <c r="AA74" s="58">
        <v>367.52015596005003</v>
      </c>
      <c r="AB74" s="59">
        <v>34.406644639174502</v>
      </c>
      <c r="AC74" s="59">
        <v>401.92680059922452</v>
      </c>
      <c r="AD74" s="60">
        <v>333.11351132087555</v>
      </c>
      <c r="AE74" s="61">
        <v>0.99306533354879056</v>
      </c>
      <c r="AF74" s="62">
        <v>5.4923857298668968E-3</v>
      </c>
      <c r="AG74" s="62">
        <v>0.99855771927865744</v>
      </c>
      <c r="AH74" s="63">
        <v>0.98757294781892369</v>
      </c>
      <c r="AI74">
        <v>0</v>
      </c>
    </row>
    <row r="75" spans="1:35" x14ac:dyDescent="0.25">
      <c r="A75" s="7">
        <v>210</v>
      </c>
      <c r="B75" s="7">
        <v>358.67399999999998</v>
      </c>
      <c r="C75" s="7">
        <v>192.46100000000001</v>
      </c>
      <c r="D75" s="7">
        <v>253.78100000000001</v>
      </c>
      <c r="E75" s="7">
        <v>367.22300000000001</v>
      </c>
      <c r="F75" s="14">
        <v>1.7527299999999999</v>
      </c>
      <c r="G75" s="14">
        <v>5.7932600000000001</v>
      </c>
      <c r="H75" s="7">
        <v>83.519099999999995</v>
      </c>
      <c r="I75" s="7">
        <v>132.441</v>
      </c>
      <c r="J75" s="7"/>
      <c r="M75" s="14"/>
      <c r="N75" s="57"/>
      <c r="Q75" s="57"/>
      <c r="R75" s="57"/>
      <c r="W75">
        <f t="shared" si="2"/>
        <v>215</v>
      </c>
      <c r="X75" s="14">
        <f t="shared" si="3"/>
        <v>261.8</v>
      </c>
      <c r="Z75">
        <v>43</v>
      </c>
      <c r="AA75" s="58">
        <v>367.49001604835871</v>
      </c>
      <c r="AB75" s="59">
        <v>34.392115233117785</v>
      </c>
      <c r="AC75" s="59">
        <v>401.88213128147652</v>
      </c>
      <c r="AD75" s="60">
        <v>333.09790081524091</v>
      </c>
      <c r="AE75" s="61">
        <v>0.99298756065720761</v>
      </c>
      <c r="AF75" s="62">
        <v>5.6008114561469403E-3</v>
      </c>
      <c r="AG75" s="62">
        <v>0.99858837211335461</v>
      </c>
      <c r="AH75" s="63">
        <v>0.98738674920106062</v>
      </c>
      <c r="AI75">
        <v>0</v>
      </c>
    </row>
    <row r="76" spans="1:35" x14ac:dyDescent="0.25">
      <c r="A76" s="7">
        <v>215</v>
      </c>
      <c r="B76" s="7">
        <v>211.65899999999999</v>
      </c>
      <c r="C76" s="7">
        <v>186.60900000000001</v>
      </c>
      <c r="D76" s="7">
        <v>241.93</v>
      </c>
      <c r="E76" s="7">
        <v>367.22300000000001</v>
      </c>
      <c r="F76" s="14">
        <v>5.0583099999999996</v>
      </c>
      <c r="G76" s="14">
        <v>6.0500499999999997</v>
      </c>
      <c r="H76" s="7">
        <v>82.429699999999997</v>
      </c>
      <c r="I76" s="7">
        <v>131.29900000000001</v>
      </c>
      <c r="J76" s="7"/>
      <c r="M76" s="14"/>
      <c r="N76" s="57"/>
      <c r="Q76" s="57"/>
      <c r="R76" s="57"/>
      <c r="W76">
        <f t="shared" si="2"/>
        <v>220</v>
      </c>
      <c r="X76" s="14">
        <f t="shared" si="3"/>
        <v>256.89999999999998</v>
      </c>
      <c r="Z76">
        <v>44</v>
      </c>
      <c r="AA76" s="58">
        <v>367.45987613666733</v>
      </c>
      <c r="AB76" s="59">
        <v>34.377648246005997</v>
      </c>
      <c r="AC76" s="59">
        <v>401.83752438267334</v>
      </c>
      <c r="AD76" s="60">
        <v>333.08222789066133</v>
      </c>
      <c r="AE76" s="61">
        <v>0.99290978776562477</v>
      </c>
      <c r="AF76" s="62">
        <v>5.7099822402682859E-3</v>
      </c>
      <c r="AG76" s="62">
        <v>0.99861977000589308</v>
      </c>
      <c r="AH76" s="63">
        <v>0.98719980552535647</v>
      </c>
      <c r="AI76">
        <v>0</v>
      </c>
    </row>
    <row r="77" spans="1:35" x14ac:dyDescent="0.25">
      <c r="A77" s="7">
        <v>220</v>
      </c>
      <c r="B77" s="7">
        <v>366.87200000000001</v>
      </c>
      <c r="C77" s="7">
        <v>180.93299999999999</v>
      </c>
      <c r="D77" s="7">
        <v>226.82</v>
      </c>
      <c r="E77" s="7">
        <v>367.22300000000001</v>
      </c>
      <c r="F77" s="14">
        <v>9.3862500000000001E-2</v>
      </c>
      <c r="G77" s="14">
        <v>6.30206</v>
      </c>
      <c r="H77" s="7">
        <v>81.381299999999996</v>
      </c>
      <c r="I77" s="7">
        <v>127.569</v>
      </c>
      <c r="J77" s="7"/>
      <c r="M77" s="14"/>
      <c r="N77" s="57"/>
      <c r="Q77" s="57"/>
      <c r="R77" s="57"/>
      <c r="W77">
        <f t="shared" si="2"/>
        <v>225</v>
      </c>
      <c r="X77" s="14">
        <f t="shared" si="3"/>
        <v>251.4</v>
      </c>
      <c r="Z77">
        <v>45</v>
      </c>
      <c r="AA77" s="58">
        <v>367.42848194707921</v>
      </c>
      <c r="AB77" s="59">
        <v>34.362467431541788</v>
      </c>
      <c r="AC77" s="59">
        <v>401.79094937862101</v>
      </c>
      <c r="AD77" s="60">
        <v>333.0660145155374</v>
      </c>
      <c r="AE77" s="61">
        <v>0.99282878843572231</v>
      </c>
      <c r="AF77" s="62">
        <v>5.8183585620471059E-3</v>
      </c>
      <c r="AG77" s="62">
        <v>0.99864714699776946</v>
      </c>
      <c r="AH77" s="63">
        <v>0.98701042987367515</v>
      </c>
      <c r="AI77">
        <v>0</v>
      </c>
    </row>
    <row r="78" spans="1:35" x14ac:dyDescent="0.25">
      <c r="A78" s="7">
        <v>225</v>
      </c>
      <c r="B78" s="7">
        <v>212.654</v>
      </c>
      <c r="C78" s="7">
        <v>175.596</v>
      </c>
      <c r="D78" s="7">
        <v>220.42400000000001</v>
      </c>
      <c r="E78" s="7">
        <v>367.22300000000001</v>
      </c>
      <c r="F78" s="14">
        <v>5.04718</v>
      </c>
      <c r="G78" s="14">
        <v>6.5457400000000003</v>
      </c>
      <c r="H78" s="7">
        <v>80.349500000000006</v>
      </c>
      <c r="I78" s="7">
        <v>100.514</v>
      </c>
      <c r="J78" s="7"/>
      <c r="M78" s="14"/>
      <c r="N78" s="57"/>
      <c r="Q78" s="57"/>
      <c r="R78" s="57"/>
      <c r="W78">
        <f t="shared" si="2"/>
        <v>230</v>
      </c>
      <c r="X78" s="14">
        <f t="shared" si="3"/>
        <v>246</v>
      </c>
      <c r="Z78">
        <v>46</v>
      </c>
      <c r="AA78" s="58">
        <v>367.38580131793952</v>
      </c>
      <c r="AB78" s="59">
        <v>34.340376030713799</v>
      </c>
      <c r="AC78" s="59">
        <v>401.72617734865332</v>
      </c>
      <c r="AD78" s="60">
        <v>333.04542528722573</v>
      </c>
      <c r="AE78" s="61">
        <v>0.99271875646388663</v>
      </c>
      <c r="AF78" s="62">
        <v>5.9148623051536271E-3</v>
      </c>
      <c r="AG78" s="62">
        <v>0.99863361876904022</v>
      </c>
      <c r="AH78" s="63">
        <v>0.98680389415873304</v>
      </c>
      <c r="AI78">
        <v>0</v>
      </c>
    </row>
    <row r="79" spans="1:35" x14ac:dyDescent="0.25">
      <c r="A79" s="7">
        <v>230</v>
      </c>
      <c r="B79" s="7">
        <v>231.78100000000001</v>
      </c>
      <c r="C79" s="7">
        <v>170.268</v>
      </c>
      <c r="D79" s="7">
        <v>214.32599999999999</v>
      </c>
      <c r="E79" s="7">
        <v>367.22300000000001</v>
      </c>
      <c r="F79" s="14">
        <v>3.6208300000000002</v>
      </c>
      <c r="G79" s="14">
        <v>6.77163</v>
      </c>
      <c r="H79" s="7">
        <v>79.367900000000006</v>
      </c>
      <c r="I79" s="7">
        <v>99.007599999999996</v>
      </c>
      <c r="J79" s="7"/>
      <c r="M79" s="14"/>
      <c r="N79" s="57"/>
      <c r="Q79" s="57"/>
      <c r="R79" s="57"/>
      <c r="W79">
        <f t="shared" si="2"/>
        <v>235</v>
      </c>
      <c r="X79" s="14">
        <f t="shared" si="3"/>
        <v>240.8</v>
      </c>
      <c r="Z79">
        <v>47</v>
      </c>
      <c r="AA79" s="58">
        <v>367.34043289839065</v>
      </c>
      <c r="AB79" s="59">
        <v>34.316724541535635</v>
      </c>
      <c r="AC79" s="59">
        <v>401.65715743992627</v>
      </c>
      <c r="AD79" s="60">
        <v>333.02370835685502</v>
      </c>
      <c r="AE79" s="61">
        <v>0.99260181056176622</v>
      </c>
      <c r="AF79" s="62">
        <v>6.0113056173423021E-3</v>
      </c>
      <c r="AG79" s="62">
        <v>0.99861311617910853</v>
      </c>
      <c r="AH79" s="63">
        <v>0.98659050494442391</v>
      </c>
      <c r="AI79">
        <v>0</v>
      </c>
    </row>
    <row r="80" spans="1:35" x14ac:dyDescent="0.25">
      <c r="A80" s="7">
        <v>235</v>
      </c>
      <c r="B80" s="7">
        <v>204.42599999999999</v>
      </c>
      <c r="C80" s="7">
        <v>165.34899999999999</v>
      </c>
      <c r="D80" s="7">
        <v>208.48400000000001</v>
      </c>
      <c r="E80" s="7">
        <v>367.22300000000001</v>
      </c>
      <c r="F80" s="14">
        <v>5.3183400000000001</v>
      </c>
      <c r="G80" s="14">
        <v>6.9887199999999998</v>
      </c>
      <c r="H80" s="7">
        <v>78.3566</v>
      </c>
      <c r="I80" s="7">
        <v>97.545299999999997</v>
      </c>
      <c r="J80" s="7"/>
      <c r="M80" s="14"/>
      <c r="N80" s="57"/>
      <c r="Q80" s="57"/>
      <c r="R80" s="57"/>
      <c r="W80">
        <f t="shared" si="2"/>
        <v>240</v>
      </c>
      <c r="X80" s="14">
        <f t="shared" si="3"/>
        <v>234.7</v>
      </c>
      <c r="Z80">
        <v>48</v>
      </c>
      <c r="AA80" s="58">
        <v>367.30107749396558</v>
      </c>
      <c r="AB80" s="59">
        <v>34.297202849508075</v>
      </c>
      <c r="AC80" s="59">
        <v>401.59828034347368</v>
      </c>
      <c r="AD80" s="60">
        <v>333.00387464445748</v>
      </c>
      <c r="AE80" s="61">
        <v>0.99250014070963555</v>
      </c>
      <c r="AF80" s="62">
        <v>6.0877576788018846E-3</v>
      </c>
      <c r="AG80" s="62">
        <v>0.99858789838843742</v>
      </c>
      <c r="AH80" s="63">
        <v>0.98641238303083367</v>
      </c>
      <c r="AI80">
        <v>0</v>
      </c>
    </row>
    <row r="81" spans="1:35" x14ac:dyDescent="0.25">
      <c r="A81" s="7">
        <v>240</v>
      </c>
      <c r="B81" s="7">
        <v>219.10400000000001</v>
      </c>
      <c r="C81" s="7">
        <v>160.24799999999999</v>
      </c>
      <c r="D81" s="7">
        <v>202.863</v>
      </c>
      <c r="E81" s="7">
        <v>367.22300000000001</v>
      </c>
      <c r="F81" s="14">
        <v>4.4361600000000001</v>
      </c>
      <c r="G81" s="14">
        <v>7.19733</v>
      </c>
      <c r="H81" s="7">
        <v>77.230599999999995</v>
      </c>
      <c r="I81" s="7">
        <v>96.134399999999999</v>
      </c>
      <c r="J81" s="7"/>
      <c r="M81" s="14"/>
      <c r="N81" s="57"/>
      <c r="Q81" s="57"/>
      <c r="R81" s="57"/>
      <c r="W81">
        <f t="shared" si="2"/>
        <v>245</v>
      </c>
      <c r="X81" s="14">
        <f t="shared" si="3"/>
        <v>228.1</v>
      </c>
      <c r="Z81">
        <v>49</v>
      </c>
      <c r="AA81" s="58">
        <v>367.27810902412392</v>
      </c>
      <c r="AB81" s="59">
        <v>34.294441729666133</v>
      </c>
      <c r="AC81" s="59">
        <v>401.57255075379004</v>
      </c>
      <c r="AD81" s="60">
        <v>332.9836672944578</v>
      </c>
      <c r="AE81" s="61">
        <v>0.99243911449330902</v>
      </c>
      <c r="AF81" s="62">
        <v>6.1400472658462079E-3</v>
      </c>
      <c r="AG81" s="62">
        <v>0.99857916175915518</v>
      </c>
      <c r="AH81" s="63">
        <v>0.98629906722746286</v>
      </c>
      <c r="AI81">
        <v>0</v>
      </c>
    </row>
    <row r="82" spans="1:35" x14ac:dyDescent="0.25">
      <c r="A82" s="7">
        <v>245</v>
      </c>
      <c r="B82" s="7">
        <v>213.67400000000001</v>
      </c>
      <c r="C82" s="7">
        <v>155.589</v>
      </c>
      <c r="D82" s="7">
        <v>197.464</v>
      </c>
      <c r="E82" s="7">
        <v>367.22300000000001</v>
      </c>
      <c r="F82" s="14">
        <v>4.8574799999999998</v>
      </c>
      <c r="G82" s="14">
        <v>7.3946699999999996</v>
      </c>
      <c r="H82" s="7">
        <v>76.315200000000004</v>
      </c>
      <c r="I82" s="7">
        <v>94.768299999999996</v>
      </c>
      <c r="J82" s="7"/>
      <c r="M82" s="14"/>
      <c r="N82" s="57"/>
      <c r="Q82" s="57"/>
      <c r="R82" s="57"/>
      <c r="W82">
        <f t="shared" si="2"/>
        <v>250</v>
      </c>
      <c r="X82" s="14">
        <f t="shared" si="3"/>
        <v>222</v>
      </c>
      <c r="Z82">
        <v>50</v>
      </c>
      <c r="AA82" s="58">
        <v>367.26163603913864</v>
      </c>
      <c r="AB82" s="59">
        <v>34.296623381635492</v>
      </c>
      <c r="AC82" s="59">
        <v>401.55825942077411</v>
      </c>
      <c r="AD82" s="60">
        <v>332.96501265750317</v>
      </c>
      <c r="AE82" s="61">
        <v>0.99239460886333319</v>
      </c>
      <c r="AF82" s="62">
        <v>6.1978758144013704E-3</v>
      </c>
      <c r="AG82" s="62">
        <v>0.99859248467773454</v>
      </c>
      <c r="AH82" s="63">
        <v>0.98619673304893185</v>
      </c>
      <c r="AI82">
        <v>0</v>
      </c>
    </row>
    <row r="83" spans="1:35" x14ac:dyDescent="0.25">
      <c r="A83" s="7">
        <v>250</v>
      </c>
      <c r="B83" s="7">
        <v>195.92099999999999</v>
      </c>
      <c r="C83" s="7">
        <v>151.19499999999999</v>
      </c>
      <c r="D83" s="7">
        <v>192.273</v>
      </c>
      <c r="E83" s="7">
        <v>367.22300000000001</v>
      </c>
      <c r="F83" s="14">
        <v>6.8959299999999999</v>
      </c>
      <c r="G83" s="14">
        <v>7.5816699999999999</v>
      </c>
      <c r="H83" s="7">
        <v>75.440600000000003</v>
      </c>
      <c r="I83" s="7">
        <v>93.447800000000001</v>
      </c>
      <c r="J83" s="7"/>
      <c r="M83" s="14"/>
      <c r="N83" s="57"/>
      <c r="Q83" s="57"/>
      <c r="R83" s="57"/>
      <c r="W83">
        <f t="shared" si="2"/>
        <v>255</v>
      </c>
      <c r="X83" s="14">
        <f t="shared" si="3"/>
        <v>216.1</v>
      </c>
      <c r="Z83">
        <v>51</v>
      </c>
      <c r="AA83" s="58">
        <v>367.28486172330031</v>
      </c>
      <c r="AB83" s="59">
        <v>34.322819115964414</v>
      </c>
      <c r="AC83" s="59">
        <v>401.60768083926473</v>
      </c>
      <c r="AD83" s="60">
        <v>332.96204260733589</v>
      </c>
      <c r="AE83" s="61">
        <v>0.99245222199643646</v>
      </c>
      <c r="AF83" s="62">
        <v>6.277667529080942E-3</v>
      </c>
      <c r="AG83" s="62">
        <v>0.99872988952551744</v>
      </c>
      <c r="AH83" s="63">
        <v>0.98617455446735547</v>
      </c>
      <c r="AI83">
        <v>0</v>
      </c>
    </row>
    <row r="84" spans="1:35" x14ac:dyDescent="0.25">
      <c r="A84" s="7">
        <v>255</v>
      </c>
      <c r="B84" s="7">
        <v>193.29900000000001</v>
      </c>
      <c r="C84" s="7">
        <v>147.07599999999999</v>
      </c>
      <c r="D84" s="7">
        <v>187.28299999999999</v>
      </c>
      <c r="E84" s="7">
        <v>367.22300000000001</v>
      </c>
      <c r="F84" s="14">
        <v>7.3180100000000001</v>
      </c>
      <c r="G84" s="14">
        <v>7.7589399999999999</v>
      </c>
      <c r="H84" s="7">
        <v>74.604699999999994</v>
      </c>
      <c r="I84" s="7">
        <v>92.170400000000001</v>
      </c>
      <c r="J84" s="7"/>
      <c r="M84" s="14"/>
      <c r="N84" s="57"/>
      <c r="Q84" s="57"/>
      <c r="R84" s="57"/>
      <c r="W84">
        <f t="shared" si="2"/>
        <v>260</v>
      </c>
      <c r="X84" s="14">
        <f t="shared" si="3"/>
        <v>210.6</v>
      </c>
      <c r="Z84">
        <v>52</v>
      </c>
      <c r="AA84" s="58">
        <v>367.31289949748219</v>
      </c>
      <c r="AB84" s="59">
        <v>34.3523601180299</v>
      </c>
      <c r="AC84" s="59">
        <v>401.66525961551207</v>
      </c>
      <c r="AD84" s="60">
        <v>332.96053937945231</v>
      </c>
      <c r="AE84" s="61">
        <v>0.99252221349615144</v>
      </c>
      <c r="AF84" s="62">
        <v>6.375463826877318E-3</v>
      </c>
      <c r="AG84" s="62">
        <v>0.99889767732302881</v>
      </c>
      <c r="AH84" s="63">
        <v>0.98614674966927407</v>
      </c>
      <c r="AI84">
        <v>0</v>
      </c>
    </row>
    <row r="85" spans="1:35" x14ac:dyDescent="0.25">
      <c r="A85" s="7">
        <v>260</v>
      </c>
      <c r="B85" s="7">
        <v>193.89599999999999</v>
      </c>
      <c r="C85" s="7">
        <v>142.79400000000001</v>
      </c>
      <c r="D85" s="7">
        <v>182.48699999999999</v>
      </c>
      <c r="E85" s="7">
        <v>367.22300000000001</v>
      </c>
      <c r="F85" s="14">
        <v>7.2135300000000004</v>
      </c>
      <c r="G85" s="14">
        <v>7.9289699999999996</v>
      </c>
      <c r="H85" s="7">
        <v>73.736900000000006</v>
      </c>
      <c r="I85" s="7">
        <v>90.934200000000004</v>
      </c>
      <c r="J85" s="7"/>
      <c r="M85" s="14"/>
      <c r="N85" s="57"/>
      <c r="Q85" s="57"/>
      <c r="R85" s="57"/>
      <c r="W85">
        <f t="shared" si="2"/>
        <v>265</v>
      </c>
      <c r="X85" s="14">
        <f t="shared" si="3"/>
        <v>204.2</v>
      </c>
      <c r="Z85">
        <v>53</v>
      </c>
      <c r="AA85" s="58">
        <v>367.32830083696808</v>
      </c>
      <c r="AB85" s="59">
        <v>34.368954218268428</v>
      </c>
      <c r="AC85" s="59">
        <v>401.6972550552365</v>
      </c>
      <c r="AD85" s="60">
        <v>332.95934661869967</v>
      </c>
      <c r="AE85" s="61">
        <v>0.99256047141912285</v>
      </c>
      <c r="AF85" s="62">
        <v>6.4034062095479904E-3</v>
      </c>
      <c r="AG85" s="62">
        <v>0.99896387762867089</v>
      </c>
      <c r="AH85" s="63">
        <v>0.9861570652095748</v>
      </c>
      <c r="AI85">
        <v>0</v>
      </c>
    </row>
    <row r="86" spans="1:35" x14ac:dyDescent="0.25">
      <c r="A86" s="7">
        <v>265</v>
      </c>
      <c r="B86" s="7">
        <v>185.34800000000001</v>
      </c>
      <c r="C86" s="7">
        <v>138.029</v>
      </c>
      <c r="D86" s="7">
        <v>177.875</v>
      </c>
      <c r="E86" s="7">
        <v>367.22300000000001</v>
      </c>
      <c r="F86" s="14">
        <v>8.9488199999999996</v>
      </c>
      <c r="G86" s="14">
        <v>8.0918399999999995</v>
      </c>
      <c r="H86" s="7">
        <v>72.947900000000004</v>
      </c>
      <c r="I86" s="7">
        <v>89.738200000000006</v>
      </c>
      <c r="J86" s="7"/>
      <c r="M86" s="14"/>
      <c r="N86" s="57"/>
      <c r="Q86" s="57"/>
      <c r="R86" s="57"/>
      <c r="W86">
        <f t="shared" si="2"/>
        <v>270</v>
      </c>
      <c r="X86" s="14">
        <f t="shared" si="3"/>
        <v>197.8</v>
      </c>
      <c r="Z86">
        <v>54</v>
      </c>
      <c r="AA86" s="58">
        <v>367.32551046569876</v>
      </c>
      <c r="AB86" s="59">
        <v>34.378482511821211</v>
      </c>
      <c r="AC86" s="59">
        <v>401.70399297751999</v>
      </c>
      <c r="AD86" s="60">
        <v>332.94702795387752</v>
      </c>
      <c r="AE86" s="61">
        <v>0.99255133220647229</v>
      </c>
      <c r="AF86" s="62">
        <v>6.4616463019530205E-3</v>
      </c>
      <c r="AG86" s="62">
        <v>0.9990129785084253</v>
      </c>
      <c r="AH86" s="63">
        <v>0.98608968590451929</v>
      </c>
      <c r="AI86">
        <v>0</v>
      </c>
    </row>
    <row r="87" spans="1:35" x14ac:dyDescent="0.25">
      <c r="A87" s="7">
        <v>270</v>
      </c>
      <c r="B87" s="7">
        <v>219.45500000000001</v>
      </c>
      <c r="C87" s="7">
        <v>134.506</v>
      </c>
      <c r="D87" s="7">
        <v>173.44</v>
      </c>
      <c r="E87" s="7">
        <v>367.22300000000001</v>
      </c>
      <c r="F87" s="14">
        <v>4.3882300000000001</v>
      </c>
      <c r="G87" s="14">
        <v>8.2474100000000004</v>
      </c>
      <c r="H87" s="7">
        <v>71.988600000000005</v>
      </c>
      <c r="I87" s="7">
        <v>88.580399999999997</v>
      </c>
      <c r="J87" s="7"/>
      <c r="M87" s="14"/>
      <c r="N87" s="57"/>
      <c r="Q87" s="57"/>
      <c r="R87" s="57"/>
      <c r="W87">
        <f t="shared" si="2"/>
        <v>275</v>
      </c>
      <c r="X87" s="14">
        <f t="shared" si="3"/>
        <v>191.6</v>
      </c>
      <c r="Z87">
        <v>55</v>
      </c>
      <c r="AA87" s="58">
        <v>367.26331159794069</v>
      </c>
      <c r="AB87" s="59">
        <v>34.363003202254859</v>
      </c>
      <c r="AC87" s="59">
        <v>401.62631480019553</v>
      </c>
      <c r="AD87" s="60">
        <v>332.90030839568584</v>
      </c>
      <c r="AE87" s="61">
        <v>0.99238742325534479</v>
      </c>
      <c r="AF87" s="62">
        <v>6.5622864569420151E-3</v>
      </c>
      <c r="AG87" s="62">
        <v>0.9989497097122868</v>
      </c>
      <c r="AH87" s="63">
        <v>0.98582513679840278</v>
      </c>
      <c r="AI87">
        <v>0</v>
      </c>
    </row>
    <row r="88" spans="1:35" x14ac:dyDescent="0.25">
      <c r="A88" s="7">
        <v>275</v>
      </c>
      <c r="B88" s="7">
        <v>208.21700000000001</v>
      </c>
      <c r="C88" s="7">
        <v>131.08699999999999</v>
      </c>
      <c r="D88" s="7">
        <v>169.17599999999999</v>
      </c>
      <c r="E88" s="7">
        <v>367.22300000000001</v>
      </c>
      <c r="F88" s="14">
        <v>5.3912899999999997</v>
      </c>
      <c r="G88" s="14">
        <v>8.4043600000000005</v>
      </c>
      <c r="H88" s="7">
        <v>71.274600000000007</v>
      </c>
      <c r="I88" s="7">
        <v>87.459900000000005</v>
      </c>
      <c r="J88" s="7"/>
      <c r="M88" s="14"/>
      <c r="N88" s="57"/>
      <c r="Q88" s="57"/>
      <c r="R88" s="57"/>
      <c r="W88">
        <f t="shared" si="2"/>
        <v>280</v>
      </c>
      <c r="X88" s="14">
        <f t="shared" si="3"/>
        <v>185.8</v>
      </c>
      <c r="Z88">
        <v>56</v>
      </c>
      <c r="AA88" s="58">
        <v>367.11796493419547</v>
      </c>
      <c r="AB88" s="59">
        <v>34.3045569843569</v>
      </c>
      <c r="AC88" s="59">
        <v>401.42252191855238</v>
      </c>
      <c r="AD88" s="60">
        <v>332.81340794983856</v>
      </c>
      <c r="AE88" s="61">
        <v>0.99200679695710525</v>
      </c>
      <c r="AF88" s="62">
        <v>6.5307668982538024E-3</v>
      </c>
      <c r="AG88" s="62">
        <v>0.99853756385535908</v>
      </c>
      <c r="AH88" s="63">
        <v>0.98547603005885143</v>
      </c>
      <c r="AI88">
        <v>0</v>
      </c>
    </row>
    <row r="89" spans="1:35" x14ac:dyDescent="0.25">
      <c r="A89" s="7">
        <v>280</v>
      </c>
      <c r="B89" s="7">
        <v>233.60400000000001</v>
      </c>
      <c r="C89" s="7">
        <v>127.71</v>
      </c>
      <c r="D89" s="7">
        <v>165.07400000000001</v>
      </c>
      <c r="E89" s="7">
        <v>367.22300000000001</v>
      </c>
      <c r="F89" s="14">
        <v>3.5309200000000001</v>
      </c>
      <c r="G89" s="14">
        <v>8.5595700000000008</v>
      </c>
      <c r="H89" s="7">
        <v>70.542400000000001</v>
      </c>
      <c r="I89" s="7">
        <v>86.375</v>
      </c>
      <c r="J89" s="7"/>
      <c r="M89" s="14"/>
      <c r="N89" s="57"/>
      <c r="Q89" s="57"/>
      <c r="R89" s="57"/>
      <c r="W89">
        <f t="shared" si="2"/>
        <v>285</v>
      </c>
      <c r="X89" s="14">
        <f t="shared" si="3"/>
        <v>180.2</v>
      </c>
      <c r="Z89">
        <v>57</v>
      </c>
      <c r="AA89" s="58">
        <v>366.96394812171229</v>
      </c>
      <c r="AB89" s="59">
        <v>34.217816371439206</v>
      </c>
      <c r="AC89" s="59">
        <v>401.18176449315149</v>
      </c>
      <c r="AD89" s="60">
        <v>332.74613175027309</v>
      </c>
      <c r="AE89" s="61">
        <v>0.99160825773633665</v>
      </c>
      <c r="AF89" s="62">
        <v>6.5077143887864149E-3</v>
      </c>
      <c r="AG89" s="62">
        <v>0.99811597212512304</v>
      </c>
      <c r="AH89" s="63">
        <v>0.98510054334755026</v>
      </c>
      <c r="AI89">
        <v>0</v>
      </c>
    </row>
    <row r="90" spans="1:35" x14ac:dyDescent="0.25">
      <c r="A90" s="7">
        <v>285</v>
      </c>
      <c r="B90" s="7">
        <v>212.81</v>
      </c>
      <c r="C90" s="7">
        <v>124.563</v>
      </c>
      <c r="D90" s="7">
        <v>161.12899999999999</v>
      </c>
      <c r="E90" s="7">
        <v>367.22300000000001</v>
      </c>
      <c r="F90" s="14">
        <v>4.9636100000000001</v>
      </c>
      <c r="G90" s="14">
        <v>8.7084899999999994</v>
      </c>
      <c r="H90" s="7">
        <v>69.874600000000001</v>
      </c>
      <c r="I90" s="7">
        <v>85.324700000000007</v>
      </c>
      <c r="J90" s="7"/>
      <c r="M90" s="14"/>
      <c r="N90" s="57"/>
      <c r="Q90" s="57"/>
      <c r="R90" s="57"/>
      <c r="W90">
        <f t="shared" si="2"/>
        <v>290</v>
      </c>
      <c r="X90" s="14">
        <f t="shared" si="3"/>
        <v>175</v>
      </c>
      <c r="Z90">
        <v>58</v>
      </c>
      <c r="AA90" s="58">
        <v>366.81459235900365</v>
      </c>
      <c r="AB90" s="59">
        <v>34.137580226020027</v>
      </c>
      <c r="AC90" s="59">
        <v>400.95217258502367</v>
      </c>
      <c r="AD90" s="60">
        <v>332.67701213298363</v>
      </c>
      <c r="AE90" s="61">
        <v>0.99122104647746367</v>
      </c>
      <c r="AF90" s="62">
        <v>6.5045905603628735E-3</v>
      </c>
      <c r="AG90" s="62">
        <v>0.99772563703782657</v>
      </c>
      <c r="AH90" s="63">
        <v>0.98471645591710077</v>
      </c>
      <c r="AI90">
        <v>0</v>
      </c>
    </row>
    <row r="91" spans="1:35" x14ac:dyDescent="0.25">
      <c r="A91" s="7">
        <v>290</v>
      </c>
      <c r="B91" s="7">
        <v>212.52099999999999</v>
      </c>
      <c r="C91" s="7">
        <v>121.392</v>
      </c>
      <c r="D91" s="7">
        <v>157.333</v>
      </c>
      <c r="E91" s="7">
        <v>367.22300000000001</v>
      </c>
      <c r="F91" s="14">
        <v>4.9601699999999997</v>
      </c>
      <c r="G91" s="14">
        <v>8.8483800000000006</v>
      </c>
      <c r="H91" s="7">
        <v>69.167900000000003</v>
      </c>
      <c r="I91" s="7">
        <v>84.307699999999997</v>
      </c>
      <c r="J91" s="7"/>
      <c r="M91" s="14"/>
      <c r="N91" s="57"/>
      <c r="Q91" s="57"/>
      <c r="R91" s="57"/>
      <c r="W91">
        <f t="shared" si="2"/>
        <v>295</v>
      </c>
      <c r="X91" s="14">
        <f t="shared" si="3"/>
        <v>170.3</v>
      </c>
      <c r="Z91">
        <v>59</v>
      </c>
      <c r="AA91" s="58">
        <v>366.66929800342859</v>
      </c>
      <c r="AB91" s="59">
        <v>34.065614864727728</v>
      </c>
      <c r="AC91" s="59">
        <v>400.7349128681563</v>
      </c>
      <c r="AD91" s="60">
        <v>332.60368313870089</v>
      </c>
      <c r="AE91" s="61">
        <v>0.99084322441317429</v>
      </c>
      <c r="AF91" s="62">
        <v>6.5261201356036228E-3</v>
      </c>
      <c r="AG91" s="62">
        <v>0.9973693445487779</v>
      </c>
      <c r="AH91" s="63">
        <v>0.98431710427757069</v>
      </c>
      <c r="AI91">
        <v>0</v>
      </c>
    </row>
    <row r="92" spans="1:35" x14ac:dyDescent="0.25">
      <c r="A92" s="7">
        <v>295</v>
      </c>
      <c r="B92" s="7">
        <v>195.47499999999999</v>
      </c>
      <c r="C92" s="7">
        <v>118.452</v>
      </c>
      <c r="D92" s="7">
        <v>153.68100000000001</v>
      </c>
      <c r="E92" s="7">
        <v>367.22300000000001</v>
      </c>
      <c r="F92" s="14">
        <v>6.9909499999999998</v>
      </c>
      <c r="G92" s="14">
        <v>8.9782299999999999</v>
      </c>
      <c r="H92" s="7">
        <v>68.537599999999998</v>
      </c>
      <c r="I92" s="7">
        <v>83.322900000000004</v>
      </c>
      <c r="J92" s="7"/>
      <c r="M92" s="14"/>
      <c r="N92" s="57"/>
      <c r="Q92" s="57"/>
      <c r="R92" s="57"/>
      <c r="W92">
        <f t="shared" si="2"/>
        <v>300</v>
      </c>
      <c r="X92" s="14">
        <f t="shared" si="3"/>
        <v>165.7</v>
      </c>
      <c r="Z92">
        <v>60</v>
      </c>
      <c r="AA92" s="58">
        <v>366.56050123008669</v>
      </c>
      <c r="AB92" s="59">
        <v>33.925688833702452</v>
      </c>
      <c r="AC92" s="59">
        <v>400.48619006378914</v>
      </c>
      <c r="AD92" s="60">
        <v>332.63481239638423</v>
      </c>
      <c r="AE92" s="61">
        <v>0.99058201953346414</v>
      </c>
      <c r="AF92" s="62">
        <v>6.7479982421437563E-3</v>
      </c>
      <c r="AG92" s="62">
        <v>0.99733001777560792</v>
      </c>
      <c r="AH92" s="63">
        <v>0.98383402129132036</v>
      </c>
      <c r="AI92">
        <v>0</v>
      </c>
    </row>
    <row r="93" spans="1:35" x14ac:dyDescent="0.25">
      <c r="A93" s="7">
        <v>300</v>
      </c>
      <c r="B93" s="7">
        <v>197.459</v>
      </c>
      <c r="C93" s="7">
        <v>115.547</v>
      </c>
      <c r="D93" s="7">
        <v>150.167</v>
      </c>
      <c r="E93" s="7">
        <v>367.22300000000001</v>
      </c>
      <c r="F93" s="14">
        <v>6.9873799999999999</v>
      </c>
      <c r="G93" s="14">
        <v>9.1085200000000004</v>
      </c>
      <c r="H93" s="7">
        <v>67.893500000000003</v>
      </c>
      <c r="I93" s="7">
        <v>82.368899999999996</v>
      </c>
      <c r="J93" s="7"/>
      <c r="M93" s="14"/>
      <c r="N93" s="57"/>
      <c r="Q93" s="57"/>
      <c r="R93" s="57"/>
      <c r="W93">
        <f t="shared" si="2"/>
        <v>305</v>
      </c>
      <c r="X93" s="14">
        <f t="shared" si="3"/>
        <v>161.5</v>
      </c>
      <c r="Z93">
        <v>61</v>
      </c>
      <c r="AA93" s="58">
        <v>366.39171490045993</v>
      </c>
      <c r="AB93" s="59">
        <v>33.794613678235613</v>
      </c>
      <c r="AC93" s="59">
        <v>400.18632857869557</v>
      </c>
      <c r="AD93" s="60">
        <v>332.5971012222243</v>
      </c>
      <c r="AE93" s="61">
        <v>0.99015493474128358</v>
      </c>
      <c r="AF93" s="62">
        <v>6.93992332490716E-3</v>
      </c>
      <c r="AG93" s="62">
        <v>0.99709485806619069</v>
      </c>
      <c r="AH93" s="63">
        <v>0.98321501141637646</v>
      </c>
      <c r="AI93">
        <v>0</v>
      </c>
    </row>
    <row r="94" spans="1:35" x14ac:dyDescent="0.25">
      <c r="A94" s="7">
        <v>305</v>
      </c>
      <c r="B94" s="7">
        <v>366.964</v>
      </c>
      <c r="C94" s="7">
        <v>112.904</v>
      </c>
      <c r="D94" s="7">
        <v>146.78399999999999</v>
      </c>
      <c r="E94" s="7">
        <v>367.22300000000001</v>
      </c>
      <c r="F94" s="14">
        <v>7.2373999999999994E-2</v>
      </c>
      <c r="G94" s="14">
        <v>9.2414100000000001</v>
      </c>
      <c r="H94" s="7">
        <v>67.297300000000007</v>
      </c>
      <c r="I94" s="7">
        <v>81.445400000000006</v>
      </c>
      <c r="J94" s="7"/>
      <c r="M94" s="14"/>
      <c r="N94" s="57"/>
      <c r="Q94" s="57"/>
      <c r="R94" s="57"/>
      <c r="W94">
        <f t="shared" si="2"/>
        <v>310</v>
      </c>
      <c r="X94" s="14">
        <f t="shared" si="3"/>
        <v>157.6</v>
      </c>
      <c r="Z94">
        <v>62</v>
      </c>
      <c r="AA94" s="58">
        <v>366.18742117641381</v>
      </c>
      <c r="AB94" s="59">
        <v>33.708604589352063</v>
      </c>
      <c r="AC94" s="59">
        <v>399.8960257657659</v>
      </c>
      <c r="AD94" s="60">
        <v>332.47881658706171</v>
      </c>
      <c r="AE94" s="61">
        <v>0.98962081942356928</v>
      </c>
      <c r="AF94" s="62">
        <v>7.0770733293210398E-3</v>
      </c>
      <c r="AG94" s="62">
        <v>0.99669789275289034</v>
      </c>
      <c r="AH94" s="63">
        <v>0.98254374609424822</v>
      </c>
      <c r="AI94">
        <v>0</v>
      </c>
    </row>
    <row r="95" spans="1:35" x14ac:dyDescent="0.25">
      <c r="A95" s="7">
        <v>310</v>
      </c>
      <c r="B95" s="7">
        <v>366.98500000000001</v>
      </c>
      <c r="C95" s="7">
        <v>110.684</v>
      </c>
      <c r="D95" s="7">
        <v>143.10400000000001</v>
      </c>
      <c r="E95" s="7">
        <v>367.22300000000001</v>
      </c>
      <c r="F95" s="14">
        <v>6.6444100000000006E-2</v>
      </c>
      <c r="G95" s="14">
        <v>9.4367900000000002</v>
      </c>
      <c r="H95" s="7">
        <v>66.179299999999998</v>
      </c>
      <c r="I95" s="7">
        <v>78.650999999999996</v>
      </c>
      <c r="J95" s="7"/>
      <c r="M95" s="14"/>
      <c r="N95" s="57"/>
      <c r="Q95" s="57"/>
      <c r="R95" s="57"/>
      <c r="W95">
        <f t="shared" si="2"/>
        <v>315</v>
      </c>
      <c r="X95" s="14">
        <f t="shared" si="3"/>
        <v>154</v>
      </c>
      <c r="Z95">
        <v>63</v>
      </c>
      <c r="AA95" s="58">
        <v>366.03583928454947</v>
      </c>
      <c r="AB95" s="59">
        <v>33.596967999643304</v>
      </c>
      <c r="AC95" s="59">
        <v>399.63280728419278</v>
      </c>
      <c r="AD95" s="60">
        <v>332.43887128490616</v>
      </c>
      <c r="AE95" s="61">
        <v>0.98923670059320645</v>
      </c>
      <c r="AF95" s="62">
        <v>7.3100341448240243E-3</v>
      </c>
      <c r="AG95" s="62">
        <v>0.99654673473803046</v>
      </c>
      <c r="AH95" s="63">
        <v>0.98192666644838245</v>
      </c>
      <c r="AI95">
        <v>0</v>
      </c>
    </row>
    <row r="96" spans="1:35" x14ac:dyDescent="0.25">
      <c r="A96" s="7">
        <v>315</v>
      </c>
      <c r="B96" s="7">
        <v>367.00700000000001</v>
      </c>
      <c r="C96" s="7">
        <v>108.29600000000001</v>
      </c>
      <c r="D96" s="7">
        <v>139.80099999999999</v>
      </c>
      <c r="E96" s="7">
        <v>367.22300000000001</v>
      </c>
      <c r="F96" s="14">
        <v>6.01813E-2</v>
      </c>
      <c r="G96" s="14">
        <v>9.6163399999999992</v>
      </c>
      <c r="H96" s="7">
        <v>65.631200000000007</v>
      </c>
      <c r="I96" s="7">
        <v>77.787400000000005</v>
      </c>
      <c r="J96" s="7"/>
      <c r="M96" s="14"/>
      <c r="N96" s="57"/>
      <c r="Q96" s="57"/>
      <c r="R96" s="57"/>
      <c r="W96">
        <f t="shared" si="2"/>
        <v>320</v>
      </c>
      <c r="X96" s="14">
        <f t="shared" si="3"/>
        <v>150.9</v>
      </c>
      <c r="Z96">
        <v>64</v>
      </c>
      <c r="AA96" s="58">
        <v>365.88950101281944</v>
      </c>
      <c r="AB96" s="59">
        <v>33.436816153999935</v>
      </c>
      <c r="AC96" s="59">
        <v>399.32631716681936</v>
      </c>
      <c r="AD96" s="60">
        <v>332.45268485881951</v>
      </c>
      <c r="AE96" s="61">
        <v>0.98887904131936499</v>
      </c>
      <c r="AF96" s="62">
        <v>7.7072049071400641E-3</v>
      </c>
      <c r="AG96" s="62">
        <v>0.99658624622650505</v>
      </c>
      <c r="AH96" s="63">
        <v>0.98117183641222494</v>
      </c>
      <c r="AI96">
        <v>0</v>
      </c>
    </row>
    <row r="97" spans="1:35" x14ac:dyDescent="0.25">
      <c r="A97" s="7">
        <v>320</v>
      </c>
      <c r="B97" s="7">
        <v>367.00700000000001</v>
      </c>
      <c r="C97" s="7">
        <v>106.00700000000001</v>
      </c>
      <c r="D97" s="7">
        <v>136.61799999999999</v>
      </c>
      <c r="E97" s="7">
        <v>367.22300000000001</v>
      </c>
      <c r="F97" s="14">
        <v>6.0164200000000001E-2</v>
      </c>
      <c r="G97" s="14">
        <v>9.7799999999999994</v>
      </c>
      <c r="H97" s="7">
        <v>65.105699999999999</v>
      </c>
      <c r="I97" s="7">
        <v>76.971900000000005</v>
      </c>
      <c r="J97" s="7"/>
      <c r="M97" s="14"/>
      <c r="N97" s="57"/>
      <c r="Q97" s="57"/>
      <c r="R97" s="57"/>
      <c r="W97">
        <f t="shared" si="2"/>
        <v>325</v>
      </c>
      <c r="X97" s="14">
        <f t="shared" si="3"/>
        <v>148</v>
      </c>
      <c r="Z97">
        <v>65</v>
      </c>
      <c r="AA97" s="58">
        <v>365.66390792040033</v>
      </c>
      <c r="AB97" s="59">
        <v>33.350927879506543</v>
      </c>
      <c r="AC97" s="59">
        <v>399.0148357999069</v>
      </c>
      <c r="AD97" s="60">
        <v>332.31298004089376</v>
      </c>
      <c r="AE97" s="61">
        <v>0.9882864777933843</v>
      </c>
      <c r="AF97" s="62">
        <v>7.8734450194940658E-3</v>
      </c>
      <c r="AG97" s="62">
        <v>0.99615992281287835</v>
      </c>
      <c r="AH97" s="63">
        <v>0.98041303277389025</v>
      </c>
      <c r="AI97">
        <v>0</v>
      </c>
    </row>
    <row r="98" spans="1:35" x14ac:dyDescent="0.25">
      <c r="A98" s="7">
        <v>325</v>
      </c>
      <c r="B98" s="7">
        <v>367.03</v>
      </c>
      <c r="C98" s="7">
        <v>103.819</v>
      </c>
      <c r="D98" s="7">
        <v>133.56299999999999</v>
      </c>
      <c r="E98" s="7">
        <v>367.22300000000001</v>
      </c>
      <c r="F98" s="14">
        <v>5.3410399999999997E-2</v>
      </c>
      <c r="G98" s="14">
        <v>9.92774</v>
      </c>
      <c r="H98" s="7">
        <v>64.598200000000006</v>
      </c>
      <c r="I98" s="7">
        <v>76.182000000000002</v>
      </c>
      <c r="J98" s="7"/>
      <c r="M98" s="14"/>
      <c r="N98" s="57"/>
      <c r="Q98" s="57"/>
      <c r="R98" s="57"/>
      <c r="W98">
        <f t="shared" ref="W98:W132" si="4">W97+5</f>
        <v>330</v>
      </c>
      <c r="X98" s="14">
        <f t="shared" ref="X98:X132" si="5">TRUNC(VLOOKUP(W98,$Z$32:$AA$631,2,FALSE),1)</f>
        <v>145.4</v>
      </c>
      <c r="Z98">
        <v>66</v>
      </c>
      <c r="AA98" s="58">
        <v>365.42310908524479</v>
      </c>
      <c r="AB98" s="59">
        <v>33.309332904892308</v>
      </c>
      <c r="AC98" s="59">
        <v>398.73244199013709</v>
      </c>
      <c r="AD98" s="60">
        <v>332.11377618035249</v>
      </c>
      <c r="AE98" s="61">
        <v>0.98764098480745899</v>
      </c>
      <c r="AF98" s="62">
        <v>8.006649988271582E-3</v>
      </c>
      <c r="AG98" s="62">
        <v>0.9956476347957306</v>
      </c>
      <c r="AH98" s="63">
        <v>0.97963433481918738</v>
      </c>
      <c r="AI98">
        <v>0</v>
      </c>
    </row>
    <row r="99" spans="1:35" x14ac:dyDescent="0.25">
      <c r="A99" s="7">
        <v>330</v>
      </c>
      <c r="B99" s="7">
        <v>367.05399999999997</v>
      </c>
      <c r="C99" s="7">
        <v>101.72499999999999</v>
      </c>
      <c r="D99" s="7">
        <v>130.62899999999999</v>
      </c>
      <c r="E99" s="7">
        <v>367.22300000000001</v>
      </c>
      <c r="F99" s="14">
        <v>4.6014600000000003E-2</v>
      </c>
      <c r="G99" s="14">
        <v>10.063599999999999</v>
      </c>
      <c r="H99" s="7">
        <v>64.108599999999996</v>
      </c>
      <c r="I99" s="7">
        <v>75.417400000000001</v>
      </c>
      <c r="J99" s="7"/>
      <c r="M99" s="14"/>
      <c r="N99" s="57"/>
      <c r="Q99" s="57"/>
      <c r="R99" s="57"/>
      <c r="W99">
        <f t="shared" si="4"/>
        <v>335</v>
      </c>
      <c r="X99" s="14">
        <f t="shared" si="5"/>
        <v>142.9</v>
      </c>
      <c r="Z99">
        <v>67</v>
      </c>
      <c r="AA99" s="58">
        <v>365.18323650482142</v>
      </c>
      <c r="AB99" s="59">
        <v>33.271114971002802</v>
      </c>
      <c r="AC99" s="59">
        <v>398.45435147582424</v>
      </c>
      <c r="AD99" s="60">
        <v>331.91212153381861</v>
      </c>
      <c r="AE99" s="61">
        <v>0.98699802354197441</v>
      </c>
      <c r="AF99" s="62">
        <v>8.2518766111489405E-3</v>
      </c>
      <c r="AG99" s="62">
        <v>0.99524990015312331</v>
      </c>
      <c r="AH99" s="63">
        <v>0.97874614693082551</v>
      </c>
      <c r="AI99">
        <v>0</v>
      </c>
    </row>
    <row r="100" spans="1:35" x14ac:dyDescent="0.25">
      <c r="A100" s="7">
        <v>335</v>
      </c>
      <c r="B100" s="7">
        <v>367.05500000000001</v>
      </c>
      <c r="C100" s="7">
        <v>99.721299999999999</v>
      </c>
      <c r="D100" s="7">
        <v>127.81100000000001</v>
      </c>
      <c r="E100" s="7">
        <v>367.22300000000001</v>
      </c>
      <c r="F100" s="14">
        <v>4.6000600000000003E-2</v>
      </c>
      <c r="G100" s="14">
        <v>10.188700000000001</v>
      </c>
      <c r="H100" s="7">
        <v>63.636200000000002</v>
      </c>
      <c r="I100" s="7">
        <v>74.677499999999995</v>
      </c>
      <c r="J100" s="7"/>
      <c r="M100" s="14"/>
      <c r="N100" s="57"/>
      <c r="Q100" s="57"/>
      <c r="R100" s="57"/>
      <c r="W100">
        <f t="shared" si="4"/>
        <v>340</v>
      </c>
      <c r="X100" s="14">
        <f t="shared" si="5"/>
        <v>140.6</v>
      </c>
      <c r="Z100">
        <v>68</v>
      </c>
      <c r="AA100" s="58">
        <v>365.01034264994513</v>
      </c>
      <c r="AB100" s="59">
        <v>33.250768924798692</v>
      </c>
      <c r="AC100" s="59">
        <v>398.26111157474384</v>
      </c>
      <c r="AD100" s="60">
        <v>331.75957372514642</v>
      </c>
      <c r="AE100" s="61">
        <v>0.98653246180611298</v>
      </c>
      <c r="AF100" s="62">
        <v>8.3752955216846517E-3</v>
      </c>
      <c r="AG100" s="62">
        <v>0.99490775732779768</v>
      </c>
      <c r="AH100" s="63">
        <v>0.97815716628442828</v>
      </c>
      <c r="AI100">
        <v>0</v>
      </c>
    </row>
    <row r="101" spans="1:35" x14ac:dyDescent="0.25">
      <c r="A101" s="7">
        <v>340</v>
      </c>
      <c r="B101" s="7">
        <v>367.08100000000002</v>
      </c>
      <c r="C101" s="7">
        <v>97.803600000000003</v>
      </c>
      <c r="D101" s="7">
        <v>125.10299999999999</v>
      </c>
      <c r="E101" s="7">
        <v>367.22300000000001</v>
      </c>
      <c r="F101" s="14">
        <v>3.77363E-2</v>
      </c>
      <c r="G101" s="14">
        <v>10.295299999999999</v>
      </c>
      <c r="H101" s="7">
        <v>63.180300000000003</v>
      </c>
      <c r="I101" s="7">
        <v>73.961699999999993</v>
      </c>
      <c r="J101" s="7"/>
      <c r="M101" s="14"/>
      <c r="N101" s="57"/>
      <c r="Q101" s="57"/>
      <c r="R101" s="57"/>
      <c r="W101">
        <f t="shared" si="4"/>
        <v>345</v>
      </c>
      <c r="X101" s="14">
        <f t="shared" si="5"/>
        <v>138.6</v>
      </c>
      <c r="Z101">
        <v>69</v>
      </c>
      <c r="AA101" s="58">
        <v>364.8455451336344</v>
      </c>
      <c r="AB101" s="59">
        <v>33.172724422704469</v>
      </c>
      <c r="AC101" s="59">
        <v>398.01826955633885</v>
      </c>
      <c r="AD101" s="60">
        <v>331.67282071092995</v>
      </c>
      <c r="AE101" s="61">
        <v>0.98610494700633866</v>
      </c>
      <c r="AF101" s="62">
        <v>8.6417783830311963E-3</v>
      </c>
      <c r="AG101" s="62">
        <v>0.99474672538936981</v>
      </c>
      <c r="AH101" s="63">
        <v>0.97746316862330751</v>
      </c>
      <c r="AI101">
        <v>0</v>
      </c>
    </row>
    <row r="102" spans="1:35" x14ac:dyDescent="0.25">
      <c r="A102" s="7">
        <v>345</v>
      </c>
      <c r="B102" s="7">
        <v>367.06599999999997</v>
      </c>
      <c r="C102" s="7">
        <v>95.967600000000004</v>
      </c>
      <c r="D102" s="7">
        <v>122.5</v>
      </c>
      <c r="E102" s="7">
        <v>367.22300000000001</v>
      </c>
      <c r="F102" s="14">
        <v>4.25624E-2</v>
      </c>
      <c r="G102" s="14">
        <v>10.3979</v>
      </c>
      <c r="H102" s="7">
        <v>62.740299999999998</v>
      </c>
      <c r="I102" s="7">
        <v>73.268600000000006</v>
      </c>
      <c r="J102" s="7"/>
      <c r="M102" s="14"/>
      <c r="N102" s="57"/>
      <c r="Q102" s="57"/>
      <c r="R102" s="57"/>
      <c r="W102">
        <f t="shared" si="4"/>
        <v>350</v>
      </c>
      <c r="X102" s="14">
        <f t="shared" si="5"/>
        <v>136.80000000000001</v>
      </c>
      <c r="Z102">
        <v>70</v>
      </c>
      <c r="AA102" s="58">
        <v>364.65363004980259</v>
      </c>
      <c r="AB102" s="59">
        <v>33.085020559474842</v>
      </c>
      <c r="AC102" s="59">
        <v>397.73865060927744</v>
      </c>
      <c r="AD102" s="60">
        <v>331.56860949032773</v>
      </c>
      <c r="AE102" s="61">
        <v>0.98560685213411636</v>
      </c>
      <c r="AF102" s="62">
        <v>8.9618659822775747E-3</v>
      </c>
      <c r="AG102" s="62">
        <v>0.99456871811639391</v>
      </c>
      <c r="AH102" s="63">
        <v>0.97664498615183881</v>
      </c>
      <c r="AI102">
        <v>0</v>
      </c>
    </row>
    <row r="103" spans="1:35" x14ac:dyDescent="0.25">
      <c r="A103" s="7">
        <v>350</v>
      </c>
      <c r="B103" s="7">
        <v>87.111599999999996</v>
      </c>
      <c r="C103" s="7">
        <v>94.209400000000002</v>
      </c>
      <c r="D103" s="7">
        <v>119.999</v>
      </c>
      <c r="E103" s="7">
        <v>367.22300000000001</v>
      </c>
      <c r="F103" s="14">
        <v>2.8192499999999999E-2</v>
      </c>
      <c r="G103" s="14">
        <v>10.4772</v>
      </c>
      <c r="H103" s="7">
        <v>62.3157</v>
      </c>
      <c r="I103" s="7">
        <v>72.597800000000007</v>
      </c>
      <c r="J103" s="7"/>
      <c r="M103" s="14"/>
      <c r="N103" s="57"/>
      <c r="Q103" s="57"/>
      <c r="R103" s="57"/>
      <c r="W103">
        <f t="shared" si="4"/>
        <v>355</v>
      </c>
      <c r="X103" s="14">
        <f t="shared" si="5"/>
        <v>135.1</v>
      </c>
      <c r="Z103">
        <v>71</v>
      </c>
      <c r="AA103" s="58">
        <v>364.50139677153612</v>
      </c>
      <c r="AB103" s="59">
        <v>33.007966409333115</v>
      </c>
      <c r="AC103" s="59">
        <v>397.50936318086923</v>
      </c>
      <c r="AD103" s="60">
        <v>331.49343036220301</v>
      </c>
      <c r="AE103" s="61">
        <v>0.98521328646836148</v>
      </c>
      <c r="AF103" s="62">
        <v>9.2343818317519397E-3</v>
      </c>
      <c r="AG103" s="62">
        <v>0.99444766830011344</v>
      </c>
      <c r="AH103" s="63">
        <v>0.97597890463660952</v>
      </c>
      <c r="AI103">
        <v>0</v>
      </c>
    </row>
    <row r="104" spans="1:35" x14ac:dyDescent="0.25">
      <c r="A104" s="7">
        <v>355</v>
      </c>
      <c r="B104" s="7">
        <v>81.229699999999994</v>
      </c>
      <c r="C104" s="7">
        <v>92.525499999999994</v>
      </c>
      <c r="D104" s="7">
        <v>117.593</v>
      </c>
      <c r="E104" s="7">
        <v>367.185</v>
      </c>
      <c r="F104" s="14">
        <v>2.8184899999999999E-2</v>
      </c>
      <c r="G104" s="14">
        <v>10.553800000000001</v>
      </c>
      <c r="H104" s="7">
        <v>61.905700000000003</v>
      </c>
      <c r="I104" s="7">
        <v>71.948499999999996</v>
      </c>
      <c r="J104" s="7"/>
      <c r="M104" s="14"/>
      <c r="N104" s="57"/>
      <c r="Q104" s="57"/>
      <c r="R104" s="57"/>
      <c r="W104">
        <f t="shared" si="4"/>
        <v>360</v>
      </c>
      <c r="X104" s="14">
        <f t="shared" si="5"/>
        <v>133.1</v>
      </c>
      <c r="Z104">
        <v>72</v>
      </c>
      <c r="AA104" s="58">
        <v>364.33116601540797</v>
      </c>
      <c r="AB104" s="59">
        <v>32.89335767330428</v>
      </c>
      <c r="AC104" s="59">
        <v>397.22452368871222</v>
      </c>
      <c r="AD104" s="60">
        <v>331.43780834210372</v>
      </c>
      <c r="AE104" s="61">
        <v>0.98478074754946865</v>
      </c>
      <c r="AF104" s="62">
        <v>9.6634391629254052E-3</v>
      </c>
      <c r="AG104" s="62">
        <v>0.9944441867123941</v>
      </c>
      <c r="AH104" s="63">
        <v>0.9751173083865432</v>
      </c>
      <c r="AI104">
        <v>0</v>
      </c>
    </row>
    <row r="105" spans="1:35" x14ac:dyDescent="0.25">
      <c r="A105" s="7">
        <v>360</v>
      </c>
      <c r="B105" s="7">
        <v>356.928</v>
      </c>
      <c r="C105" s="7">
        <v>90.912000000000006</v>
      </c>
      <c r="D105" s="7">
        <v>115.28100000000001</v>
      </c>
      <c r="E105" s="7">
        <v>367.14600000000002</v>
      </c>
      <c r="F105" s="14">
        <v>0.142647</v>
      </c>
      <c r="G105" s="14">
        <v>10.735099999999999</v>
      </c>
      <c r="H105" s="7">
        <v>61.51</v>
      </c>
      <c r="I105" s="7">
        <v>71.319699999999997</v>
      </c>
      <c r="J105" s="7"/>
      <c r="M105" s="14"/>
      <c r="N105" s="57"/>
      <c r="Q105" s="57"/>
      <c r="R105" s="57"/>
      <c r="W105">
        <f t="shared" si="4"/>
        <v>365</v>
      </c>
      <c r="X105" s="14">
        <f t="shared" si="5"/>
        <v>130.9</v>
      </c>
      <c r="Z105">
        <v>73</v>
      </c>
      <c r="AA105" s="58">
        <v>364.14835397747714</v>
      </c>
      <c r="AB105" s="59">
        <v>32.765638830649536</v>
      </c>
      <c r="AC105" s="59">
        <v>396.91399280812669</v>
      </c>
      <c r="AD105" s="60">
        <v>331.38271514682759</v>
      </c>
      <c r="AE105" s="61">
        <v>0.9843170329147285</v>
      </c>
      <c r="AF105" s="62">
        <v>1.0078392903424651E-2</v>
      </c>
      <c r="AG105" s="62">
        <v>0.9943954258181531</v>
      </c>
      <c r="AH105" s="63">
        <v>0.97423864001130389</v>
      </c>
      <c r="AI105">
        <v>0</v>
      </c>
    </row>
    <row r="106" spans="1:35" x14ac:dyDescent="0.25">
      <c r="A106" s="7">
        <v>365</v>
      </c>
      <c r="B106" s="7">
        <v>-35809.1</v>
      </c>
      <c r="C106" s="7">
        <v>89.366</v>
      </c>
      <c r="D106" s="7">
        <v>113.05800000000001</v>
      </c>
      <c r="E106" s="7">
        <v>351.46499999999997</v>
      </c>
      <c r="F106" s="14">
        <v>0.14283999999999999</v>
      </c>
      <c r="G106" s="14">
        <v>11.1233</v>
      </c>
      <c r="H106" s="7">
        <v>61.127899999999997</v>
      </c>
      <c r="I106" s="7">
        <v>70.710700000000003</v>
      </c>
      <c r="J106" s="7"/>
      <c r="M106" s="14"/>
      <c r="N106" s="57"/>
      <c r="Q106" s="57"/>
      <c r="R106" s="57"/>
      <c r="W106">
        <f t="shared" si="4"/>
        <v>370</v>
      </c>
      <c r="X106" s="14">
        <f t="shared" si="5"/>
        <v>128.4</v>
      </c>
      <c r="Z106">
        <v>74</v>
      </c>
      <c r="AA106" s="58">
        <v>363.91583606150698</v>
      </c>
      <c r="AB106" s="59">
        <v>32.761710900563529</v>
      </c>
      <c r="AC106" s="59">
        <v>396.67754696207049</v>
      </c>
      <c r="AD106" s="60">
        <v>331.15412516094347</v>
      </c>
      <c r="AE106" s="61">
        <v>0.98368444533819144</v>
      </c>
      <c r="AF106" s="62">
        <v>1.0186804201546785E-2</v>
      </c>
      <c r="AG106" s="62">
        <v>0.99387124953973827</v>
      </c>
      <c r="AH106" s="63">
        <v>0.97349764113664461</v>
      </c>
      <c r="AI106">
        <v>0</v>
      </c>
    </row>
    <row r="107" spans="1:35" x14ac:dyDescent="0.25">
      <c r="A107" s="7">
        <v>370</v>
      </c>
      <c r="B107" s="7">
        <v>-1980.54</v>
      </c>
      <c r="C107" s="7">
        <v>87.884100000000004</v>
      </c>
      <c r="D107" s="7">
        <v>110.91800000000001</v>
      </c>
      <c r="E107" s="7">
        <v>326.80799999999999</v>
      </c>
      <c r="F107" s="14">
        <v>0.13971600000000001</v>
      </c>
      <c r="G107" s="14">
        <v>11.5122</v>
      </c>
      <c r="H107" s="7">
        <v>60.759099999999997</v>
      </c>
      <c r="I107" s="7">
        <v>70.121300000000005</v>
      </c>
      <c r="J107" s="7"/>
      <c r="M107" s="14"/>
      <c r="N107" s="57"/>
      <c r="Q107" s="57"/>
      <c r="R107" s="57"/>
      <c r="W107">
        <f t="shared" si="4"/>
        <v>375</v>
      </c>
      <c r="X107" s="14">
        <f t="shared" si="5"/>
        <v>125.7</v>
      </c>
      <c r="Z107">
        <v>75</v>
      </c>
      <c r="AA107" s="58">
        <v>363.57628289320536</v>
      </c>
      <c r="AB107" s="59">
        <v>32.563480240510415</v>
      </c>
      <c r="AC107" s="59">
        <v>396.13976313371575</v>
      </c>
      <c r="AD107" s="60">
        <v>331.01280265269497</v>
      </c>
      <c r="AE107" s="61">
        <v>0.98281155600754078</v>
      </c>
      <c r="AF107" s="62">
        <v>1.0911128032274384E-2</v>
      </c>
      <c r="AG107" s="62">
        <v>0.99372268403981512</v>
      </c>
      <c r="AH107" s="63">
        <v>0.97190042797526643</v>
      </c>
      <c r="AI107">
        <v>0</v>
      </c>
    </row>
    <row r="108" spans="1:35" x14ac:dyDescent="0.25">
      <c r="A108" s="7">
        <v>375</v>
      </c>
      <c r="B108" s="7">
        <v>-33849</v>
      </c>
      <c r="C108" s="7">
        <v>86.463499999999996</v>
      </c>
      <c r="D108" s="7">
        <v>108.861</v>
      </c>
      <c r="E108" s="7">
        <v>317.45</v>
      </c>
      <c r="F108" s="14">
        <v>0.14348900000000001</v>
      </c>
      <c r="G108" s="14">
        <v>11.901999999999999</v>
      </c>
      <c r="H108" s="7">
        <v>60.402900000000002</v>
      </c>
      <c r="I108" s="7">
        <v>69.550200000000004</v>
      </c>
      <c r="J108" s="7"/>
      <c r="M108" s="14"/>
      <c r="N108" s="57"/>
      <c r="Q108" s="57"/>
      <c r="R108" s="57"/>
      <c r="W108">
        <f t="shared" si="4"/>
        <v>380</v>
      </c>
      <c r="X108" s="14">
        <f t="shared" si="5"/>
        <v>123</v>
      </c>
      <c r="Z108">
        <v>76</v>
      </c>
      <c r="AA108" s="58">
        <v>363.13543961561794</v>
      </c>
      <c r="AB108" s="59">
        <v>32.227971683329727</v>
      </c>
      <c r="AC108" s="59">
        <v>395.36341129894765</v>
      </c>
      <c r="AD108" s="60">
        <v>330.90746793228823</v>
      </c>
      <c r="AE108" s="61">
        <v>0.98169859561579242</v>
      </c>
      <c r="AF108" s="62">
        <v>1.1977061422020345E-2</v>
      </c>
      <c r="AG108" s="62">
        <v>0.9936756570378128</v>
      </c>
      <c r="AH108" s="63">
        <v>0.96972153419377205</v>
      </c>
      <c r="AI108">
        <v>0</v>
      </c>
    </row>
    <row r="109" spans="1:35" x14ac:dyDescent="0.25">
      <c r="A109" s="7">
        <v>380</v>
      </c>
      <c r="B109" s="7">
        <v>-35397.4</v>
      </c>
      <c r="C109" s="7">
        <v>85.101399999999998</v>
      </c>
      <c r="D109" s="7">
        <v>106.881</v>
      </c>
      <c r="E109" s="7">
        <v>313.01400000000001</v>
      </c>
      <c r="F109" s="14">
        <v>0.14380499999999999</v>
      </c>
      <c r="G109" s="14">
        <v>12.2926</v>
      </c>
      <c r="H109" s="7">
        <v>60.058900000000001</v>
      </c>
      <c r="I109" s="7">
        <v>68.997200000000007</v>
      </c>
      <c r="J109" s="7"/>
      <c r="M109" s="14"/>
      <c r="N109" s="57"/>
      <c r="Q109" s="57"/>
      <c r="R109" s="57"/>
      <c r="W109">
        <f t="shared" si="4"/>
        <v>385</v>
      </c>
      <c r="X109" s="14">
        <f t="shared" si="5"/>
        <v>120.4</v>
      </c>
      <c r="Z109">
        <v>77</v>
      </c>
      <c r="AA109" s="58">
        <v>362.62377567482719</v>
      </c>
      <c r="AB109" s="59">
        <v>31.837575346027254</v>
      </c>
      <c r="AC109" s="59">
        <v>394.46135102085447</v>
      </c>
      <c r="AD109" s="60">
        <v>330.78620032879991</v>
      </c>
      <c r="AE109" s="61">
        <v>0.9804117082314151</v>
      </c>
      <c r="AF109" s="62">
        <v>1.3491352179992637E-2</v>
      </c>
      <c r="AG109" s="62">
        <v>0.99390306041140775</v>
      </c>
      <c r="AH109" s="63">
        <v>0.96692035605142246</v>
      </c>
      <c r="AI109">
        <v>0</v>
      </c>
    </row>
    <row r="110" spans="1:35" x14ac:dyDescent="0.25">
      <c r="A110" s="7">
        <v>385</v>
      </c>
      <c r="B110" s="7">
        <v>-27006.7</v>
      </c>
      <c r="C110" s="7">
        <v>83.794899999999998</v>
      </c>
      <c r="D110" s="7">
        <v>104.97499999999999</v>
      </c>
      <c r="E110" s="7">
        <v>309.44299999999998</v>
      </c>
      <c r="F110" s="14">
        <v>0.37238300000000002</v>
      </c>
      <c r="G110" s="14">
        <v>12.684100000000001</v>
      </c>
      <c r="H110" s="7">
        <v>59.726700000000001</v>
      </c>
      <c r="I110" s="7">
        <v>68.461399999999998</v>
      </c>
      <c r="J110" s="7"/>
      <c r="M110" s="14"/>
      <c r="N110" s="57"/>
      <c r="Q110" s="57"/>
      <c r="R110" s="57"/>
      <c r="W110">
        <f t="shared" si="4"/>
        <v>390</v>
      </c>
      <c r="X110" s="14">
        <f t="shared" si="5"/>
        <v>117.6</v>
      </c>
      <c r="Z110">
        <v>78</v>
      </c>
      <c r="AA110" s="58">
        <v>361.98042932645785</v>
      </c>
      <c r="AB110" s="59">
        <v>31.357312799024637</v>
      </c>
      <c r="AC110" s="59">
        <v>393.33774212548246</v>
      </c>
      <c r="AD110" s="60">
        <v>330.62311652743324</v>
      </c>
      <c r="AE110" s="61">
        <v>0.97880013044487379</v>
      </c>
      <c r="AF110" s="62">
        <v>1.5770380710497332E-2</v>
      </c>
      <c r="AG110" s="62">
        <v>0.9945705111553711</v>
      </c>
      <c r="AH110" s="63">
        <v>0.96302974973437649</v>
      </c>
      <c r="AI110">
        <v>0</v>
      </c>
    </row>
    <row r="111" spans="1:35" x14ac:dyDescent="0.25">
      <c r="A111" s="7">
        <v>390</v>
      </c>
      <c r="B111" s="7">
        <v>-7972.51</v>
      </c>
      <c r="C111" s="7">
        <v>82.424599999999998</v>
      </c>
      <c r="D111" s="7">
        <v>103.212</v>
      </c>
      <c r="E111" s="7">
        <v>300.286</v>
      </c>
      <c r="F111" s="14">
        <v>0.372693</v>
      </c>
      <c r="G111" s="14">
        <v>13.6966</v>
      </c>
      <c r="H111" s="7">
        <v>56.650100000000002</v>
      </c>
      <c r="I111" s="7">
        <v>66.521600000000007</v>
      </c>
      <c r="J111" s="7"/>
      <c r="M111" s="14"/>
      <c r="N111" s="57"/>
      <c r="Q111" s="57"/>
      <c r="R111" s="57"/>
      <c r="W111">
        <f t="shared" si="4"/>
        <v>395</v>
      </c>
      <c r="X111" s="14">
        <f t="shared" si="5"/>
        <v>114.9</v>
      </c>
      <c r="Z111">
        <v>79</v>
      </c>
      <c r="AA111" s="58">
        <v>361.33692297076362</v>
      </c>
      <c r="AB111" s="59">
        <v>30.912160252949963</v>
      </c>
      <c r="AC111" s="59">
        <v>392.24908322371357</v>
      </c>
      <c r="AD111" s="60">
        <v>330.42476271781368</v>
      </c>
      <c r="AE111" s="61">
        <v>0.97719337093197811</v>
      </c>
      <c r="AF111" s="62">
        <v>1.8475086900403351E-2</v>
      </c>
      <c r="AG111" s="62">
        <v>0.99566845783238145</v>
      </c>
      <c r="AH111" s="63">
        <v>0.95871828403157477</v>
      </c>
      <c r="AI111">
        <v>0</v>
      </c>
    </row>
    <row r="112" spans="1:35" x14ac:dyDescent="0.25">
      <c r="A112" s="7">
        <v>395</v>
      </c>
      <c r="B112" s="7">
        <v>-4842.66</v>
      </c>
      <c r="C112" s="7">
        <v>81.021199999999993</v>
      </c>
      <c r="D112" s="7">
        <v>101.258</v>
      </c>
      <c r="E112" s="7">
        <v>286.42500000000001</v>
      </c>
      <c r="F112" s="14">
        <v>0.34020800000000001</v>
      </c>
      <c r="G112" s="14">
        <v>14.698399999999999</v>
      </c>
      <c r="H112" s="7">
        <v>56.370600000000003</v>
      </c>
      <c r="I112" s="7">
        <v>66.034000000000006</v>
      </c>
      <c r="J112" s="7"/>
      <c r="M112" s="14"/>
      <c r="N112" s="57"/>
      <c r="Q112" s="57"/>
      <c r="R112" s="57"/>
      <c r="W112">
        <f t="shared" si="4"/>
        <v>400</v>
      </c>
      <c r="X112" s="14">
        <f t="shared" si="5"/>
        <v>112.6</v>
      </c>
      <c r="Z112">
        <v>80</v>
      </c>
      <c r="AA112" s="58">
        <v>360.74545718963986</v>
      </c>
      <c r="AB112" s="59">
        <v>30.555380327261169</v>
      </c>
      <c r="AC112" s="59">
        <v>391.30083751690103</v>
      </c>
      <c r="AD112" s="60">
        <v>330.1900768623787</v>
      </c>
      <c r="AE112" s="61">
        <v>0.97571888325698064</v>
      </c>
      <c r="AF112" s="62">
        <v>2.1265695010591511E-2</v>
      </c>
      <c r="AG112" s="62">
        <v>0.99698457826757214</v>
      </c>
      <c r="AH112" s="63">
        <v>0.95445318824638914</v>
      </c>
      <c r="AI112">
        <v>0</v>
      </c>
    </row>
    <row r="113" spans="1:35" x14ac:dyDescent="0.25">
      <c r="A113" s="7">
        <v>400</v>
      </c>
      <c r="B113" s="7">
        <v>143.179</v>
      </c>
      <c r="C113" s="7">
        <v>79.679900000000004</v>
      </c>
      <c r="D113" s="7">
        <v>99.423199999999994</v>
      </c>
      <c r="E113" s="7">
        <v>285.85000000000002</v>
      </c>
      <c r="F113" s="14">
        <v>0.39511200000000002</v>
      </c>
      <c r="G113" s="14">
        <v>15.4895</v>
      </c>
      <c r="H113" s="7">
        <v>56.102699999999999</v>
      </c>
      <c r="I113" s="7">
        <v>65.558599999999998</v>
      </c>
      <c r="J113" s="7"/>
      <c r="M113" s="14"/>
      <c r="N113" s="57"/>
      <c r="Q113" s="57"/>
      <c r="R113" s="57"/>
      <c r="W113">
        <f t="shared" si="4"/>
        <v>405</v>
      </c>
      <c r="X113" s="14">
        <f t="shared" si="5"/>
        <v>110.6</v>
      </c>
      <c r="Z113">
        <v>81</v>
      </c>
      <c r="AA113" s="58">
        <v>360.21612461232485</v>
      </c>
      <c r="AB113" s="59">
        <v>30.275272929547199</v>
      </c>
      <c r="AC113" s="59">
        <v>390.49139754187206</v>
      </c>
      <c r="AD113" s="60">
        <v>329.94085168277763</v>
      </c>
      <c r="AE113" s="61">
        <v>0.97439608945519007</v>
      </c>
      <c r="AF113" s="62">
        <v>2.3670820164284252E-2</v>
      </c>
      <c r="AG113" s="62">
        <v>0.99806690961947431</v>
      </c>
      <c r="AH113" s="63">
        <v>0.95072526929090584</v>
      </c>
      <c r="AI113">
        <v>0</v>
      </c>
    </row>
    <row r="114" spans="1:35" x14ac:dyDescent="0.25">
      <c r="A114" s="7">
        <v>405</v>
      </c>
      <c r="B114" s="7">
        <v>143.179</v>
      </c>
      <c r="C114" s="7">
        <v>78.397900000000007</v>
      </c>
      <c r="D114" s="7">
        <v>97.660200000000003</v>
      </c>
      <c r="E114" s="7">
        <v>285.85000000000002</v>
      </c>
      <c r="F114" s="14">
        <v>0.39511200000000002</v>
      </c>
      <c r="G114" s="14">
        <v>15.8871</v>
      </c>
      <c r="H114" s="7">
        <v>55.846200000000003</v>
      </c>
      <c r="I114" s="7">
        <v>65.100800000000007</v>
      </c>
      <c r="J114" s="7"/>
      <c r="M114" s="14"/>
      <c r="N114" s="57"/>
      <c r="Q114" s="57"/>
      <c r="R114" s="57"/>
      <c r="W114">
        <f t="shared" si="4"/>
        <v>410</v>
      </c>
      <c r="X114" s="14">
        <f t="shared" si="5"/>
        <v>108.4</v>
      </c>
      <c r="Z114">
        <v>82</v>
      </c>
      <c r="AA114" s="58">
        <v>359.70431768162024</v>
      </c>
      <c r="AB114" s="59">
        <v>30.026250687410446</v>
      </c>
      <c r="AC114" s="59">
        <v>389.73056836903066</v>
      </c>
      <c r="AD114" s="60">
        <v>329.67806699420981</v>
      </c>
      <c r="AE114" s="61">
        <v>0.97312489224207044</v>
      </c>
      <c r="AF114" s="62">
        <v>2.6206602336781112E-2</v>
      </c>
      <c r="AG114" s="62">
        <v>0.99933149457885151</v>
      </c>
      <c r="AH114" s="63">
        <v>0.94691828990528937</v>
      </c>
      <c r="AI114">
        <v>0</v>
      </c>
    </row>
    <row r="115" spans="1:35" x14ac:dyDescent="0.25">
      <c r="A115" s="7">
        <v>410</v>
      </c>
      <c r="B115" s="7">
        <v>143.179</v>
      </c>
      <c r="C115" s="7">
        <v>77.172499999999999</v>
      </c>
      <c r="D115" s="7">
        <v>95.965400000000002</v>
      </c>
      <c r="E115" s="7">
        <v>285.85000000000002</v>
      </c>
      <c r="F115" s="14">
        <v>0.39511200000000002</v>
      </c>
      <c r="G115" s="14">
        <v>16.284700000000001</v>
      </c>
      <c r="H115" s="7">
        <v>55.600299999999997</v>
      </c>
      <c r="I115" s="7">
        <v>64.659000000000006</v>
      </c>
      <c r="J115" s="7"/>
      <c r="M115" s="14"/>
      <c r="N115" s="57"/>
      <c r="Q115" s="57"/>
      <c r="R115" s="57"/>
      <c r="W115">
        <f t="shared" si="4"/>
        <v>415</v>
      </c>
      <c r="X115" s="14">
        <f t="shared" si="5"/>
        <v>106.1</v>
      </c>
      <c r="Z115">
        <v>83</v>
      </c>
      <c r="AA115" s="58">
        <v>359.25056456244687</v>
      </c>
      <c r="AB115" s="59">
        <v>29.833058691958669</v>
      </c>
      <c r="AC115" s="59">
        <v>389.08362325440555</v>
      </c>
      <c r="AD115" s="60">
        <v>329.41750587048818</v>
      </c>
      <c r="AE115" s="61">
        <v>0.97199386933006082</v>
      </c>
      <c r="AF115" s="62">
        <v>2.8299664731781384E-2</v>
      </c>
      <c r="AG115" s="62">
        <v>1.0002935340618422</v>
      </c>
      <c r="AH115" s="63">
        <v>0.94369420459827946</v>
      </c>
      <c r="AI115">
        <v>0</v>
      </c>
    </row>
    <row r="116" spans="1:35" x14ac:dyDescent="0.25">
      <c r="A116" s="7">
        <v>415</v>
      </c>
      <c r="B116" s="7">
        <v>143.179</v>
      </c>
      <c r="C116" s="7">
        <v>76.001099999999994</v>
      </c>
      <c r="D116" s="7">
        <v>94.342100000000002</v>
      </c>
      <c r="E116" s="7">
        <v>285.85000000000002</v>
      </c>
      <c r="F116" s="14">
        <v>0.39511200000000002</v>
      </c>
      <c r="G116" s="14">
        <v>16.682300000000001</v>
      </c>
      <c r="H116" s="7">
        <v>55.364800000000002</v>
      </c>
      <c r="I116" s="7">
        <v>64.2303</v>
      </c>
      <c r="J116" s="7"/>
      <c r="M116" s="14"/>
      <c r="N116" s="57"/>
      <c r="Q116" s="57"/>
      <c r="R116" s="57"/>
      <c r="W116">
        <f t="shared" si="4"/>
        <v>420</v>
      </c>
      <c r="X116" s="14">
        <f t="shared" si="5"/>
        <v>104.4</v>
      </c>
      <c r="Z116">
        <v>84</v>
      </c>
      <c r="AA116" s="58">
        <v>358.84743671399013</v>
      </c>
      <c r="AB116" s="59">
        <v>29.669893369653366</v>
      </c>
      <c r="AC116" s="59">
        <v>388.51733008364351</v>
      </c>
      <c r="AD116" s="60">
        <v>329.17754334433675</v>
      </c>
      <c r="AE116" s="61">
        <v>0.97098603391387606</v>
      </c>
      <c r="AF116" s="62">
        <v>2.9990491127272312E-2</v>
      </c>
      <c r="AG116" s="62">
        <v>1.0009765250411484</v>
      </c>
      <c r="AH116" s="63">
        <v>0.94099554278660369</v>
      </c>
      <c r="AI116">
        <v>0</v>
      </c>
    </row>
    <row r="117" spans="1:35" x14ac:dyDescent="0.25">
      <c r="A117" s="7">
        <v>420</v>
      </c>
      <c r="B117" s="7">
        <v>143.179</v>
      </c>
      <c r="C117" s="7">
        <v>74.881299999999996</v>
      </c>
      <c r="D117" s="7">
        <v>92.781099999999995</v>
      </c>
      <c r="E117" s="7">
        <v>285.85000000000002</v>
      </c>
      <c r="F117" s="14">
        <v>0.39511200000000002</v>
      </c>
      <c r="G117" s="14">
        <v>17.079899999999999</v>
      </c>
      <c r="H117" s="7">
        <v>55.139099999999999</v>
      </c>
      <c r="I117" s="7">
        <v>63.816699999999997</v>
      </c>
      <c r="J117" s="7"/>
      <c r="M117" s="14"/>
      <c r="N117" s="57"/>
      <c r="Q117" s="57"/>
      <c r="R117" s="57"/>
      <c r="W117">
        <f t="shared" si="4"/>
        <v>425</v>
      </c>
      <c r="X117" s="14">
        <f t="shared" si="5"/>
        <v>102.5</v>
      </c>
      <c r="Z117">
        <v>85</v>
      </c>
      <c r="AA117" s="58">
        <v>358.49152953636809</v>
      </c>
      <c r="AB117" s="59">
        <v>29.54181564531849</v>
      </c>
      <c r="AC117" s="59">
        <v>388.03334518168657</v>
      </c>
      <c r="AD117" s="60">
        <v>328.94971389104961</v>
      </c>
      <c r="AE117" s="61">
        <v>0.97009517641771315</v>
      </c>
      <c r="AF117" s="62">
        <v>3.1474882992609497E-2</v>
      </c>
      <c r="AG117" s="62">
        <v>1.0015700594103227</v>
      </c>
      <c r="AH117" s="63">
        <v>0.93862029342510367</v>
      </c>
      <c r="AI117">
        <v>0</v>
      </c>
    </row>
    <row r="118" spans="1:35" x14ac:dyDescent="0.25">
      <c r="A118" s="7">
        <v>425</v>
      </c>
      <c r="B118" s="7">
        <v>143.179</v>
      </c>
      <c r="C118" s="7">
        <v>73.810500000000005</v>
      </c>
      <c r="D118" s="7">
        <v>91.284000000000006</v>
      </c>
      <c r="E118" s="7">
        <v>285.85000000000002</v>
      </c>
      <c r="F118" s="14">
        <v>0.39511200000000002</v>
      </c>
      <c r="G118" s="14">
        <v>17.477499999999999</v>
      </c>
      <c r="H118" s="7">
        <v>54.923000000000002</v>
      </c>
      <c r="I118" s="7">
        <v>63.415900000000001</v>
      </c>
      <c r="J118" s="7"/>
      <c r="M118" s="14"/>
      <c r="N118" s="57"/>
      <c r="Q118" s="57"/>
      <c r="R118" s="57"/>
      <c r="W118">
        <f t="shared" si="4"/>
        <v>430</v>
      </c>
      <c r="X118" s="14">
        <f t="shared" si="5"/>
        <v>100.8</v>
      </c>
      <c r="Z118">
        <v>86</v>
      </c>
      <c r="AA118" s="58">
        <v>358.12099351883643</v>
      </c>
      <c r="AB118" s="59">
        <v>29.488279609985756</v>
      </c>
      <c r="AC118" s="59">
        <v>387.60927312882217</v>
      </c>
      <c r="AD118" s="60">
        <v>328.63271390885069</v>
      </c>
      <c r="AE118" s="61">
        <v>0.96914756180425565</v>
      </c>
      <c r="AF118" s="62">
        <v>3.2860833354584444E-2</v>
      </c>
      <c r="AG118" s="62">
        <v>1.0020083951588401</v>
      </c>
      <c r="AH118" s="63">
        <v>0.9362867284496712</v>
      </c>
      <c r="AI118">
        <v>0</v>
      </c>
    </row>
    <row r="119" spans="1:35" x14ac:dyDescent="0.25">
      <c r="A119" s="7">
        <v>430</v>
      </c>
      <c r="B119" s="7">
        <v>143.179</v>
      </c>
      <c r="C119" s="7">
        <v>72.786699999999996</v>
      </c>
      <c r="D119" s="7">
        <v>89.845299999999995</v>
      </c>
      <c r="E119" s="7">
        <v>285.85000000000002</v>
      </c>
      <c r="F119" s="14">
        <v>0.39511200000000002</v>
      </c>
      <c r="G119" s="14">
        <v>17.8751</v>
      </c>
      <c r="H119" s="7">
        <v>54.715899999999998</v>
      </c>
      <c r="I119" s="7">
        <v>63.028399999999998</v>
      </c>
      <c r="J119" s="7"/>
      <c r="M119" s="14"/>
      <c r="N119" s="57"/>
      <c r="Q119" s="57"/>
      <c r="R119" s="57"/>
      <c r="W119">
        <f t="shared" si="4"/>
        <v>435</v>
      </c>
      <c r="X119" s="14">
        <f t="shared" si="5"/>
        <v>99.1</v>
      </c>
      <c r="Z119">
        <v>87</v>
      </c>
      <c r="AA119" s="58">
        <v>357.77489866548518</v>
      </c>
      <c r="AB119" s="59">
        <v>29.453033764261807</v>
      </c>
      <c r="AC119" s="59">
        <v>387.227932429747</v>
      </c>
      <c r="AD119" s="60">
        <v>328.32186490122336</v>
      </c>
      <c r="AE119" s="61">
        <v>0.96825169309549952</v>
      </c>
      <c r="AF119" s="62">
        <v>3.3893037406322241E-2</v>
      </c>
      <c r="AG119" s="62">
        <v>1.0021447305018218</v>
      </c>
      <c r="AH119" s="63">
        <v>0.93435865568917731</v>
      </c>
      <c r="AI119">
        <v>0</v>
      </c>
    </row>
    <row r="120" spans="1:35" x14ac:dyDescent="0.25">
      <c r="A120" s="7">
        <v>435</v>
      </c>
      <c r="B120" s="7">
        <v>143.179</v>
      </c>
      <c r="C120" s="7">
        <v>71.807699999999997</v>
      </c>
      <c r="D120" s="7">
        <v>88.4636</v>
      </c>
      <c r="E120" s="7">
        <v>285.85000000000002</v>
      </c>
      <c r="F120" s="14">
        <v>0.39511200000000002</v>
      </c>
      <c r="G120" s="14">
        <v>18.2727</v>
      </c>
      <c r="H120" s="7">
        <v>54.517499999999998</v>
      </c>
      <c r="I120" s="7">
        <v>62.653300000000002</v>
      </c>
      <c r="J120" s="7"/>
      <c r="M120" s="14"/>
      <c r="N120" s="57"/>
      <c r="Q120" s="57"/>
      <c r="R120" s="57"/>
      <c r="W120">
        <f t="shared" si="4"/>
        <v>440</v>
      </c>
      <c r="X120" s="14">
        <f t="shared" si="5"/>
        <v>97.3</v>
      </c>
      <c r="Z120">
        <v>88</v>
      </c>
      <c r="AA120" s="58">
        <v>357.53270074877452</v>
      </c>
      <c r="AB120" s="59">
        <v>29.395688875119937</v>
      </c>
      <c r="AC120" s="59">
        <v>386.92838962389447</v>
      </c>
      <c r="AD120" s="60">
        <v>328.13701187365456</v>
      </c>
      <c r="AE120" s="61">
        <v>0.96763612819627942</v>
      </c>
      <c r="AF120" s="62">
        <v>3.4707262581526774E-2</v>
      </c>
      <c r="AG120" s="62">
        <v>1.0023433907778061</v>
      </c>
      <c r="AH120" s="63">
        <v>0.93292886561475263</v>
      </c>
      <c r="AI120">
        <v>0</v>
      </c>
    </row>
    <row r="121" spans="1:35" x14ac:dyDescent="0.25">
      <c r="A121" s="7">
        <v>440</v>
      </c>
      <c r="B121" s="7">
        <v>143.179</v>
      </c>
      <c r="C121" s="7">
        <v>70.871499999999997</v>
      </c>
      <c r="D121" s="7">
        <v>87.135999999999996</v>
      </c>
      <c r="E121" s="7">
        <v>285.85000000000002</v>
      </c>
      <c r="F121" s="14">
        <v>0.39511200000000002</v>
      </c>
      <c r="G121" s="14">
        <v>18.670300000000001</v>
      </c>
      <c r="H121" s="7">
        <v>54.327399999999997</v>
      </c>
      <c r="I121" s="7">
        <v>62.290300000000002</v>
      </c>
      <c r="J121" s="7"/>
      <c r="M121" s="14"/>
      <c r="N121" s="57"/>
      <c r="Q121" s="57"/>
      <c r="R121" s="57"/>
      <c r="W121">
        <f t="shared" si="4"/>
        <v>445</v>
      </c>
      <c r="X121" s="14">
        <f t="shared" si="5"/>
        <v>95.4</v>
      </c>
      <c r="Z121">
        <v>89</v>
      </c>
      <c r="AA121" s="58">
        <v>357.28556583314668</v>
      </c>
      <c r="AB121" s="59">
        <v>29.317233651148111</v>
      </c>
      <c r="AC121" s="59">
        <v>386.60279948429479</v>
      </c>
      <c r="AD121" s="60">
        <v>327.96833218199856</v>
      </c>
      <c r="AE121" s="61">
        <v>0.96701194987446681</v>
      </c>
      <c r="AF121" s="62">
        <v>3.5505829573819474E-2</v>
      </c>
      <c r="AG121" s="62">
        <v>1.0025177794482862</v>
      </c>
      <c r="AH121" s="63">
        <v>0.93150612030064739</v>
      </c>
      <c r="AI121">
        <v>0</v>
      </c>
    </row>
    <row r="122" spans="1:35" x14ac:dyDescent="0.25">
      <c r="A122" s="7">
        <v>445</v>
      </c>
      <c r="B122" s="7">
        <v>143.179</v>
      </c>
      <c r="C122" s="7">
        <v>69.976100000000002</v>
      </c>
      <c r="D122" s="7">
        <v>85.859800000000007</v>
      </c>
      <c r="E122" s="7">
        <v>285.85000000000002</v>
      </c>
      <c r="F122" s="14">
        <v>0.39511200000000002</v>
      </c>
      <c r="G122" s="14">
        <v>19.067900000000002</v>
      </c>
      <c r="H122" s="7">
        <v>54.145299999999999</v>
      </c>
      <c r="I122" s="7">
        <v>61.939</v>
      </c>
      <c r="J122" s="7"/>
      <c r="M122" s="14"/>
      <c r="N122" s="57"/>
      <c r="Q122" s="57"/>
      <c r="R122" s="57"/>
      <c r="W122">
        <f t="shared" si="4"/>
        <v>450</v>
      </c>
      <c r="X122" s="14">
        <f t="shared" si="5"/>
        <v>93.6</v>
      </c>
      <c r="Z122">
        <v>90</v>
      </c>
      <c r="AA122" s="58">
        <v>357.03785314220249</v>
      </c>
      <c r="AB122" s="59">
        <v>29.240450810957288</v>
      </c>
      <c r="AC122" s="59">
        <v>386.27830395315976</v>
      </c>
      <c r="AD122" s="60">
        <v>327.79740233124522</v>
      </c>
      <c r="AE122" s="61">
        <v>0.96638487442944088</v>
      </c>
      <c r="AF122" s="62">
        <v>3.6261661560082419E-2</v>
      </c>
      <c r="AG122" s="62">
        <v>1.0026465359895234</v>
      </c>
      <c r="AH122" s="63">
        <v>0.93012321286935851</v>
      </c>
      <c r="AI122">
        <v>0</v>
      </c>
    </row>
    <row r="123" spans="1:35" x14ac:dyDescent="0.25">
      <c r="A123" s="7">
        <v>450</v>
      </c>
      <c r="B123" s="7">
        <v>143.179</v>
      </c>
      <c r="C123" s="7">
        <v>69.119699999999995</v>
      </c>
      <c r="D123" s="7">
        <v>84.633499999999998</v>
      </c>
      <c r="E123" s="7">
        <v>285.85000000000002</v>
      </c>
      <c r="F123" s="14">
        <v>0.39511200000000002</v>
      </c>
      <c r="G123" s="14">
        <v>19.465499999999999</v>
      </c>
      <c r="H123" s="7">
        <v>53.9709</v>
      </c>
      <c r="I123" s="7">
        <v>61.5989</v>
      </c>
      <c r="J123" s="7"/>
      <c r="M123" s="14"/>
      <c r="N123" s="57"/>
      <c r="Q123" s="57"/>
      <c r="R123" s="57"/>
      <c r="W123">
        <f t="shared" si="4"/>
        <v>455</v>
      </c>
      <c r="X123" s="14">
        <f t="shared" si="5"/>
        <v>92.6</v>
      </c>
      <c r="Z123">
        <v>91</v>
      </c>
      <c r="AA123" s="58">
        <v>356.83591034497636</v>
      </c>
      <c r="AB123" s="59">
        <v>29.174941210287454</v>
      </c>
      <c r="AC123" s="59">
        <v>386.0108515552638</v>
      </c>
      <c r="AD123" s="60">
        <v>327.66096913468891</v>
      </c>
      <c r="AE123" s="61">
        <v>0.96587213073131528</v>
      </c>
      <c r="AF123" s="62">
        <v>3.6814986291346226E-2</v>
      </c>
      <c r="AG123" s="62">
        <v>1.0026871170226614</v>
      </c>
      <c r="AH123" s="63">
        <v>0.92905714443996901</v>
      </c>
      <c r="AI123">
        <v>0</v>
      </c>
    </row>
    <row r="124" spans="1:35" x14ac:dyDescent="0.25">
      <c r="A124" s="7">
        <v>455</v>
      </c>
      <c r="B124" s="7">
        <v>143.179</v>
      </c>
      <c r="C124" s="7">
        <v>68.300700000000006</v>
      </c>
      <c r="D124" s="7">
        <v>83.454499999999996</v>
      </c>
      <c r="E124" s="7">
        <v>285.85000000000002</v>
      </c>
      <c r="F124" s="14">
        <v>0.39511200000000002</v>
      </c>
      <c r="G124" s="14">
        <v>19.863099999999999</v>
      </c>
      <c r="H124" s="7">
        <v>53.803800000000003</v>
      </c>
      <c r="I124" s="7">
        <v>61.2697</v>
      </c>
      <c r="J124" s="7"/>
      <c r="M124" s="14"/>
      <c r="N124" s="57"/>
      <c r="Q124" s="57"/>
      <c r="R124" s="57"/>
      <c r="W124">
        <f t="shared" si="4"/>
        <v>460</v>
      </c>
      <c r="X124" s="14">
        <f t="shared" si="5"/>
        <v>93.1</v>
      </c>
      <c r="Z124">
        <v>92</v>
      </c>
      <c r="AA124" s="58">
        <v>356.61078943658157</v>
      </c>
      <c r="AB124" s="59">
        <v>29.115752928898257</v>
      </c>
      <c r="AC124" s="59">
        <v>385.72654236547982</v>
      </c>
      <c r="AD124" s="60">
        <v>327.49503650768332</v>
      </c>
      <c r="AE124" s="61">
        <v>0.96530193711854528</v>
      </c>
      <c r="AF124" s="62">
        <v>3.7523768577566993E-2</v>
      </c>
      <c r="AG124" s="62">
        <v>1.0028257056961123</v>
      </c>
      <c r="AH124" s="63">
        <v>0.92777816854097828</v>
      </c>
      <c r="AI124">
        <v>0</v>
      </c>
    </row>
    <row r="125" spans="1:35" x14ac:dyDescent="0.25">
      <c r="A125" s="7">
        <v>460</v>
      </c>
      <c r="B125" s="7">
        <v>143.179</v>
      </c>
      <c r="C125" s="7">
        <v>67.817800000000005</v>
      </c>
      <c r="D125" s="7">
        <v>83.224400000000003</v>
      </c>
      <c r="E125" s="7">
        <v>285.85000000000002</v>
      </c>
      <c r="F125" s="14">
        <v>1.7405799999999999E-4</v>
      </c>
      <c r="G125" s="14">
        <v>19.942699999999999</v>
      </c>
      <c r="H125" s="7">
        <v>57.597000000000001</v>
      </c>
      <c r="I125" s="7">
        <v>-17376.8</v>
      </c>
      <c r="J125" s="7"/>
      <c r="M125" s="14"/>
      <c r="N125" s="57"/>
      <c r="Q125" s="57"/>
      <c r="R125" s="57"/>
      <c r="W125">
        <f t="shared" si="4"/>
        <v>465</v>
      </c>
      <c r="X125" s="14">
        <f t="shared" si="5"/>
        <v>95</v>
      </c>
      <c r="Z125">
        <v>93</v>
      </c>
      <c r="AA125" s="58">
        <v>356.41507693206358</v>
      </c>
      <c r="AB125" s="59">
        <v>29.064151594752808</v>
      </c>
      <c r="AC125" s="59">
        <v>385.47922852681637</v>
      </c>
      <c r="AD125" s="60">
        <v>327.3509253373108</v>
      </c>
      <c r="AE125" s="61">
        <v>0.9648067834180426</v>
      </c>
      <c r="AF125" s="62">
        <v>3.8140320236104357E-2</v>
      </c>
      <c r="AG125" s="62">
        <v>1.0029471036541469</v>
      </c>
      <c r="AH125" s="63">
        <v>0.92666646318193824</v>
      </c>
      <c r="AI125">
        <v>0</v>
      </c>
    </row>
    <row r="126" spans="1:35" x14ac:dyDescent="0.25">
      <c r="A126" s="7">
        <v>465</v>
      </c>
      <c r="B126" s="7">
        <v>143.179</v>
      </c>
      <c r="C126" s="7">
        <v>67.358500000000006</v>
      </c>
      <c r="D126" s="7">
        <v>79.843500000000006</v>
      </c>
      <c r="E126" s="7">
        <v>285.85000000000002</v>
      </c>
      <c r="F126" s="14">
        <v>1.7405799999999999E-4</v>
      </c>
      <c r="G126" s="14">
        <v>19.942900000000002</v>
      </c>
      <c r="H126" s="7">
        <v>57.424900000000001</v>
      </c>
      <c r="I126" s="7">
        <v>-26867.1</v>
      </c>
      <c r="J126" s="7"/>
      <c r="M126" s="14"/>
      <c r="N126" s="57"/>
      <c r="Q126" s="57"/>
      <c r="R126" s="57"/>
      <c r="W126">
        <f t="shared" si="4"/>
        <v>470</v>
      </c>
      <c r="X126" s="14">
        <f t="shared" si="5"/>
        <v>96.5</v>
      </c>
      <c r="Z126">
        <v>94</v>
      </c>
      <c r="AA126" s="58">
        <v>356.27960981757678</v>
      </c>
      <c r="AB126" s="59">
        <v>29.015428286046955</v>
      </c>
      <c r="AC126" s="59">
        <v>385.29503810362371</v>
      </c>
      <c r="AD126" s="60">
        <v>327.26418153152986</v>
      </c>
      <c r="AE126" s="61">
        <v>0.96446412004983662</v>
      </c>
      <c r="AF126" s="62">
        <v>3.8500651554933048E-2</v>
      </c>
      <c r="AG126" s="62">
        <v>1.0029647716047696</v>
      </c>
      <c r="AH126" s="63">
        <v>0.92596346849490352</v>
      </c>
      <c r="AI126">
        <v>0</v>
      </c>
    </row>
    <row r="127" spans="1:35" x14ac:dyDescent="0.25">
      <c r="A127" s="7">
        <v>470</v>
      </c>
      <c r="B127" s="7">
        <v>143.179</v>
      </c>
      <c r="C127" s="7">
        <v>66.912300000000002</v>
      </c>
      <c r="D127" s="7">
        <v>79.843500000000006</v>
      </c>
      <c r="E127" s="7">
        <v>285.85000000000002</v>
      </c>
      <c r="F127" s="14">
        <v>1.7405799999999999E-4</v>
      </c>
      <c r="G127" s="14">
        <v>19.943000000000001</v>
      </c>
      <c r="H127" s="7">
        <v>57.257100000000001</v>
      </c>
      <c r="I127" s="7">
        <v>52.235999999999997</v>
      </c>
      <c r="J127" s="7"/>
      <c r="M127" s="14"/>
      <c r="N127" s="57"/>
      <c r="Q127" s="57"/>
      <c r="R127" s="57"/>
      <c r="W127">
        <f t="shared" si="4"/>
        <v>475</v>
      </c>
      <c r="X127" s="14">
        <f t="shared" si="5"/>
        <v>97.7</v>
      </c>
      <c r="Z127">
        <v>95</v>
      </c>
      <c r="AA127" s="58">
        <v>356.0837988979743</v>
      </c>
      <c r="AB127" s="59">
        <v>28.966241836985873</v>
      </c>
      <c r="AC127" s="59">
        <v>385.05004073496019</v>
      </c>
      <c r="AD127" s="60">
        <v>327.11755706098842</v>
      </c>
      <c r="AE127" s="61">
        <v>0.9639617308643692</v>
      </c>
      <c r="AF127" s="62">
        <v>3.8946346878236518E-2</v>
      </c>
      <c r="AG127" s="62">
        <v>1.0029080777426058</v>
      </c>
      <c r="AH127" s="63">
        <v>0.9250153839861327</v>
      </c>
      <c r="AI127">
        <v>0</v>
      </c>
    </row>
    <row r="128" spans="1:35" x14ac:dyDescent="0.25">
      <c r="A128" s="7">
        <v>475</v>
      </c>
      <c r="B128" s="7">
        <v>143.179</v>
      </c>
      <c r="C128" s="7">
        <v>66.478800000000007</v>
      </c>
      <c r="D128" s="7">
        <v>79.824100000000001</v>
      </c>
      <c r="E128" s="7">
        <v>285.85000000000002</v>
      </c>
      <c r="F128" s="14">
        <v>1.7405799999999999E-4</v>
      </c>
      <c r="G128" s="14">
        <v>19.943200000000001</v>
      </c>
      <c r="H128" s="7">
        <v>57.093299999999999</v>
      </c>
      <c r="I128" s="7">
        <v>52.726700000000001</v>
      </c>
      <c r="J128" s="7"/>
      <c r="M128" s="14"/>
      <c r="N128" s="57"/>
      <c r="Q128" s="57"/>
      <c r="R128" s="57"/>
      <c r="W128">
        <f t="shared" si="4"/>
        <v>480</v>
      </c>
      <c r="X128" s="14">
        <f t="shared" si="5"/>
        <v>98.6</v>
      </c>
      <c r="Z128">
        <v>96</v>
      </c>
      <c r="AA128" s="58">
        <v>355.80023212738092</v>
      </c>
      <c r="AB128" s="59">
        <v>28.866025445903713</v>
      </c>
      <c r="AC128" s="59">
        <v>384.66625757328461</v>
      </c>
      <c r="AD128" s="60">
        <v>326.93420668147724</v>
      </c>
      <c r="AE128" s="61">
        <v>0.96322636812390616</v>
      </c>
      <c r="AF128" s="62">
        <v>3.92640835643214E-2</v>
      </c>
      <c r="AG128" s="62">
        <v>1.0024904516882276</v>
      </c>
      <c r="AH128" s="63">
        <v>0.92396228455958473</v>
      </c>
      <c r="AI128">
        <v>0</v>
      </c>
    </row>
    <row r="129" spans="1:35" x14ac:dyDescent="0.25">
      <c r="A129" s="7">
        <v>480</v>
      </c>
      <c r="B129" s="7">
        <v>143.179</v>
      </c>
      <c r="C129" s="7">
        <v>66.057599999999994</v>
      </c>
      <c r="D129" s="7">
        <v>79.824100000000001</v>
      </c>
      <c r="E129" s="7">
        <v>285.85000000000002</v>
      </c>
      <c r="F129" s="14">
        <v>1.7405799999999999E-4</v>
      </c>
      <c r="G129" s="14">
        <v>19.9434</v>
      </c>
      <c r="H129" s="7">
        <v>56.933700000000002</v>
      </c>
      <c r="I129" s="7">
        <v>54.197400000000002</v>
      </c>
      <c r="J129" s="7"/>
      <c r="M129" s="14"/>
      <c r="N129" s="57"/>
      <c r="Q129" s="57"/>
      <c r="R129" s="57"/>
      <c r="W129">
        <f t="shared" si="4"/>
        <v>485</v>
      </c>
      <c r="X129" s="14">
        <f t="shared" si="5"/>
        <v>99.2</v>
      </c>
      <c r="Z129">
        <v>97</v>
      </c>
      <c r="AA129" s="58">
        <v>355.61325385652367</v>
      </c>
      <c r="AB129" s="59">
        <v>28.721524400392688</v>
      </c>
      <c r="AC129" s="59">
        <v>384.33477825691637</v>
      </c>
      <c r="AD129" s="60">
        <v>326.89172945613097</v>
      </c>
      <c r="AE129" s="61">
        <v>0.96276916927684353</v>
      </c>
      <c r="AF129" s="62">
        <v>3.9758574650255354E-2</v>
      </c>
      <c r="AG129" s="62">
        <v>1.002527743927099</v>
      </c>
      <c r="AH129" s="63">
        <v>0.92301059462658819</v>
      </c>
      <c r="AI129">
        <v>0</v>
      </c>
    </row>
    <row r="130" spans="1:35" x14ac:dyDescent="0.25">
      <c r="A130" s="7">
        <v>485</v>
      </c>
      <c r="B130" s="7">
        <v>143.179</v>
      </c>
      <c r="C130" s="7">
        <v>65.648200000000003</v>
      </c>
      <c r="D130" s="7">
        <v>79.824100000000001</v>
      </c>
      <c r="E130" s="7">
        <v>285.85000000000002</v>
      </c>
      <c r="F130" s="14">
        <v>1.7405799999999999E-4</v>
      </c>
      <c r="G130" s="14">
        <v>19.9436</v>
      </c>
      <c r="H130" s="7">
        <v>56.777999999999999</v>
      </c>
      <c r="I130" s="7">
        <v>56.688600000000001</v>
      </c>
      <c r="J130" s="7"/>
      <c r="M130" s="14"/>
      <c r="N130" s="57"/>
      <c r="Q130" s="57"/>
      <c r="R130" s="57"/>
      <c r="W130">
        <f t="shared" si="4"/>
        <v>490</v>
      </c>
      <c r="X130" s="14">
        <f t="shared" si="5"/>
        <v>99.2</v>
      </c>
      <c r="Z130">
        <v>98</v>
      </c>
      <c r="AA130" s="58">
        <v>355.34007618048912</v>
      </c>
      <c r="AB130" s="59">
        <v>28.63503087127491</v>
      </c>
      <c r="AC130" s="59">
        <v>383.97510705176404</v>
      </c>
      <c r="AD130" s="60">
        <v>326.7050453092142</v>
      </c>
      <c r="AE130" s="61">
        <v>0.96206580469222669</v>
      </c>
      <c r="AF130" s="62">
        <v>4.0222432347815508E-2</v>
      </c>
      <c r="AG130" s="62">
        <v>1.0022882370400421</v>
      </c>
      <c r="AH130" s="63">
        <v>0.92184337234441116</v>
      </c>
      <c r="AI130">
        <v>0</v>
      </c>
    </row>
    <row r="131" spans="1:35" x14ac:dyDescent="0.25">
      <c r="A131" s="7">
        <v>490</v>
      </c>
      <c r="B131" s="7">
        <v>143.179</v>
      </c>
      <c r="C131" s="7">
        <v>65.250299999999996</v>
      </c>
      <c r="D131" s="7">
        <v>79.824100000000001</v>
      </c>
      <c r="E131" s="7">
        <v>285.85000000000002</v>
      </c>
      <c r="F131" s="14">
        <v>1.7405799999999999E-4</v>
      </c>
      <c r="G131" s="14">
        <v>19.9437</v>
      </c>
      <c r="H131" s="7">
        <v>56.626100000000001</v>
      </c>
      <c r="I131" s="7">
        <v>60.8904</v>
      </c>
      <c r="J131" s="7"/>
      <c r="M131" s="14"/>
      <c r="N131" s="57"/>
      <c r="Q131" s="57"/>
      <c r="R131" s="57"/>
      <c r="W131">
        <f t="shared" si="4"/>
        <v>495</v>
      </c>
      <c r="X131" s="14">
        <f t="shared" si="5"/>
        <v>98.9</v>
      </c>
      <c r="Z131">
        <v>99</v>
      </c>
      <c r="AA131" s="58">
        <v>355.0359994740943</v>
      </c>
      <c r="AB131" s="59">
        <v>28.510267378131378</v>
      </c>
      <c r="AC131" s="59">
        <v>383.5462668522257</v>
      </c>
      <c r="AD131" s="60">
        <v>326.52573209596289</v>
      </c>
      <c r="AE131" s="61">
        <v>0.96127691660033709</v>
      </c>
      <c r="AF131" s="62">
        <v>4.0473186316839653E-2</v>
      </c>
      <c r="AG131" s="62">
        <v>1.0017501029171767</v>
      </c>
      <c r="AH131" s="63">
        <v>0.92080373028349749</v>
      </c>
      <c r="AI131">
        <v>0</v>
      </c>
    </row>
    <row r="132" spans="1:35" x14ac:dyDescent="0.25">
      <c r="A132" s="7">
        <v>495</v>
      </c>
      <c r="B132" s="7">
        <v>143.179</v>
      </c>
      <c r="C132" s="7">
        <v>64.863699999999994</v>
      </c>
      <c r="D132" s="7">
        <v>79.824100000000001</v>
      </c>
      <c r="E132" s="7">
        <v>285.85000000000002</v>
      </c>
      <c r="F132" s="14">
        <v>1.7405799999999999E-4</v>
      </c>
      <c r="G132" s="14">
        <v>19.943899999999999</v>
      </c>
      <c r="H132" s="7">
        <v>56.477899999999998</v>
      </c>
      <c r="I132" s="7">
        <v>78.852199999999996</v>
      </c>
      <c r="J132" s="7"/>
      <c r="M132" s="14"/>
      <c r="N132" s="57"/>
      <c r="Q132" s="57"/>
      <c r="R132" s="57"/>
      <c r="W132">
        <f t="shared" si="4"/>
        <v>500</v>
      </c>
      <c r="X132" s="14">
        <f t="shared" si="5"/>
        <v>98.4</v>
      </c>
      <c r="Z132">
        <v>100</v>
      </c>
      <c r="AA132" s="58">
        <v>354.79150275771411</v>
      </c>
      <c r="AB132" s="59">
        <v>28.403105927945582</v>
      </c>
      <c r="AC132" s="59">
        <v>383.19460868565972</v>
      </c>
      <c r="AD132" s="60">
        <v>326.38839682976851</v>
      </c>
      <c r="AE132" s="61">
        <v>0.9606551094275626</v>
      </c>
      <c r="AF132" s="62">
        <v>4.0927699098935684E-2</v>
      </c>
      <c r="AG132" s="62">
        <v>1.0015828085264984</v>
      </c>
      <c r="AH132" s="63">
        <v>0.91972741032862693</v>
      </c>
      <c r="AI132">
        <v>0</v>
      </c>
    </row>
    <row r="133" spans="1:35" x14ac:dyDescent="0.25">
      <c r="A133" s="7">
        <v>500</v>
      </c>
      <c r="B133" s="7">
        <v>143.179</v>
      </c>
      <c r="C133" s="7">
        <v>64.487799999999993</v>
      </c>
      <c r="D133" s="7">
        <v>79.824100000000001</v>
      </c>
      <c r="E133" s="7">
        <v>285.85000000000002</v>
      </c>
      <c r="F133" s="14">
        <v>1.7405799999999999E-4</v>
      </c>
      <c r="G133" s="14">
        <v>19.944099999999999</v>
      </c>
      <c r="H133" s="7">
        <v>56.333399999999997</v>
      </c>
      <c r="I133" s="7">
        <v>2.4883500000000001</v>
      </c>
      <c r="J133" s="7"/>
      <c r="M133" s="14"/>
      <c r="N133" s="57"/>
      <c r="Q133" s="57"/>
      <c r="R133" s="57"/>
      <c r="Z133">
        <v>101</v>
      </c>
      <c r="AA133" s="58">
        <v>354.55874450922528</v>
      </c>
      <c r="AB133" s="59">
        <v>28.272175379008416</v>
      </c>
      <c r="AC133" s="59">
        <v>382.83091988823367</v>
      </c>
      <c r="AD133" s="60">
        <v>326.28656913021689</v>
      </c>
      <c r="AE133" s="61">
        <v>0.96006135639885415</v>
      </c>
      <c r="AF133" s="62">
        <v>4.1191635407076287E-2</v>
      </c>
      <c r="AG133" s="62">
        <v>1.0012529918059305</v>
      </c>
      <c r="AH133" s="63">
        <v>0.91886972099177788</v>
      </c>
      <c r="AI133">
        <v>0</v>
      </c>
    </row>
    <row r="134" spans="1:35" x14ac:dyDescent="0.25">
      <c r="A134" s="7"/>
      <c r="B134" s="7"/>
      <c r="C134" s="7"/>
      <c r="D134" s="7"/>
      <c r="E134" s="7"/>
      <c r="F134" s="14"/>
      <c r="G134" s="14"/>
      <c r="H134" s="7"/>
      <c r="I134" s="7"/>
      <c r="J134" s="7"/>
      <c r="M134" s="14"/>
      <c r="N134" s="57"/>
      <c r="Q134" s="57"/>
      <c r="R134" s="57"/>
      <c r="Z134">
        <v>102</v>
      </c>
      <c r="AA134" s="58">
        <v>354.35489125853582</v>
      </c>
      <c r="AB134" s="59">
        <v>28.176863971221458</v>
      </c>
      <c r="AC134" s="59">
        <v>382.53175522975727</v>
      </c>
      <c r="AD134" s="60">
        <v>326.17802728731436</v>
      </c>
      <c r="AE134" s="61">
        <v>0.95954237224071359</v>
      </c>
      <c r="AF134" s="62">
        <v>4.1530835784147728E-2</v>
      </c>
      <c r="AG134" s="62">
        <v>1.0010732080248612</v>
      </c>
      <c r="AH134" s="63">
        <v>0.91801153645656586</v>
      </c>
      <c r="AI134">
        <v>0</v>
      </c>
    </row>
    <row r="135" spans="1:35" x14ac:dyDescent="0.25">
      <c r="A135" s="7"/>
      <c r="B135" s="7"/>
      <c r="C135" s="7"/>
      <c r="D135" s="7"/>
      <c r="E135" s="7"/>
      <c r="F135" s="14"/>
      <c r="G135" s="14"/>
      <c r="H135" s="7"/>
      <c r="I135" s="7"/>
      <c r="J135" s="7"/>
      <c r="M135" s="14"/>
      <c r="N135" s="57"/>
      <c r="Q135" s="57"/>
      <c r="R135" s="57"/>
      <c r="Z135">
        <v>103</v>
      </c>
      <c r="AA135" s="58">
        <v>354.078180321155</v>
      </c>
      <c r="AB135" s="59">
        <v>28.087232237733161</v>
      </c>
      <c r="AC135" s="59">
        <v>382.16541255888819</v>
      </c>
      <c r="AD135" s="60">
        <v>325.99094808342181</v>
      </c>
      <c r="AE135" s="61">
        <v>0.95884453362695299</v>
      </c>
      <c r="AF135" s="62">
        <v>4.2299659444251174E-2</v>
      </c>
      <c r="AG135" s="62">
        <v>1.0011441930712042</v>
      </c>
      <c r="AH135" s="63">
        <v>0.91654487418270181</v>
      </c>
      <c r="AI135">
        <v>0</v>
      </c>
    </row>
    <row r="136" spans="1:35" x14ac:dyDescent="0.25">
      <c r="A136" s="7" t="s">
        <v>75</v>
      </c>
      <c r="B136" s="7" t="s">
        <v>74</v>
      </c>
      <c r="C136" s="7" t="s">
        <v>76</v>
      </c>
      <c r="D136" s="7" t="s">
        <v>74</v>
      </c>
      <c r="E136" s="7" t="s">
        <v>77</v>
      </c>
      <c r="F136" s="14" t="s">
        <v>78</v>
      </c>
      <c r="G136" s="14" t="s">
        <v>13</v>
      </c>
      <c r="H136" s="7">
        <v>9.8804499999999997</v>
      </c>
      <c r="I136" s="7"/>
      <c r="J136" s="7"/>
      <c r="M136" s="14"/>
      <c r="N136" s="57"/>
      <c r="Q136" s="57"/>
      <c r="R136" s="57"/>
      <c r="Z136">
        <v>104</v>
      </c>
      <c r="AA136" s="58">
        <v>353.83045503104017</v>
      </c>
      <c r="AB136" s="59">
        <v>28.002007283383325</v>
      </c>
      <c r="AC136" s="59">
        <v>381.83246231442348</v>
      </c>
      <c r="AD136" s="60">
        <v>325.82844774765687</v>
      </c>
      <c r="AE136" s="61">
        <v>0.95821813043070103</v>
      </c>
      <c r="AF136" s="62">
        <v>4.2920516691592366E-2</v>
      </c>
      <c r="AG136" s="62">
        <v>1.0011386471222934</v>
      </c>
      <c r="AH136" s="63">
        <v>0.91529761373910867</v>
      </c>
      <c r="AI136">
        <v>0</v>
      </c>
    </row>
    <row r="137" spans="1:35" x14ac:dyDescent="0.25">
      <c r="A137" s="7" t="s">
        <v>79</v>
      </c>
      <c r="B137" s="7" t="s">
        <v>80</v>
      </c>
      <c r="C137" s="79" t="s">
        <v>81</v>
      </c>
      <c r="D137" s="7" t="s">
        <v>82</v>
      </c>
      <c r="E137" s="7" t="s">
        <v>13</v>
      </c>
      <c r="F137" s="14">
        <v>538934</v>
      </c>
      <c r="G137" s="14"/>
      <c r="H137" s="7"/>
      <c r="I137" s="7"/>
      <c r="J137" s="7"/>
      <c r="M137" s="14"/>
      <c r="N137" s="57"/>
      <c r="Q137" s="57"/>
      <c r="R137" s="57"/>
      <c r="Z137">
        <v>105</v>
      </c>
      <c r="AA137" s="58">
        <v>353.54880805743193</v>
      </c>
      <c r="AB137" s="59">
        <v>27.889988384059976</v>
      </c>
      <c r="AC137" s="59">
        <v>381.43879644149189</v>
      </c>
      <c r="AD137" s="60">
        <v>325.65881967337197</v>
      </c>
      <c r="AE137" s="61">
        <v>0.9575015349798659</v>
      </c>
      <c r="AF137" s="62">
        <v>4.3470579582148734E-2</v>
      </c>
      <c r="AG137" s="62">
        <v>1.0009721145620147</v>
      </c>
      <c r="AH137" s="63">
        <v>0.91403095539771717</v>
      </c>
      <c r="AI137">
        <v>0</v>
      </c>
    </row>
    <row r="138" spans="1:35" x14ac:dyDescent="0.25">
      <c r="A138" s="7" t="s">
        <v>83</v>
      </c>
      <c r="B138" s="7" t="s">
        <v>80</v>
      </c>
      <c r="C138" s="79" t="s">
        <v>84</v>
      </c>
      <c r="D138" s="7" t="s">
        <v>82</v>
      </c>
      <c r="E138" s="7" t="s">
        <v>13</v>
      </c>
      <c r="F138" s="14">
        <v>13315.1</v>
      </c>
      <c r="G138" s="14"/>
      <c r="H138" s="7"/>
      <c r="I138" s="7"/>
      <c r="J138" s="7"/>
      <c r="M138" s="14"/>
      <c r="N138" s="57"/>
      <c r="Q138" s="57"/>
      <c r="R138" s="57"/>
      <c r="Z138">
        <v>106</v>
      </c>
      <c r="AA138" s="58">
        <v>353.26519193973536</v>
      </c>
      <c r="AB138" s="59">
        <v>27.865868508374732</v>
      </c>
      <c r="AC138" s="59">
        <v>381.13106044811008</v>
      </c>
      <c r="AD138" s="60">
        <v>325.39932343136064</v>
      </c>
      <c r="AE138" s="61">
        <v>0.95675433304042612</v>
      </c>
      <c r="AF138" s="62">
        <v>4.3878441549876877E-2</v>
      </c>
      <c r="AG138" s="62">
        <v>1.000632774590303</v>
      </c>
      <c r="AH138" s="63">
        <v>0.91287589149054926</v>
      </c>
      <c r="AI138">
        <v>0</v>
      </c>
    </row>
    <row r="139" spans="1:35" x14ac:dyDescent="0.25">
      <c r="A139" s="7" t="s">
        <v>79</v>
      </c>
      <c r="B139" s="7" t="s">
        <v>85</v>
      </c>
      <c r="C139" s="79" t="s">
        <v>86</v>
      </c>
      <c r="D139" s="7" t="s">
        <v>87</v>
      </c>
      <c r="E139" s="7" t="s">
        <v>82</v>
      </c>
      <c r="F139" s="14" t="s">
        <v>13</v>
      </c>
      <c r="G139" s="14">
        <v>450640</v>
      </c>
      <c r="H139" s="7"/>
      <c r="I139" s="7"/>
      <c r="J139" s="7"/>
      <c r="M139" s="14"/>
      <c r="N139" s="57"/>
      <c r="Q139" s="57"/>
      <c r="R139" s="57"/>
      <c r="Z139">
        <v>107</v>
      </c>
      <c r="AA139" s="58">
        <v>352.94940828679296</v>
      </c>
      <c r="AB139" s="59">
        <v>27.821554828974538</v>
      </c>
      <c r="AC139" s="59">
        <v>380.77096311576747</v>
      </c>
      <c r="AD139" s="60">
        <v>325.12785345781845</v>
      </c>
      <c r="AE139" s="61">
        <v>0.95591464081516386</v>
      </c>
      <c r="AF139" s="62">
        <v>4.4101022542848069E-2</v>
      </c>
      <c r="AG139" s="62">
        <v>1.000015663358012</v>
      </c>
      <c r="AH139" s="63">
        <v>0.91181361827231577</v>
      </c>
      <c r="AI139">
        <v>0</v>
      </c>
    </row>
    <row r="140" spans="1:35" x14ac:dyDescent="0.25">
      <c r="A140" s="7" t="s">
        <v>88</v>
      </c>
      <c r="B140" s="7" t="s">
        <v>82</v>
      </c>
      <c r="C140" s="79" t="s">
        <v>13</v>
      </c>
      <c r="D140" s="7">
        <v>74978.899999999994</v>
      </c>
      <c r="E140" s="7"/>
      <c r="F140" s="14"/>
      <c r="G140" s="14"/>
      <c r="H140" s="7"/>
      <c r="I140" s="7"/>
      <c r="J140" s="7"/>
      <c r="M140" s="14"/>
      <c r="N140" s="57"/>
      <c r="Q140" s="57"/>
      <c r="R140" s="57"/>
      <c r="Z140">
        <v>108</v>
      </c>
      <c r="AA140" s="58">
        <v>352.62109048595488</v>
      </c>
      <c r="AB140" s="59">
        <v>27.776343117387508</v>
      </c>
      <c r="AC140" s="59">
        <v>380.39743360334239</v>
      </c>
      <c r="AD140" s="60">
        <v>324.84474736856737</v>
      </c>
      <c r="AE140" s="61">
        <v>0.95504872769156302</v>
      </c>
      <c r="AF140" s="62">
        <v>4.4469698202403617E-2</v>
      </c>
      <c r="AG140" s="62">
        <v>0.99951842589396667</v>
      </c>
      <c r="AH140" s="63">
        <v>0.91057902948915936</v>
      </c>
      <c r="AI140">
        <v>0</v>
      </c>
    </row>
    <row r="141" spans="1:35" x14ac:dyDescent="0.25">
      <c r="A141" s="7" t="s">
        <v>89</v>
      </c>
      <c r="B141" s="7" t="s">
        <v>90</v>
      </c>
      <c r="C141" s="79" t="s">
        <v>13</v>
      </c>
      <c r="D141" s="7">
        <v>13.9124</v>
      </c>
      <c r="E141" s="7"/>
      <c r="F141" s="14"/>
      <c r="G141" s="14"/>
      <c r="H141" s="7"/>
      <c r="I141" s="7"/>
      <c r="J141" s="7"/>
      <c r="M141" s="14"/>
      <c r="N141" s="57"/>
      <c r="Q141" s="57"/>
      <c r="R141" s="57"/>
      <c r="Z141">
        <v>109</v>
      </c>
      <c r="AA141" s="58">
        <v>352.25986473344966</v>
      </c>
      <c r="AB141" s="59">
        <v>27.664915400664203</v>
      </c>
      <c r="AC141" s="59">
        <v>379.92478013411386</v>
      </c>
      <c r="AD141" s="60">
        <v>324.59494933278546</v>
      </c>
      <c r="AE141" s="61">
        <v>0.95410472487359577</v>
      </c>
      <c r="AF141" s="62">
        <v>4.4788765399791444E-2</v>
      </c>
      <c r="AG141" s="62">
        <v>0.99889349027338725</v>
      </c>
      <c r="AH141" s="63">
        <v>0.90931595947380428</v>
      </c>
      <c r="AI141">
        <v>0</v>
      </c>
    </row>
    <row r="142" spans="1:35" x14ac:dyDescent="0.25">
      <c r="A142" s="7"/>
      <c r="B142" s="7"/>
      <c r="C142" s="79"/>
      <c r="D142" s="7"/>
      <c r="E142" s="7"/>
      <c r="F142" s="14"/>
      <c r="G142" s="14"/>
      <c r="H142" s="7"/>
      <c r="I142" s="7"/>
      <c r="J142" s="7"/>
      <c r="M142" s="14"/>
      <c r="N142" s="57"/>
      <c r="Q142" s="57"/>
      <c r="R142" s="57"/>
      <c r="Z142">
        <v>110</v>
      </c>
      <c r="AA142" s="58">
        <v>351.87934241657877</v>
      </c>
      <c r="AB142" s="59">
        <v>27.514108607262493</v>
      </c>
      <c r="AC142" s="59">
        <v>379.39345102384124</v>
      </c>
      <c r="AD142" s="60">
        <v>324.36523380931629</v>
      </c>
      <c r="AE142" s="61">
        <v>0.95311067124175486</v>
      </c>
      <c r="AF142" s="62">
        <v>4.4999541919986098E-2</v>
      </c>
      <c r="AG142" s="62">
        <v>0.99811021316174098</v>
      </c>
      <c r="AH142" s="63">
        <v>0.90811112932176874</v>
      </c>
      <c r="AI142">
        <v>0</v>
      </c>
    </row>
    <row r="143" spans="1:35" x14ac:dyDescent="0.25">
      <c r="A143" s="7" t="s">
        <v>91</v>
      </c>
      <c r="B143" s="7">
        <v>384</v>
      </c>
      <c r="C143" s="79" t="s">
        <v>26</v>
      </c>
      <c r="D143" s="7"/>
      <c r="E143" s="7"/>
      <c r="F143" s="14"/>
      <c r="G143" s="14"/>
      <c r="H143" s="7"/>
      <c r="I143" s="7"/>
      <c r="J143" s="7"/>
      <c r="M143" s="14"/>
      <c r="N143" s="57"/>
      <c r="Q143" s="57"/>
      <c r="R143" s="57"/>
      <c r="Z143">
        <v>111</v>
      </c>
      <c r="AA143" s="58">
        <v>351.531614349932</v>
      </c>
      <c r="AB143" s="59">
        <v>27.412454574597469</v>
      </c>
      <c r="AC143" s="59">
        <v>378.94406892452946</v>
      </c>
      <c r="AD143" s="60">
        <v>324.11915977533454</v>
      </c>
      <c r="AE143" s="61">
        <v>0.95220326973250868</v>
      </c>
      <c r="AF143" s="62">
        <v>4.5353018608803905E-2</v>
      </c>
      <c r="AG143" s="62">
        <v>0.9975562883413126</v>
      </c>
      <c r="AH143" s="63">
        <v>0.90685025112370476</v>
      </c>
      <c r="AI143">
        <v>0</v>
      </c>
    </row>
    <row r="144" spans="1:35" x14ac:dyDescent="0.25">
      <c r="A144" s="7"/>
      <c r="B144" s="7"/>
      <c r="C144" s="7"/>
      <c r="D144" s="7"/>
      <c r="E144" s="7"/>
      <c r="F144" s="14"/>
      <c r="G144" s="14"/>
      <c r="H144" s="7"/>
      <c r="I144" s="7"/>
      <c r="J144" s="7"/>
      <c r="M144" s="14"/>
      <c r="N144" s="57"/>
      <c r="Q144" s="57"/>
      <c r="R144" s="57"/>
      <c r="Z144">
        <v>112</v>
      </c>
      <c r="AA144" s="58">
        <v>351.19422585009005</v>
      </c>
      <c r="AB144" s="59">
        <v>27.307216742213846</v>
      </c>
      <c r="AC144" s="59">
        <v>378.50144259230387</v>
      </c>
      <c r="AD144" s="60">
        <v>323.88700910787622</v>
      </c>
      <c r="AE144" s="61">
        <v>0.9513203302436799</v>
      </c>
      <c r="AF144" s="62">
        <v>4.5628510822955298E-2</v>
      </c>
      <c r="AG144" s="62">
        <v>0.99694884106663517</v>
      </c>
      <c r="AH144" s="63">
        <v>0.90569181942072463</v>
      </c>
      <c r="AI144">
        <v>0</v>
      </c>
    </row>
    <row r="145" spans="1:35" x14ac:dyDescent="0.25">
      <c r="A145" s="7"/>
      <c r="B145" s="7"/>
      <c r="C145" s="7"/>
      <c r="D145" s="7"/>
      <c r="E145" s="7"/>
      <c r="F145" s="14"/>
      <c r="G145" s="14"/>
      <c r="H145" s="7"/>
      <c r="I145" s="7"/>
      <c r="J145" s="7"/>
      <c r="M145" s="14"/>
      <c r="N145" s="57"/>
      <c r="Q145" s="57"/>
      <c r="R145" s="57"/>
      <c r="Z145">
        <v>113</v>
      </c>
      <c r="AA145" s="58">
        <v>350.82674596743465</v>
      </c>
      <c r="AB145" s="59">
        <v>27.156940274270823</v>
      </c>
      <c r="AC145" s="59">
        <v>377.98368624170547</v>
      </c>
      <c r="AD145" s="60">
        <v>323.66980569316382</v>
      </c>
      <c r="AE145" s="61">
        <v>0.9503552566546225</v>
      </c>
      <c r="AF145" s="62">
        <v>4.5734155145495177E-2</v>
      </c>
      <c r="AG145" s="62">
        <v>0.99608941180011767</v>
      </c>
      <c r="AH145" s="63">
        <v>0.90462110150912733</v>
      </c>
      <c r="AI145">
        <v>0</v>
      </c>
    </row>
    <row r="146" spans="1:35" x14ac:dyDescent="0.25">
      <c r="M146" s="14"/>
      <c r="N146" s="57"/>
      <c r="Q146" s="57"/>
      <c r="R146" s="57"/>
      <c r="Z146">
        <v>114</v>
      </c>
      <c r="AA146" s="58">
        <v>350.35877788865332</v>
      </c>
      <c r="AB146" s="59">
        <v>26.848959507877769</v>
      </c>
      <c r="AC146" s="59">
        <v>377.20773739653112</v>
      </c>
      <c r="AD146" s="60">
        <v>323.50981838077553</v>
      </c>
      <c r="AE146" s="61">
        <v>0.94916987706116862</v>
      </c>
      <c r="AF146" s="62">
        <v>4.62778237044889E-2</v>
      </c>
      <c r="AG146" s="62">
        <v>0.99544770076565747</v>
      </c>
      <c r="AH146" s="63">
        <v>0.90289205335667977</v>
      </c>
      <c r="AI146">
        <v>0</v>
      </c>
    </row>
    <row r="147" spans="1:35" x14ac:dyDescent="0.25">
      <c r="M147" s="14"/>
      <c r="N147" s="57"/>
      <c r="Q147" s="57"/>
      <c r="R147" s="57"/>
      <c r="Z147">
        <v>115</v>
      </c>
      <c r="AA147" s="58">
        <v>349.76973439595287</v>
      </c>
      <c r="AB147" s="59">
        <v>26.64163388829575</v>
      </c>
      <c r="AC147" s="59">
        <v>376.41136828424862</v>
      </c>
      <c r="AD147" s="60">
        <v>323.12810050765711</v>
      </c>
      <c r="AE147" s="61">
        <v>0.94765813215754424</v>
      </c>
      <c r="AF147" s="62">
        <v>4.7261427621883401E-2</v>
      </c>
      <c r="AG147" s="62">
        <v>0.99491955977942759</v>
      </c>
      <c r="AH147" s="63">
        <v>0.9003967045356609</v>
      </c>
      <c r="AI147">
        <v>0</v>
      </c>
    </row>
    <row r="148" spans="1:35" x14ac:dyDescent="0.25">
      <c r="M148" s="14"/>
      <c r="N148" s="57"/>
      <c r="Q148" s="57"/>
      <c r="R148" s="57"/>
      <c r="Z148">
        <v>116</v>
      </c>
      <c r="AA148" s="58">
        <v>349.06057774815321</v>
      </c>
      <c r="AB148" s="59">
        <v>26.574994393404037</v>
      </c>
      <c r="AC148" s="59">
        <v>375.63557214155725</v>
      </c>
      <c r="AD148" s="60">
        <v>322.48558335474917</v>
      </c>
      <c r="AE148" s="61">
        <v>0.94582407547541303</v>
      </c>
      <c r="AF148" s="62">
        <v>4.881909506954709E-2</v>
      </c>
      <c r="AG148" s="62">
        <v>0.9946431705449601</v>
      </c>
      <c r="AH148" s="63">
        <v>0.89700498040586596</v>
      </c>
      <c r="AI148">
        <v>0</v>
      </c>
    </row>
    <row r="149" spans="1:35" x14ac:dyDescent="0.25">
      <c r="M149" s="14"/>
      <c r="N149" s="57"/>
      <c r="Q149" s="57"/>
      <c r="R149" s="57"/>
      <c r="Z149">
        <v>117</v>
      </c>
      <c r="AA149" s="58">
        <v>348.21945045343432</v>
      </c>
      <c r="AB149" s="59">
        <v>26.636741296021803</v>
      </c>
      <c r="AC149" s="59">
        <v>374.85619174945612</v>
      </c>
      <c r="AD149" s="60">
        <v>321.58270915741252</v>
      </c>
      <c r="AE149" s="61">
        <v>0.94365423261764414</v>
      </c>
      <c r="AF149" s="62">
        <v>5.118846332651638E-2</v>
      </c>
      <c r="AG149" s="62">
        <v>0.99484269594416053</v>
      </c>
      <c r="AH149" s="63">
        <v>0.89246576929112775</v>
      </c>
      <c r="AI149">
        <v>0</v>
      </c>
    </row>
    <row r="150" spans="1:35" x14ac:dyDescent="0.25">
      <c r="M150" s="14"/>
      <c r="N150" s="57"/>
      <c r="Q150" s="57"/>
      <c r="R150" s="57"/>
      <c r="Z150">
        <v>118</v>
      </c>
      <c r="AA150" s="58">
        <v>347.33714223019206</v>
      </c>
      <c r="AB150" s="59">
        <v>26.916555013245546</v>
      </c>
      <c r="AC150" s="59">
        <v>374.25369724343761</v>
      </c>
      <c r="AD150" s="60">
        <v>320.4205872169465</v>
      </c>
      <c r="AE150" s="61">
        <v>0.94137765205879109</v>
      </c>
      <c r="AF150" s="62">
        <v>5.4253852880870021E-2</v>
      </c>
      <c r="AG150" s="62">
        <v>0.99563150493966113</v>
      </c>
      <c r="AH150" s="63">
        <v>0.88712379917792106</v>
      </c>
      <c r="AI150">
        <v>0</v>
      </c>
    </row>
    <row r="151" spans="1:35" x14ac:dyDescent="0.25">
      <c r="M151" s="14"/>
      <c r="N151" s="57"/>
      <c r="Q151" s="57"/>
      <c r="R151" s="57"/>
      <c r="Z151">
        <v>119</v>
      </c>
      <c r="AA151" s="58">
        <v>346.47669589754133</v>
      </c>
      <c r="AB151" s="59">
        <v>27.438150049015611</v>
      </c>
      <c r="AC151" s="59">
        <v>373.91484594655697</v>
      </c>
      <c r="AD151" s="60">
        <v>319.0385458485257</v>
      </c>
      <c r="AE151" s="61">
        <v>0.93915582095757999</v>
      </c>
      <c r="AF151" s="62">
        <v>5.7841794567276221E-2</v>
      </c>
      <c r="AG151" s="62">
        <v>0.99699761552485622</v>
      </c>
      <c r="AH151" s="63">
        <v>0.88131402639030376</v>
      </c>
      <c r="AI151">
        <v>0</v>
      </c>
    </row>
    <row r="152" spans="1:35" x14ac:dyDescent="0.25">
      <c r="B152" s="7"/>
      <c r="M152" s="14"/>
      <c r="N152" s="57"/>
      <c r="Q152" s="57"/>
      <c r="R152" s="57"/>
      <c r="Z152">
        <v>120</v>
      </c>
      <c r="AA152" s="58">
        <v>345.66985598331416</v>
      </c>
      <c r="AB152" s="59">
        <v>28.107092033312362</v>
      </c>
      <c r="AC152" s="59">
        <v>373.77694801662653</v>
      </c>
      <c r="AD152" s="60">
        <v>317.56276395000179</v>
      </c>
      <c r="AE152" s="61">
        <v>0.93707261768496608</v>
      </c>
      <c r="AF152" s="62">
        <v>6.1587248484656062E-2</v>
      </c>
      <c r="AG152" s="62">
        <v>0.9986598661696221</v>
      </c>
      <c r="AH152" s="63">
        <v>0.87548536920031006</v>
      </c>
      <c r="AI152">
        <v>0</v>
      </c>
    </row>
    <row r="153" spans="1:35" x14ac:dyDescent="0.25">
      <c r="A153" s="79"/>
      <c r="M153" s="14"/>
      <c r="N153" s="57"/>
      <c r="Q153" s="57"/>
      <c r="R153" s="57"/>
      <c r="Z153">
        <v>121</v>
      </c>
      <c r="AA153" s="58">
        <v>344.95393873343613</v>
      </c>
      <c r="AB153" s="59">
        <v>28.796364025100765</v>
      </c>
      <c r="AC153" s="59">
        <v>373.75030275853692</v>
      </c>
      <c r="AD153" s="60">
        <v>316.15757470833535</v>
      </c>
      <c r="AE153" s="61">
        <v>0.93521875104446572</v>
      </c>
      <c r="AF153" s="62">
        <v>6.4975824904571683E-2</v>
      </c>
      <c r="AG153" s="62">
        <v>1.0001945759490374</v>
      </c>
      <c r="AH153" s="63">
        <v>0.87024292613989407</v>
      </c>
      <c r="AI153">
        <v>0</v>
      </c>
    </row>
    <row r="154" spans="1:35" x14ac:dyDescent="0.25">
      <c r="Q154" s="57"/>
      <c r="R154" s="57"/>
      <c r="Z154">
        <v>122</v>
      </c>
      <c r="AA154" s="58">
        <v>344.291828105197</v>
      </c>
      <c r="AB154" s="59">
        <v>29.568631475022137</v>
      </c>
      <c r="AC154" s="59">
        <v>373.86045958021913</v>
      </c>
      <c r="AD154" s="60">
        <v>314.72319663017487</v>
      </c>
      <c r="AE154" s="61">
        <v>0.93350004706736156</v>
      </c>
      <c r="AF154" s="62">
        <v>6.8324378987410159E-2</v>
      </c>
      <c r="AG154" s="62">
        <v>1.0018244260547717</v>
      </c>
      <c r="AH154" s="63">
        <v>0.86517566807995139</v>
      </c>
      <c r="AI154">
        <v>0</v>
      </c>
    </row>
    <row r="155" spans="1:35" x14ac:dyDescent="0.25">
      <c r="A155" s="79"/>
      <c r="M155" s="7"/>
      <c r="N155" s="7"/>
      <c r="Q155" s="57"/>
      <c r="R155" s="57"/>
      <c r="Z155">
        <v>123</v>
      </c>
      <c r="AA155" s="58">
        <v>343.67397618631406</v>
      </c>
      <c r="AB155" s="59">
        <v>30.363046111782889</v>
      </c>
      <c r="AC155" s="59">
        <v>374.03702229809693</v>
      </c>
      <c r="AD155" s="60">
        <v>313.3109300745312</v>
      </c>
      <c r="AE155" s="61">
        <v>0.93189688680542482</v>
      </c>
      <c r="AF155" s="62">
        <v>7.1569969098177713E-2</v>
      </c>
      <c r="AG155" s="62">
        <v>1.0034668559036026</v>
      </c>
      <c r="AH155" s="63">
        <v>0.86032691770724712</v>
      </c>
      <c r="AI155">
        <v>0</v>
      </c>
    </row>
    <row r="156" spans="1:35" x14ac:dyDescent="0.25">
      <c r="Q156" s="57"/>
      <c r="R156" s="57"/>
      <c r="Z156">
        <v>124</v>
      </c>
      <c r="AA156" s="58">
        <v>343.08276480615626</v>
      </c>
      <c r="AB156" s="59">
        <v>31.130401737005535</v>
      </c>
      <c r="AC156" s="59">
        <v>374.21316654316178</v>
      </c>
      <c r="AD156" s="60">
        <v>311.95236306915075</v>
      </c>
      <c r="AE156" s="61">
        <v>0.93035916954530906</v>
      </c>
      <c r="AF156" s="62">
        <v>7.4570654036331341E-2</v>
      </c>
      <c r="AG156" s="62">
        <v>1.0049298235816404</v>
      </c>
      <c r="AH156" s="63">
        <v>0.85578851550897772</v>
      </c>
      <c r="AI156">
        <v>0</v>
      </c>
    </row>
    <row r="157" spans="1:35" x14ac:dyDescent="0.25">
      <c r="Q157" s="57"/>
      <c r="R157" s="57"/>
      <c r="Z157">
        <v>125</v>
      </c>
      <c r="AA157" s="58">
        <v>342.57409746021011</v>
      </c>
      <c r="AB157" s="59">
        <v>31.818678755718611</v>
      </c>
      <c r="AC157" s="59">
        <v>374.39277621592873</v>
      </c>
      <c r="AD157" s="60">
        <v>310.75541870449149</v>
      </c>
      <c r="AE157" s="61">
        <v>0.92903276782251343</v>
      </c>
      <c r="AF157" s="62">
        <v>7.7136471755613209E-2</v>
      </c>
      <c r="AG157" s="62">
        <v>1.0061692395781265</v>
      </c>
      <c r="AH157" s="63">
        <v>0.8518962960669002</v>
      </c>
      <c r="AI157">
        <v>0</v>
      </c>
    </row>
    <row r="158" spans="1:35" x14ac:dyDescent="0.25">
      <c r="M158" s="7"/>
      <c r="Q158" s="57"/>
      <c r="R158" s="57"/>
      <c r="Z158">
        <v>126</v>
      </c>
      <c r="AA158" s="58">
        <v>342.05509118764138</v>
      </c>
      <c r="AB158" s="59">
        <v>32.501253206316775</v>
      </c>
      <c r="AC158" s="59">
        <v>374.55634439395817</v>
      </c>
      <c r="AD158" s="60">
        <v>309.55383798132459</v>
      </c>
      <c r="AE158" s="61">
        <v>0.92767985905770189</v>
      </c>
      <c r="AF158" s="62">
        <v>7.9651967917296007E-2</v>
      </c>
      <c r="AG158" s="62">
        <v>1.007331826974998</v>
      </c>
      <c r="AH158" s="63">
        <v>0.84802789114040589</v>
      </c>
      <c r="AI158">
        <v>0</v>
      </c>
    </row>
    <row r="159" spans="1:35" x14ac:dyDescent="0.25">
      <c r="B159" s="7"/>
      <c r="Q159" s="57"/>
      <c r="R159" s="57"/>
      <c r="Z159">
        <v>127</v>
      </c>
      <c r="AA159" s="58">
        <v>341.66356653474077</v>
      </c>
      <c r="AB159" s="59">
        <v>33.132721337870422</v>
      </c>
      <c r="AC159" s="59">
        <v>374.79628787261117</v>
      </c>
      <c r="AD159" s="60">
        <v>308.53084519687036</v>
      </c>
      <c r="AE159" s="61">
        <v>0.92665336254130415</v>
      </c>
      <c r="AF159" s="62">
        <v>8.1770361845621073E-2</v>
      </c>
      <c r="AG159" s="62">
        <v>1.0084237243869252</v>
      </c>
      <c r="AH159" s="63">
        <v>0.84488300069568312</v>
      </c>
      <c r="AI159">
        <v>0</v>
      </c>
    </row>
    <row r="160" spans="1:35" x14ac:dyDescent="0.25">
      <c r="B160" s="7"/>
      <c r="Q160" s="57"/>
      <c r="R160" s="57"/>
      <c r="Z160">
        <v>128</v>
      </c>
      <c r="AA160" s="58">
        <v>341.28299529293821</v>
      </c>
      <c r="AB160" s="59">
        <v>33.720030125345296</v>
      </c>
      <c r="AC160" s="59">
        <v>375.00302541828353</v>
      </c>
      <c r="AD160" s="60">
        <v>307.56296516759289</v>
      </c>
      <c r="AE160" s="61">
        <v>0.92565454620285303</v>
      </c>
      <c r="AF160" s="62">
        <v>8.3724652869750615E-2</v>
      </c>
      <c r="AG160" s="62">
        <v>1.0093791990726038</v>
      </c>
      <c r="AH160" s="63">
        <v>0.84192989333310242</v>
      </c>
      <c r="AI160">
        <v>0</v>
      </c>
    </row>
    <row r="161" spans="2:35" x14ac:dyDescent="0.25">
      <c r="B161" s="56"/>
      <c r="Q161" s="57"/>
      <c r="R161" s="57"/>
      <c r="Z161">
        <v>129</v>
      </c>
      <c r="AA161" s="58">
        <v>340.87292673656685</v>
      </c>
      <c r="AB161" s="59">
        <v>34.361510842107059</v>
      </c>
      <c r="AC161" s="59">
        <v>375.23443757867392</v>
      </c>
      <c r="AD161" s="60">
        <v>306.51141589445979</v>
      </c>
      <c r="AE161" s="61">
        <v>0.92458279883718586</v>
      </c>
      <c r="AF161" s="62">
        <v>8.5880835590915722E-2</v>
      </c>
      <c r="AG161" s="62">
        <v>1.0104636344281015</v>
      </c>
      <c r="AH161" s="63">
        <v>0.83870196324627011</v>
      </c>
      <c r="AI161">
        <v>0</v>
      </c>
    </row>
    <row r="162" spans="2:35" x14ac:dyDescent="0.25">
      <c r="Q162" s="57"/>
      <c r="R162" s="57"/>
      <c r="Z162">
        <v>130</v>
      </c>
      <c r="AA162" s="58">
        <v>340.53391849999565</v>
      </c>
      <c r="AB162" s="59">
        <v>34.863669975027911</v>
      </c>
      <c r="AC162" s="59">
        <v>375.39758847502355</v>
      </c>
      <c r="AD162" s="60">
        <v>305.67024852496775</v>
      </c>
      <c r="AE162" s="61">
        <v>0.92369205813234168</v>
      </c>
      <c r="AF162" s="62">
        <v>8.7521952508383294E-2</v>
      </c>
      <c r="AG162" s="62">
        <v>1.011214010640725</v>
      </c>
      <c r="AH162" s="63">
        <v>0.83617010562395833</v>
      </c>
      <c r="AI162">
        <v>0</v>
      </c>
    </row>
    <row r="163" spans="2:35" x14ac:dyDescent="0.25">
      <c r="Q163" s="57"/>
      <c r="R163" s="57"/>
      <c r="Z163">
        <v>131</v>
      </c>
      <c r="AA163" s="58">
        <v>340.20061038676931</v>
      </c>
      <c r="AB163" s="59">
        <v>35.399902747779926</v>
      </c>
      <c r="AC163" s="59">
        <v>375.60051313454926</v>
      </c>
      <c r="AD163" s="60">
        <v>304.80070763898937</v>
      </c>
      <c r="AE163" s="61">
        <v>0.92281694492879096</v>
      </c>
      <c r="AF163" s="62">
        <v>8.9240028494315393E-2</v>
      </c>
      <c r="AG163" s="62">
        <v>1.0120569734231064</v>
      </c>
      <c r="AH163" s="63">
        <v>0.83357691643447551</v>
      </c>
      <c r="AI163">
        <v>0</v>
      </c>
    </row>
    <row r="164" spans="2:35" x14ac:dyDescent="0.25">
      <c r="Q164" s="57"/>
      <c r="R164" s="57"/>
      <c r="Z164">
        <v>132</v>
      </c>
      <c r="AA164" s="58">
        <v>339.87352329181425</v>
      </c>
      <c r="AB164" s="59">
        <v>35.932031639489587</v>
      </c>
      <c r="AC164" s="59">
        <v>375.80555493130385</v>
      </c>
      <c r="AD164" s="60">
        <v>303.94149165232466</v>
      </c>
      <c r="AE164" s="61">
        <v>0.92196172692787925</v>
      </c>
      <c r="AF164" s="62">
        <v>9.096557774577041E-2</v>
      </c>
      <c r="AG164" s="62">
        <v>1.0129273046736498</v>
      </c>
      <c r="AH164" s="63">
        <v>0.83099614918210885</v>
      </c>
      <c r="AI164">
        <v>0</v>
      </c>
    </row>
    <row r="165" spans="2:35" x14ac:dyDescent="0.25">
      <c r="Q165" s="57"/>
      <c r="R165" s="57"/>
      <c r="Z165">
        <v>133</v>
      </c>
      <c r="AA165" s="58">
        <v>339.54973500968202</v>
      </c>
      <c r="AB165" s="59">
        <v>36.313624135628729</v>
      </c>
      <c r="AC165" s="59">
        <v>375.86335914531077</v>
      </c>
      <c r="AD165" s="60">
        <v>303.23611087405328</v>
      </c>
      <c r="AE165" s="61">
        <v>0.92111484179210323</v>
      </c>
      <c r="AF165" s="62">
        <v>9.2280254704599843E-2</v>
      </c>
      <c r="AG165" s="62">
        <v>1.0133950964967031</v>
      </c>
      <c r="AH165" s="63">
        <v>0.82883458708750335</v>
      </c>
      <c r="AI165">
        <v>0</v>
      </c>
    </row>
    <row r="166" spans="2:35" x14ac:dyDescent="0.25">
      <c r="Q166" s="57"/>
      <c r="R166" s="57"/>
      <c r="Z166">
        <v>134</v>
      </c>
      <c r="AA166" s="58">
        <v>339.25534261306711</v>
      </c>
      <c r="AB166" s="59">
        <v>36.693009556596628</v>
      </c>
      <c r="AC166" s="59">
        <v>375.94835216966374</v>
      </c>
      <c r="AD166" s="60">
        <v>302.56233305647049</v>
      </c>
      <c r="AE166" s="61">
        <v>0.92034384360261356</v>
      </c>
      <c r="AF166" s="62">
        <v>9.354319802303647E-2</v>
      </c>
      <c r="AG166" s="62">
        <v>1.01388704162565</v>
      </c>
      <c r="AH166" s="63">
        <v>0.82680064557957711</v>
      </c>
      <c r="AI166">
        <v>0</v>
      </c>
    </row>
    <row r="167" spans="2:35" x14ac:dyDescent="0.25">
      <c r="Q167" s="57"/>
      <c r="R167" s="57"/>
      <c r="Z167">
        <v>135</v>
      </c>
      <c r="AA167" s="58">
        <v>338.93606026093664</v>
      </c>
      <c r="AB167" s="59">
        <v>37.073221532126368</v>
      </c>
      <c r="AC167" s="59">
        <v>376.009281793063</v>
      </c>
      <c r="AD167" s="60">
        <v>301.86283872881029</v>
      </c>
      <c r="AE167" s="61">
        <v>0.91950419206774126</v>
      </c>
      <c r="AF167" s="62">
        <v>9.4791652430081891E-2</v>
      </c>
      <c r="AG167" s="62">
        <v>1.0142958444978232</v>
      </c>
      <c r="AH167" s="63">
        <v>0.82471253963765934</v>
      </c>
      <c r="AI167">
        <v>0</v>
      </c>
    </row>
    <row r="168" spans="2:35" x14ac:dyDescent="0.25">
      <c r="Q168" s="57"/>
      <c r="R168" s="57"/>
      <c r="Z168">
        <v>136</v>
      </c>
      <c r="AA168" s="58">
        <v>338.50188946594005</v>
      </c>
      <c r="AB168" s="59">
        <v>37.450308999660848</v>
      </c>
      <c r="AC168" s="59">
        <v>375.95219846560087</v>
      </c>
      <c r="AD168" s="60">
        <v>301.05158046627923</v>
      </c>
      <c r="AE168" s="61">
        <v>0.91834673100428255</v>
      </c>
      <c r="AF168" s="62">
        <v>9.5960114975107438E-2</v>
      </c>
      <c r="AG168" s="62">
        <v>1.01430684597939</v>
      </c>
      <c r="AH168" s="63">
        <v>0.82238661602917507</v>
      </c>
      <c r="AI168">
        <v>0</v>
      </c>
    </row>
    <row r="169" spans="2:35" x14ac:dyDescent="0.25">
      <c r="Q169" s="57"/>
      <c r="R169" s="57"/>
      <c r="Z169">
        <v>137</v>
      </c>
      <c r="AA169" s="58">
        <v>338.15046954855654</v>
      </c>
      <c r="AB169" s="59">
        <v>37.765688063289957</v>
      </c>
      <c r="AC169" s="59">
        <v>375.91615761184653</v>
      </c>
      <c r="AD169" s="60">
        <v>300.38478148526656</v>
      </c>
      <c r="AE169" s="61">
        <v>0.91740556546537422</v>
      </c>
      <c r="AF169" s="62">
        <v>9.6888444920777278E-2</v>
      </c>
      <c r="AG169" s="62">
        <v>1.0142940103861515</v>
      </c>
      <c r="AH169" s="63">
        <v>0.82051712054459691</v>
      </c>
      <c r="AI169">
        <v>0</v>
      </c>
    </row>
    <row r="170" spans="2:35" x14ac:dyDescent="0.25">
      <c r="Q170" s="57"/>
      <c r="R170" s="57"/>
      <c r="Z170">
        <v>138</v>
      </c>
      <c r="AA170" s="58">
        <v>337.8263284344398</v>
      </c>
      <c r="AB170" s="59">
        <v>38.105510828837126</v>
      </c>
      <c r="AC170" s="59">
        <v>375.93183926327691</v>
      </c>
      <c r="AD170" s="60">
        <v>299.72081760560269</v>
      </c>
      <c r="AE170" s="61">
        <v>0.91655263073552573</v>
      </c>
      <c r="AF170" s="62">
        <v>9.8014027362937878E-2</v>
      </c>
      <c r="AG170" s="62">
        <v>1.0145666580984636</v>
      </c>
      <c r="AH170" s="63">
        <v>0.81853860337258788</v>
      </c>
      <c r="AI170">
        <v>0</v>
      </c>
    </row>
    <row r="171" spans="2:35" x14ac:dyDescent="0.25">
      <c r="Q171" s="57"/>
      <c r="R171" s="57"/>
      <c r="Z171">
        <v>139</v>
      </c>
      <c r="AA171" s="58">
        <v>337.58452829195829</v>
      </c>
      <c r="AB171" s="59">
        <v>38.348264153963221</v>
      </c>
      <c r="AC171" s="59">
        <v>375.93279244592151</v>
      </c>
      <c r="AD171" s="60">
        <v>299.23626413799508</v>
      </c>
      <c r="AE171" s="61">
        <v>0.91591201287894564</v>
      </c>
      <c r="AF171" s="62">
        <v>9.8782412047578719E-2</v>
      </c>
      <c r="AG171" s="62">
        <v>1.0146944249265244</v>
      </c>
      <c r="AH171" s="63">
        <v>0.81712960083136688</v>
      </c>
      <c r="AI171">
        <v>0</v>
      </c>
    </row>
    <row r="172" spans="2:35" x14ac:dyDescent="0.25">
      <c r="Q172" s="57"/>
      <c r="R172" s="57"/>
      <c r="Z172">
        <v>140</v>
      </c>
      <c r="AA172" s="58">
        <v>337.27310895634542</v>
      </c>
      <c r="AB172" s="59">
        <v>38.658056041608141</v>
      </c>
      <c r="AC172" s="59">
        <v>375.93116499795354</v>
      </c>
      <c r="AD172" s="60">
        <v>298.6150529147373</v>
      </c>
      <c r="AE172" s="61">
        <v>0.91509375507289292</v>
      </c>
      <c r="AF172" s="62">
        <v>9.9825524573652277E-2</v>
      </c>
      <c r="AG172" s="62">
        <v>1.0149192796465452</v>
      </c>
      <c r="AH172" s="63">
        <v>0.81526823049924069</v>
      </c>
      <c r="AI172">
        <v>0</v>
      </c>
    </row>
    <row r="173" spans="2:35" x14ac:dyDescent="0.25">
      <c r="Q173" s="57"/>
      <c r="R173" s="57"/>
      <c r="Z173">
        <v>141</v>
      </c>
      <c r="AA173" s="58">
        <v>337.00022914463506</v>
      </c>
      <c r="AB173" s="59">
        <v>38.960387231685495</v>
      </c>
      <c r="AC173" s="59">
        <v>375.96061637632056</v>
      </c>
      <c r="AD173" s="60">
        <v>298.03984191294956</v>
      </c>
      <c r="AE173" s="61">
        <v>0.91437767013921201</v>
      </c>
      <c r="AF173" s="62">
        <v>0.10082282885450036</v>
      </c>
      <c r="AG173" s="62">
        <v>1.0152004989937125</v>
      </c>
      <c r="AH173" s="63">
        <v>0.81355484128471167</v>
      </c>
      <c r="AI173">
        <v>0</v>
      </c>
    </row>
    <row r="174" spans="2:35" x14ac:dyDescent="0.25">
      <c r="Q174" s="57"/>
      <c r="R174" s="57"/>
      <c r="Z174">
        <v>142</v>
      </c>
      <c r="AA174" s="58">
        <v>336.75864249570878</v>
      </c>
      <c r="AB174" s="59">
        <v>39.175179524373767</v>
      </c>
      <c r="AC174" s="59">
        <v>375.93382202008257</v>
      </c>
      <c r="AD174" s="60">
        <v>297.583462971335</v>
      </c>
      <c r="AE174" s="61">
        <v>0.91374182041404517</v>
      </c>
      <c r="AF174" s="62">
        <v>0.10155119659744791</v>
      </c>
      <c r="AG174" s="62">
        <v>1.0152930170114931</v>
      </c>
      <c r="AH174" s="63">
        <v>0.81219062381659723</v>
      </c>
      <c r="AI174">
        <v>0</v>
      </c>
    </row>
    <row r="175" spans="2:35" x14ac:dyDescent="0.25">
      <c r="Q175" s="57"/>
      <c r="R175" s="57"/>
      <c r="Z175">
        <v>143</v>
      </c>
      <c r="AA175" s="58">
        <v>336.51892761746166</v>
      </c>
      <c r="AB175" s="59">
        <v>39.395481336915452</v>
      </c>
      <c r="AC175" s="59">
        <v>375.91440895437711</v>
      </c>
      <c r="AD175" s="60">
        <v>297.1234462805462</v>
      </c>
      <c r="AE175" s="61">
        <v>0.91310799292391787</v>
      </c>
      <c r="AF175" s="62">
        <v>0.10226376056427983</v>
      </c>
      <c r="AG175" s="62">
        <v>1.0153717534881976</v>
      </c>
      <c r="AH175" s="63">
        <v>0.8108442323596381</v>
      </c>
      <c r="AI175">
        <v>0</v>
      </c>
    </row>
    <row r="176" spans="2:35" x14ac:dyDescent="0.25">
      <c r="Q176" s="57"/>
      <c r="R176" s="57"/>
      <c r="Z176">
        <v>144</v>
      </c>
      <c r="AA176" s="58">
        <v>336.29927183340618</v>
      </c>
      <c r="AB176" s="59">
        <v>39.653767739381209</v>
      </c>
      <c r="AC176" s="59">
        <v>375.95303957278736</v>
      </c>
      <c r="AD176" s="60">
        <v>296.645504094025</v>
      </c>
      <c r="AE176" s="61">
        <v>0.91252785864331287</v>
      </c>
      <c r="AF176" s="62">
        <v>0.10306364984111931</v>
      </c>
      <c r="AG176" s="62">
        <v>1.0155915084844322</v>
      </c>
      <c r="AH176" s="63">
        <v>0.80946420880219361</v>
      </c>
      <c r="AI176">
        <v>0</v>
      </c>
    </row>
    <row r="177" spans="17:35" x14ac:dyDescent="0.25">
      <c r="Q177" s="57"/>
      <c r="R177" s="57"/>
      <c r="Z177">
        <v>145</v>
      </c>
      <c r="AA177" s="58">
        <v>336.06516919234713</v>
      </c>
      <c r="AB177" s="59">
        <v>39.889287892804361</v>
      </c>
      <c r="AC177" s="59">
        <v>375.95445708515149</v>
      </c>
      <c r="AD177" s="60">
        <v>296.17588129954277</v>
      </c>
      <c r="AE177" s="61">
        <v>0.91191033407999711</v>
      </c>
      <c r="AF177" s="62">
        <v>0.10382023071997135</v>
      </c>
      <c r="AG177" s="62">
        <v>1.0157305647999684</v>
      </c>
      <c r="AH177" s="63">
        <v>0.80809010336002574</v>
      </c>
      <c r="AI177">
        <v>0</v>
      </c>
    </row>
    <row r="178" spans="17:35" x14ac:dyDescent="0.25">
      <c r="Q178" s="57"/>
      <c r="R178" s="57"/>
      <c r="Z178">
        <v>146</v>
      </c>
      <c r="AA178" s="58">
        <v>335.85632211836133</v>
      </c>
      <c r="AB178" s="59">
        <v>40.08193955498615</v>
      </c>
      <c r="AC178" s="59">
        <v>375.93826167334748</v>
      </c>
      <c r="AD178" s="60">
        <v>295.77438256337518</v>
      </c>
      <c r="AE178" s="61">
        <v>0.91135254489119211</v>
      </c>
      <c r="AF178" s="62">
        <v>0.10438943736120997</v>
      </c>
      <c r="AG178" s="62">
        <v>1.0157419822524021</v>
      </c>
      <c r="AH178" s="63">
        <v>0.80696310752998213</v>
      </c>
      <c r="AI178">
        <v>0</v>
      </c>
    </row>
    <row r="179" spans="17:35" x14ac:dyDescent="0.25">
      <c r="Q179" s="57"/>
      <c r="R179" s="57"/>
      <c r="Z179">
        <v>147</v>
      </c>
      <c r="AA179" s="58">
        <v>335.63761428524208</v>
      </c>
      <c r="AB179" s="59">
        <v>40.295199910635723</v>
      </c>
      <c r="AC179" s="59">
        <v>375.93281419587782</v>
      </c>
      <c r="AD179" s="60">
        <v>295.34241437460634</v>
      </c>
      <c r="AE179" s="61">
        <v>0.91076219600155206</v>
      </c>
      <c r="AF179" s="62">
        <v>0.1049592968542403</v>
      </c>
      <c r="AG179" s="62">
        <v>1.0157214928557923</v>
      </c>
      <c r="AH179" s="63">
        <v>0.80580289914731174</v>
      </c>
      <c r="AI179">
        <v>0</v>
      </c>
    </row>
    <row r="180" spans="17:35" x14ac:dyDescent="0.25">
      <c r="Q180" s="57"/>
      <c r="R180" s="57"/>
      <c r="Z180">
        <v>148</v>
      </c>
      <c r="AA180" s="58">
        <v>335.48136964711631</v>
      </c>
      <c r="AB180" s="59">
        <v>40.49368054081841</v>
      </c>
      <c r="AC180" s="59">
        <v>375.9750501879347</v>
      </c>
      <c r="AD180" s="60">
        <v>294.98768910629792</v>
      </c>
      <c r="AE180" s="61">
        <v>0.91033329486502279</v>
      </c>
      <c r="AF180" s="62">
        <v>0.10541894329956329</v>
      </c>
      <c r="AG180" s="62">
        <v>1.015752238164586</v>
      </c>
      <c r="AH180" s="63">
        <v>0.80491435156545954</v>
      </c>
      <c r="AI180">
        <v>0</v>
      </c>
    </row>
    <row r="181" spans="17:35" x14ac:dyDescent="0.25">
      <c r="Q181" s="57"/>
      <c r="R181" s="57"/>
      <c r="Z181">
        <v>149</v>
      </c>
      <c r="AA181" s="58">
        <v>335.27411221639312</v>
      </c>
      <c r="AB181" s="59">
        <v>40.772656683629883</v>
      </c>
      <c r="AC181" s="59">
        <v>376.04676890002298</v>
      </c>
      <c r="AD181" s="60">
        <v>294.50145553276326</v>
      </c>
      <c r="AE181" s="61">
        <v>0.90977419641367119</v>
      </c>
      <c r="AF181" s="62">
        <v>0.10615547164602371</v>
      </c>
      <c r="AG181" s="62">
        <v>1.015929668059695</v>
      </c>
      <c r="AH181" s="63">
        <v>0.80361872476764751</v>
      </c>
      <c r="AI181">
        <v>0</v>
      </c>
    </row>
    <row r="182" spans="17:35" x14ac:dyDescent="0.25">
      <c r="Q182" s="57"/>
      <c r="R182" s="57"/>
      <c r="Z182">
        <v>150</v>
      </c>
      <c r="AA182" s="58">
        <v>335.11789975512215</v>
      </c>
      <c r="AB182" s="59">
        <v>40.946353015812726</v>
      </c>
      <c r="AC182" s="59">
        <v>376.0642527709349</v>
      </c>
      <c r="AD182" s="60">
        <v>294.17154673930941</v>
      </c>
      <c r="AE182" s="61">
        <v>0.90934722909823373</v>
      </c>
      <c r="AF182" s="62">
        <v>0.10656907062590908</v>
      </c>
      <c r="AG182" s="62">
        <v>1.0159162997241429</v>
      </c>
      <c r="AH182" s="63">
        <v>0.8027781584723247</v>
      </c>
      <c r="AI182">
        <v>0</v>
      </c>
    </row>
    <row r="183" spans="17:35" x14ac:dyDescent="0.25">
      <c r="Q183" s="57"/>
      <c r="R183" s="57"/>
      <c r="Z183">
        <v>151</v>
      </c>
      <c r="AA183" s="58">
        <v>334.99551254929111</v>
      </c>
      <c r="AB183" s="59">
        <v>41.085245228759554</v>
      </c>
      <c r="AC183" s="59">
        <v>376.08075777805067</v>
      </c>
      <c r="AD183" s="60">
        <v>293.91026732053155</v>
      </c>
      <c r="AE183" s="61">
        <v>0.90900331212736107</v>
      </c>
      <c r="AF183" s="62">
        <v>0.10681593925543043</v>
      </c>
      <c r="AG183" s="62">
        <v>1.0158192513827915</v>
      </c>
      <c r="AH183" s="63">
        <v>0.80218737287193065</v>
      </c>
      <c r="AI183">
        <v>0</v>
      </c>
    </row>
    <row r="184" spans="17:35" x14ac:dyDescent="0.25">
      <c r="Q184" s="57"/>
      <c r="R184" s="57"/>
      <c r="Z184">
        <v>152</v>
      </c>
      <c r="AA184" s="58">
        <v>334.76200802960653</v>
      </c>
      <c r="AB184" s="59">
        <v>41.208141796234202</v>
      </c>
      <c r="AC184" s="59">
        <v>375.97014982584074</v>
      </c>
      <c r="AD184" s="60">
        <v>293.55386623337233</v>
      </c>
      <c r="AE184" s="61">
        <v>0.90833814553175296</v>
      </c>
      <c r="AF184" s="62">
        <v>0.10682960627839602</v>
      </c>
      <c r="AG184" s="62">
        <v>1.015167751810149</v>
      </c>
      <c r="AH184" s="63">
        <v>0.80150853925335697</v>
      </c>
      <c r="AI184">
        <v>0</v>
      </c>
    </row>
    <row r="185" spans="17:35" x14ac:dyDescent="0.25">
      <c r="Q185" s="57"/>
      <c r="R185" s="57"/>
      <c r="Z185">
        <v>153</v>
      </c>
      <c r="AA185" s="58">
        <v>334.425018118894</v>
      </c>
      <c r="AB185" s="59">
        <v>41.38897702534819</v>
      </c>
      <c r="AC185" s="59">
        <v>375.8139951442422</v>
      </c>
      <c r="AD185" s="60">
        <v>293.0360410935458</v>
      </c>
      <c r="AE185" s="61">
        <v>0.90734825847659251</v>
      </c>
      <c r="AF185" s="62">
        <v>0.10658548440932394</v>
      </c>
      <c r="AG185" s="62">
        <v>1.0139337428859165</v>
      </c>
      <c r="AH185" s="63">
        <v>0.80076277406726859</v>
      </c>
      <c r="AI185">
        <v>0</v>
      </c>
    </row>
    <row r="186" spans="17:35" x14ac:dyDescent="0.25">
      <c r="Q186" s="57"/>
      <c r="R186" s="57"/>
      <c r="Z186">
        <v>154</v>
      </c>
      <c r="AA186" s="58">
        <v>333.91304277649618</v>
      </c>
      <c r="AB186" s="59">
        <v>41.433550282412227</v>
      </c>
      <c r="AC186" s="59">
        <v>375.34659305890841</v>
      </c>
      <c r="AD186" s="60">
        <v>292.47949249408396</v>
      </c>
      <c r="AE186" s="61">
        <v>0.9058709576781464</v>
      </c>
      <c r="AF186" s="62">
        <v>0.10588539099513788</v>
      </c>
      <c r="AG186" s="62">
        <v>1.0117563486732843</v>
      </c>
      <c r="AH186" s="63">
        <v>0.79998556668300846</v>
      </c>
      <c r="AI186">
        <v>0</v>
      </c>
    </row>
    <row r="187" spans="17:35" x14ac:dyDescent="0.25">
      <c r="Q187" s="57"/>
      <c r="R187" s="57"/>
      <c r="Z187">
        <v>155</v>
      </c>
      <c r="AA187" s="58">
        <v>333.20291762251094</v>
      </c>
      <c r="AB187" s="59">
        <v>41.269876308054762</v>
      </c>
      <c r="AC187" s="59">
        <v>374.47279393056567</v>
      </c>
      <c r="AD187" s="60">
        <v>291.9330413144562</v>
      </c>
      <c r="AE187" s="61">
        <v>0.90388389402950153</v>
      </c>
      <c r="AF187" s="62">
        <v>0.10490893866349318</v>
      </c>
      <c r="AG187" s="62">
        <v>1.0087928326929947</v>
      </c>
      <c r="AH187" s="63">
        <v>0.79897495536600838</v>
      </c>
      <c r="AI187">
        <v>0.12892818030856007</v>
      </c>
    </row>
    <row r="188" spans="17:35" x14ac:dyDescent="0.25">
      <c r="Q188" s="57"/>
      <c r="R188" s="57"/>
      <c r="Z188">
        <v>156</v>
      </c>
      <c r="AA188" s="58">
        <v>332.35891763360411</v>
      </c>
      <c r="AB188" s="59">
        <v>41.101985258011389</v>
      </c>
      <c r="AC188" s="59">
        <v>373.46090289161549</v>
      </c>
      <c r="AD188" s="60">
        <v>291.25693237559273</v>
      </c>
      <c r="AE188" s="61">
        <v>0.90154906243229049</v>
      </c>
      <c r="AF188" s="62">
        <v>0.10407213001513246</v>
      </c>
      <c r="AG188" s="62">
        <v>1.005621192447423</v>
      </c>
      <c r="AH188" s="63">
        <v>0.797476932417158</v>
      </c>
      <c r="AI188">
        <v>1.343020340561691</v>
      </c>
    </row>
    <row r="189" spans="17:35" x14ac:dyDescent="0.25">
      <c r="Q189" s="57"/>
      <c r="R189" s="57"/>
      <c r="Z189">
        <v>157</v>
      </c>
      <c r="AA189" s="58">
        <v>331.41309215319484</v>
      </c>
      <c r="AB189" s="59">
        <v>40.808272473762202</v>
      </c>
      <c r="AC189" s="59">
        <v>372.22136462695704</v>
      </c>
      <c r="AD189" s="60">
        <v>290.60481967943264</v>
      </c>
      <c r="AE189" s="61">
        <v>0.89894537935893981</v>
      </c>
      <c r="AF189" s="62">
        <v>0.10298409570414038</v>
      </c>
      <c r="AG189" s="62">
        <v>1.0019294750630803</v>
      </c>
      <c r="AH189" s="63">
        <v>0.79596128365479946</v>
      </c>
      <c r="AI189">
        <v>2.8022438841051667</v>
      </c>
    </row>
    <row r="190" spans="17:35" x14ac:dyDescent="0.25">
      <c r="Q190" s="57"/>
      <c r="R190" s="57"/>
      <c r="Z190">
        <v>158</v>
      </c>
      <c r="AA190" s="58">
        <v>330.38923757677173</v>
      </c>
      <c r="AB190" s="59">
        <v>40.464423272443163</v>
      </c>
      <c r="AC190" s="59">
        <v>370.85366084921492</v>
      </c>
      <c r="AD190" s="60">
        <v>289.92481430432855</v>
      </c>
      <c r="AE190" s="61">
        <v>0.89616846000723449</v>
      </c>
      <c r="AF190" s="62">
        <v>0.10211255350637351</v>
      </c>
      <c r="AG190" s="62">
        <v>0.99828101351360798</v>
      </c>
      <c r="AH190" s="63">
        <v>0.794055906500861</v>
      </c>
      <c r="AI190">
        <v>4.2614674276486433</v>
      </c>
    </row>
    <row r="191" spans="17:35" x14ac:dyDescent="0.25">
      <c r="Q191" s="57"/>
      <c r="R191" s="57"/>
      <c r="Z191">
        <v>159</v>
      </c>
      <c r="AA191" s="58">
        <v>329.20605378494662</v>
      </c>
      <c r="AB191" s="59">
        <v>40.080869224612769</v>
      </c>
      <c r="AC191" s="59">
        <v>369.28692300955936</v>
      </c>
      <c r="AD191" s="60">
        <v>289.12518456033388</v>
      </c>
      <c r="AE191" s="61">
        <v>0.89297344085814678</v>
      </c>
      <c r="AF191" s="62">
        <v>0.1012819696299337</v>
      </c>
      <c r="AG191" s="62">
        <v>0.99425541048808053</v>
      </c>
      <c r="AH191" s="63">
        <v>0.79169147122821304</v>
      </c>
      <c r="AI191">
        <v>5.7206909711921181</v>
      </c>
    </row>
    <row r="192" spans="17:35" x14ac:dyDescent="0.25">
      <c r="Q192" s="57"/>
      <c r="R192" s="57"/>
      <c r="Z192">
        <v>160</v>
      </c>
      <c r="AA192" s="58">
        <v>328.02729033849897</v>
      </c>
      <c r="AB192" s="59">
        <v>39.688668095294652</v>
      </c>
      <c r="AC192" s="59">
        <v>367.71595843379362</v>
      </c>
      <c r="AD192" s="60">
        <v>288.33862224320433</v>
      </c>
      <c r="AE192" s="61">
        <v>0.88981075014536926</v>
      </c>
      <c r="AF192" s="62">
        <v>0.10061344296329272</v>
      </c>
      <c r="AG192" s="62">
        <v>0.99042419310866192</v>
      </c>
      <c r="AH192" s="63">
        <v>0.78919730718207659</v>
      </c>
      <c r="AI192">
        <v>6.8580408356998195</v>
      </c>
    </row>
    <row r="193" spans="17:35" x14ac:dyDescent="0.25">
      <c r="Q193" s="57"/>
      <c r="R193" s="57"/>
      <c r="Z193">
        <v>161</v>
      </c>
      <c r="AA193" s="58">
        <v>326.75826234524828</v>
      </c>
      <c r="AB193" s="59">
        <v>39.382301098730835</v>
      </c>
      <c r="AC193" s="59">
        <v>366.14056344397909</v>
      </c>
      <c r="AD193" s="60">
        <v>287.37596124651748</v>
      </c>
      <c r="AE193" s="61">
        <v>0.8863981399750166</v>
      </c>
      <c r="AF193" s="62">
        <v>0.10014278391807711</v>
      </c>
      <c r="AG193" s="62">
        <v>0.98654092389309367</v>
      </c>
      <c r="AH193" s="63">
        <v>0.78625535605693953</v>
      </c>
      <c r="AI193">
        <v>7.9760995601102298</v>
      </c>
    </row>
    <row r="194" spans="17:35" x14ac:dyDescent="0.25">
      <c r="Q194" s="57"/>
      <c r="R194" s="57"/>
      <c r="Z194">
        <v>162</v>
      </c>
      <c r="AA194" s="58">
        <v>325.37656849220747</v>
      </c>
      <c r="AB194" s="59">
        <v>39.098788752719145</v>
      </c>
      <c r="AC194" s="59">
        <v>364.47535724492661</v>
      </c>
      <c r="AD194" s="60">
        <v>286.27777973948832</v>
      </c>
      <c r="AE194" s="61">
        <v>0.88268958229007444</v>
      </c>
      <c r="AF194" s="62">
        <v>9.9839565655483103E-2</v>
      </c>
      <c r="AG194" s="62">
        <v>0.98252914794555757</v>
      </c>
      <c r="AH194" s="63">
        <v>0.78285001663459131</v>
      </c>
      <c r="AI194">
        <v>11.623059375217204</v>
      </c>
    </row>
    <row r="195" spans="17:35" x14ac:dyDescent="0.25">
      <c r="Q195" s="57"/>
      <c r="R195" s="57"/>
      <c r="Z195">
        <v>163</v>
      </c>
      <c r="AA195" s="58">
        <v>324.05096560207681</v>
      </c>
      <c r="AB195" s="59">
        <v>38.737804866779591</v>
      </c>
      <c r="AC195" s="59">
        <v>362.7887704688564</v>
      </c>
      <c r="AD195" s="60">
        <v>285.31316073529723</v>
      </c>
      <c r="AE195" s="61">
        <v>0.87914552578225014</v>
      </c>
      <c r="AF195" s="62">
        <v>9.9457298105646838E-2</v>
      </c>
      <c r="AG195" s="62">
        <v>0.97860282388789699</v>
      </c>
      <c r="AH195" s="63">
        <v>0.77968822767660328</v>
      </c>
      <c r="AI195">
        <v>8.0186325065053818</v>
      </c>
    </row>
    <row r="196" spans="17:35" x14ac:dyDescent="0.25">
      <c r="Q196" s="57"/>
      <c r="R196" s="57"/>
      <c r="Z196">
        <v>164</v>
      </c>
      <c r="AA196" s="58">
        <v>322.704014340882</v>
      </c>
      <c r="AB196" s="59">
        <v>38.346865652358169</v>
      </c>
      <c r="AC196" s="59">
        <v>361.05087999324019</v>
      </c>
      <c r="AD196" s="60">
        <v>284.35714868852381</v>
      </c>
      <c r="AE196" s="61">
        <v>0.87554604409438486</v>
      </c>
      <c r="AF196" s="62">
        <v>9.9034851804843921E-2</v>
      </c>
      <c r="AG196" s="62">
        <v>0.97458089589922881</v>
      </c>
      <c r="AH196" s="63">
        <v>0.77651119228954091</v>
      </c>
      <c r="AI196">
        <v>6.0093046365416001</v>
      </c>
    </row>
    <row r="197" spans="17:35" x14ac:dyDescent="0.25">
      <c r="Q197" s="57"/>
      <c r="R197" s="57"/>
      <c r="Z197">
        <v>165</v>
      </c>
      <c r="AA197" s="58">
        <v>321.28459316327053</v>
      </c>
      <c r="AB197" s="59">
        <v>38.035432296182947</v>
      </c>
      <c r="AC197" s="59">
        <v>359.32002545945346</v>
      </c>
      <c r="AD197" s="60">
        <v>283.2491608670876</v>
      </c>
      <c r="AE197" s="61">
        <v>0.87176179248725516</v>
      </c>
      <c r="AF197" s="62">
        <v>9.8930017805836989E-2</v>
      </c>
      <c r="AG197" s="62">
        <v>0.97069181029309215</v>
      </c>
      <c r="AH197" s="63">
        <v>0.77283177468141817</v>
      </c>
      <c r="AI197">
        <v>5.6547906143645843</v>
      </c>
    </row>
    <row r="198" spans="17:35" x14ac:dyDescent="0.25">
      <c r="Q198" s="57"/>
      <c r="R198" s="57"/>
      <c r="Z198">
        <v>166</v>
      </c>
      <c r="AA198" s="58">
        <v>319.87113838008275</v>
      </c>
      <c r="AB198" s="59">
        <v>37.870196634172686</v>
      </c>
      <c r="AC198" s="59">
        <v>357.74133501425547</v>
      </c>
      <c r="AD198" s="60">
        <v>282.00094174591004</v>
      </c>
      <c r="AE198" s="61">
        <v>0.86798544378271858</v>
      </c>
      <c r="AF198" s="62">
        <v>9.911312445773042E-2</v>
      </c>
      <c r="AG198" s="62">
        <v>0.96709856824044904</v>
      </c>
      <c r="AH198" s="63">
        <v>0.76887231932498812</v>
      </c>
      <c r="AI198">
        <v>4.4641926843188913E-2</v>
      </c>
    </row>
    <row r="199" spans="17:35" x14ac:dyDescent="0.25">
      <c r="Q199" s="57"/>
      <c r="R199" s="57"/>
      <c r="Z199">
        <v>167</v>
      </c>
      <c r="AA199" s="58">
        <v>318.45129645586621</v>
      </c>
      <c r="AB199" s="59">
        <v>37.662241123314779</v>
      </c>
      <c r="AC199" s="59">
        <v>356.11353757918101</v>
      </c>
      <c r="AD199" s="60">
        <v>280.78905533255141</v>
      </c>
      <c r="AE199" s="61">
        <v>0.86419785001944138</v>
      </c>
      <c r="AF199" s="62">
        <v>9.9233727952030282E-2</v>
      </c>
      <c r="AG199" s="62">
        <v>0.96343157797147172</v>
      </c>
      <c r="AH199" s="63">
        <v>0.76496412206741105</v>
      </c>
      <c r="AI199">
        <v>0</v>
      </c>
    </row>
    <row r="200" spans="17:35" x14ac:dyDescent="0.25">
      <c r="Q200" s="57"/>
      <c r="R200" s="57"/>
      <c r="Z200">
        <v>168</v>
      </c>
      <c r="AA200" s="58">
        <v>317.00046832966405</v>
      </c>
      <c r="AB200" s="59">
        <v>37.628813397949472</v>
      </c>
      <c r="AC200" s="59">
        <v>354.62928172761349</v>
      </c>
      <c r="AD200" s="60">
        <v>279.3716549317146</v>
      </c>
      <c r="AE200" s="61">
        <v>0.8603346793220501</v>
      </c>
      <c r="AF200" s="62">
        <v>9.9885287877378354E-2</v>
      </c>
      <c r="AG200" s="62">
        <v>0.96021996719942848</v>
      </c>
      <c r="AH200" s="63">
        <v>0.76044939144467172</v>
      </c>
      <c r="AI200">
        <v>0</v>
      </c>
    </row>
    <row r="201" spans="17:35" x14ac:dyDescent="0.25">
      <c r="Q201" s="57"/>
      <c r="R201" s="57"/>
      <c r="Z201">
        <v>169</v>
      </c>
      <c r="AA201" s="58">
        <v>315.51698118439589</v>
      </c>
      <c r="AB201" s="59">
        <v>37.656719926827023</v>
      </c>
      <c r="AC201" s="59">
        <v>353.1737011112229</v>
      </c>
      <c r="AD201" s="60">
        <v>277.86026125756888</v>
      </c>
      <c r="AE201" s="61">
        <v>0.8563973153666925</v>
      </c>
      <c r="AF201" s="62">
        <v>0.10082915257547838</v>
      </c>
      <c r="AG201" s="62">
        <v>0.95722646794217092</v>
      </c>
      <c r="AH201" s="63">
        <v>0.75556816279121408</v>
      </c>
      <c r="AI201">
        <v>0</v>
      </c>
    </row>
    <row r="202" spans="17:35" x14ac:dyDescent="0.25">
      <c r="Q202" s="57"/>
      <c r="R202" s="57"/>
      <c r="Z202">
        <v>170</v>
      </c>
      <c r="AA202" s="58">
        <v>314.054949907214</v>
      </c>
      <c r="AB202" s="59">
        <v>37.760265796904143</v>
      </c>
      <c r="AC202" s="59">
        <v>351.81521570411815</v>
      </c>
      <c r="AD202" s="60">
        <v>276.29468411030984</v>
      </c>
      <c r="AE202" s="61">
        <v>0.85250503012565104</v>
      </c>
      <c r="AF202" s="62">
        <v>0.10185360969545205</v>
      </c>
      <c r="AG202" s="62">
        <v>0.95435863982110314</v>
      </c>
      <c r="AH202" s="63">
        <v>0.75065142043019895</v>
      </c>
      <c r="AI202">
        <v>0</v>
      </c>
    </row>
    <row r="203" spans="17:35" x14ac:dyDescent="0.25">
      <c r="Q203" s="57"/>
      <c r="R203" s="57"/>
      <c r="Z203">
        <v>171</v>
      </c>
      <c r="AA203" s="58">
        <v>312.53997095055439</v>
      </c>
      <c r="AB203" s="59">
        <v>37.943398129124368</v>
      </c>
      <c r="AC203" s="59">
        <v>350.48336907967877</v>
      </c>
      <c r="AD203" s="60">
        <v>274.59657282143002</v>
      </c>
      <c r="AE203" s="61">
        <v>0.84846976116853445</v>
      </c>
      <c r="AF203" s="62">
        <v>0.10307554408348098</v>
      </c>
      <c r="AG203" s="62">
        <v>0.95154530525201542</v>
      </c>
      <c r="AH203" s="63">
        <v>0.74539421708505349</v>
      </c>
      <c r="AI203">
        <v>0</v>
      </c>
    </row>
    <row r="204" spans="17:35" x14ac:dyDescent="0.25">
      <c r="Q204" s="57"/>
      <c r="R204" s="57"/>
      <c r="Z204">
        <v>172</v>
      </c>
      <c r="AA204" s="58">
        <v>311.05783130287483</v>
      </c>
      <c r="AB204" s="59">
        <v>38.121327438729899</v>
      </c>
      <c r="AC204" s="59">
        <v>349.17915874160474</v>
      </c>
      <c r="AD204" s="60">
        <v>272.93650386414492</v>
      </c>
      <c r="AE204" s="61">
        <v>0.84452596006571123</v>
      </c>
      <c r="AF204" s="62">
        <v>0.10429598071028134</v>
      </c>
      <c r="AG204" s="62">
        <v>0.94882194077599258</v>
      </c>
      <c r="AH204" s="63">
        <v>0.74022997935542989</v>
      </c>
      <c r="AI204">
        <v>0</v>
      </c>
    </row>
    <row r="205" spans="17:35" x14ac:dyDescent="0.25">
      <c r="Q205" s="57"/>
      <c r="R205" s="57"/>
      <c r="Z205">
        <v>173</v>
      </c>
      <c r="AA205" s="58">
        <v>309.60656551176504</v>
      </c>
      <c r="AB205" s="59">
        <v>38.425331320958406</v>
      </c>
      <c r="AC205" s="59">
        <v>348.03189683272342</v>
      </c>
      <c r="AD205" s="60">
        <v>271.18123419080666</v>
      </c>
      <c r="AE205" s="61">
        <v>0.84065766209286663</v>
      </c>
      <c r="AF205" s="62">
        <v>0.10575944572996486</v>
      </c>
      <c r="AG205" s="62">
        <v>0.9464171078228315</v>
      </c>
      <c r="AH205" s="63">
        <v>0.73489821636290176</v>
      </c>
      <c r="AI205">
        <v>0</v>
      </c>
    </row>
    <row r="206" spans="17:35" x14ac:dyDescent="0.25">
      <c r="Q206" s="57"/>
      <c r="R206" s="57"/>
      <c r="Z206">
        <v>174</v>
      </c>
      <c r="AA206" s="58">
        <v>308.10668144245824</v>
      </c>
      <c r="AB206" s="59">
        <v>38.790538215603</v>
      </c>
      <c r="AC206" s="59">
        <v>346.89721965806126</v>
      </c>
      <c r="AD206" s="60">
        <v>269.31614322685522</v>
      </c>
      <c r="AE206" s="61">
        <v>0.83665775831000688</v>
      </c>
      <c r="AF206" s="62">
        <v>0.10737251291255287</v>
      </c>
      <c r="AG206" s="62">
        <v>0.94403027122255978</v>
      </c>
      <c r="AH206" s="63">
        <v>0.72928524539745399</v>
      </c>
      <c r="AI206">
        <v>0</v>
      </c>
    </row>
    <row r="207" spans="17:35" x14ac:dyDescent="0.25">
      <c r="Q207" s="57"/>
      <c r="R207" s="57"/>
      <c r="Z207">
        <v>175</v>
      </c>
      <c r="AA207" s="58">
        <v>306.67996227999043</v>
      </c>
      <c r="AB207" s="59">
        <v>39.125322440790093</v>
      </c>
      <c r="AC207" s="59">
        <v>345.80528472078055</v>
      </c>
      <c r="AD207" s="60">
        <v>267.55463983920032</v>
      </c>
      <c r="AE207" s="61">
        <v>0.83285918594503683</v>
      </c>
      <c r="AF207" s="62">
        <v>0.10890793711237627</v>
      </c>
      <c r="AG207" s="62">
        <v>0.94176712305741306</v>
      </c>
      <c r="AH207" s="63">
        <v>0.7239512488326606</v>
      </c>
      <c r="AI207">
        <v>0</v>
      </c>
    </row>
    <row r="208" spans="17:35" x14ac:dyDescent="0.25">
      <c r="Q208" s="57"/>
      <c r="R208" s="57"/>
      <c r="Z208">
        <v>176</v>
      </c>
      <c r="AA208" s="58">
        <v>305.18739314660075</v>
      </c>
      <c r="AB208" s="59">
        <v>39.555845692425116</v>
      </c>
      <c r="AC208" s="59">
        <v>344.74323883902588</v>
      </c>
      <c r="AD208" s="60">
        <v>265.63154745417563</v>
      </c>
      <c r="AE208" s="61">
        <v>0.82887519966594081</v>
      </c>
      <c r="AF208" s="62">
        <v>0.11059768641231141</v>
      </c>
      <c r="AG208" s="62">
        <v>0.93947288607825219</v>
      </c>
      <c r="AH208" s="63">
        <v>0.71827751325362943</v>
      </c>
      <c r="AI208">
        <v>0</v>
      </c>
    </row>
    <row r="209" spans="17:35" x14ac:dyDescent="0.25">
      <c r="Q209" s="57"/>
      <c r="R209" s="57"/>
      <c r="Z209">
        <v>177</v>
      </c>
      <c r="AA209" s="58">
        <v>303.70971126159856</v>
      </c>
      <c r="AB209" s="59">
        <v>40.126170708580659</v>
      </c>
      <c r="AC209" s="59">
        <v>343.83588197017923</v>
      </c>
      <c r="AD209" s="60">
        <v>263.58354055301788</v>
      </c>
      <c r="AE209" s="61">
        <v>0.82492782523351227</v>
      </c>
      <c r="AF209" s="62">
        <v>0.11257757684984269</v>
      </c>
      <c r="AG209" s="62">
        <v>0.93750540208335498</v>
      </c>
      <c r="AH209" s="63">
        <v>0.71235024838366956</v>
      </c>
      <c r="AI209">
        <v>0</v>
      </c>
    </row>
    <row r="210" spans="17:35" x14ac:dyDescent="0.25">
      <c r="Q210" s="57"/>
      <c r="R210" s="57"/>
      <c r="Z210">
        <v>178</v>
      </c>
      <c r="AA210" s="58">
        <v>302.31340804750681</v>
      </c>
      <c r="AB210" s="59">
        <v>40.613497719574568</v>
      </c>
      <c r="AC210" s="59">
        <v>342.92690576708139</v>
      </c>
      <c r="AD210" s="60">
        <v>261.69991032793223</v>
      </c>
      <c r="AE210" s="61">
        <v>0.82119751959288456</v>
      </c>
      <c r="AF210" s="62">
        <v>0.11432235875058105</v>
      </c>
      <c r="AG210" s="62">
        <v>0.93551987834346562</v>
      </c>
      <c r="AH210" s="63">
        <v>0.70687516084230351</v>
      </c>
      <c r="AI210">
        <v>0</v>
      </c>
    </row>
    <row r="211" spans="17:35" x14ac:dyDescent="0.25">
      <c r="Q211" s="57"/>
      <c r="R211" s="57"/>
      <c r="Z211">
        <v>179</v>
      </c>
      <c r="AA211" s="58">
        <v>300.85267142099389</v>
      </c>
      <c r="AB211" s="59">
        <v>41.188680988209654</v>
      </c>
      <c r="AC211" s="59">
        <v>342.04135240920357</v>
      </c>
      <c r="AD211" s="60">
        <v>259.6639904327842</v>
      </c>
      <c r="AE211" s="61">
        <v>0.81730418412598971</v>
      </c>
      <c r="AF211" s="62">
        <v>0.11635172358633239</v>
      </c>
      <c r="AG211" s="62">
        <v>0.9336559077123221</v>
      </c>
      <c r="AH211" s="63">
        <v>0.70095246053965732</v>
      </c>
      <c r="AI211">
        <v>0</v>
      </c>
    </row>
    <row r="212" spans="17:35" x14ac:dyDescent="0.25">
      <c r="Q212" s="57"/>
      <c r="R212" s="57"/>
      <c r="Z212">
        <v>180</v>
      </c>
      <c r="AA212" s="58">
        <v>299.48488934926451</v>
      </c>
      <c r="AB212" s="59">
        <v>41.713191652341614</v>
      </c>
      <c r="AC212" s="59">
        <v>341.19808100160611</v>
      </c>
      <c r="AD212" s="60">
        <v>257.7716976969229</v>
      </c>
      <c r="AE212" s="61">
        <v>0.8136622986365315</v>
      </c>
      <c r="AF212" s="62">
        <v>0.11822366142379168</v>
      </c>
      <c r="AG212" s="62">
        <v>0.9318859600603232</v>
      </c>
      <c r="AH212" s="63">
        <v>0.6954386372127398</v>
      </c>
      <c r="AI212">
        <v>0</v>
      </c>
    </row>
    <row r="213" spans="17:35" x14ac:dyDescent="0.25">
      <c r="Q213" s="57"/>
      <c r="R213" s="57"/>
      <c r="Z213">
        <v>181</v>
      </c>
      <c r="AA213" s="58">
        <v>298.11814472496638</v>
      </c>
      <c r="AB213" s="59">
        <v>42.188013598835539</v>
      </c>
      <c r="AC213" s="59">
        <v>340.30615832380192</v>
      </c>
      <c r="AD213" s="60">
        <v>255.93013112613085</v>
      </c>
      <c r="AE213" s="61">
        <v>0.81002097664342199</v>
      </c>
      <c r="AF213" s="62">
        <v>0.11995508205743896</v>
      </c>
      <c r="AG213" s="62">
        <v>0.92997605870086097</v>
      </c>
      <c r="AH213" s="63">
        <v>0.690065894585983</v>
      </c>
      <c r="AI213">
        <v>0</v>
      </c>
    </row>
    <row r="214" spans="17:35" x14ac:dyDescent="0.25">
      <c r="Q214" s="57"/>
      <c r="R214" s="57"/>
      <c r="Z214">
        <v>182</v>
      </c>
      <c r="AA214" s="58">
        <v>296.78615923046078</v>
      </c>
      <c r="AB214" s="59">
        <v>42.735988841843174</v>
      </c>
      <c r="AC214" s="59">
        <v>339.52214807230393</v>
      </c>
      <c r="AD214" s="60">
        <v>254.0501703886176</v>
      </c>
      <c r="AE214" s="61">
        <v>0.80646820626832183</v>
      </c>
      <c r="AF214" s="62">
        <v>0.12181047072584393</v>
      </c>
      <c r="AG214" s="62">
        <v>0.92827867699416577</v>
      </c>
      <c r="AH214" s="63">
        <v>0.68465773554247789</v>
      </c>
      <c r="AI214">
        <v>0</v>
      </c>
    </row>
    <row r="215" spans="17:35" x14ac:dyDescent="0.25">
      <c r="Q215" s="57"/>
      <c r="R215" s="57"/>
      <c r="Z215">
        <v>183</v>
      </c>
      <c r="AA215" s="58">
        <v>295.46205930028663</v>
      </c>
      <c r="AB215" s="59">
        <v>43.272178666622402</v>
      </c>
      <c r="AC215" s="59">
        <v>338.73423796690901</v>
      </c>
      <c r="AD215" s="60">
        <v>252.18988063366422</v>
      </c>
      <c r="AE215" s="61">
        <v>0.802940180605478</v>
      </c>
      <c r="AF215" s="62">
        <v>0.12364553250041514</v>
      </c>
      <c r="AG215" s="62">
        <v>0.92658571310589311</v>
      </c>
      <c r="AH215" s="63">
        <v>0.6792946481050629</v>
      </c>
      <c r="AI215">
        <v>0</v>
      </c>
    </row>
    <row r="216" spans="17:35" x14ac:dyDescent="0.25">
      <c r="Q216" s="57"/>
      <c r="R216" s="57"/>
      <c r="Z216">
        <v>184</v>
      </c>
      <c r="AA216" s="58">
        <v>294.14048822679916</v>
      </c>
      <c r="AB216" s="59">
        <v>43.835588724218518</v>
      </c>
      <c r="AC216" s="59">
        <v>337.97607695101766</v>
      </c>
      <c r="AD216" s="60">
        <v>250.30489950258064</v>
      </c>
      <c r="AE216" s="61">
        <v>0.79942820064217324</v>
      </c>
      <c r="AF216" s="62">
        <v>0.1255787524320659</v>
      </c>
      <c r="AG216" s="62">
        <v>0.92500695307423908</v>
      </c>
      <c r="AH216" s="63">
        <v>0.67384944821010739</v>
      </c>
      <c r="AI216">
        <v>0</v>
      </c>
    </row>
    <row r="217" spans="17:35" x14ac:dyDescent="0.25">
      <c r="Q217" s="57"/>
      <c r="R217" s="57"/>
      <c r="Z217">
        <v>185</v>
      </c>
      <c r="AA217" s="58">
        <v>292.93780183774362</v>
      </c>
      <c r="AB217" s="59">
        <v>44.3442343678214</v>
      </c>
      <c r="AC217" s="59">
        <v>337.28203620556502</v>
      </c>
      <c r="AD217" s="60">
        <v>248.59356746992222</v>
      </c>
      <c r="AE217" s="61">
        <v>0.79622240865997174</v>
      </c>
      <c r="AF217" s="62">
        <v>0.12727688413657515</v>
      </c>
      <c r="AG217" s="62">
        <v>0.92349929279654686</v>
      </c>
      <c r="AH217" s="63">
        <v>0.66894552452339662</v>
      </c>
      <c r="AI217">
        <v>1.3401555874300908E-2</v>
      </c>
    </row>
    <row r="218" spans="17:35" x14ac:dyDescent="0.25">
      <c r="Q218" s="57"/>
      <c r="R218" s="57"/>
      <c r="Z218">
        <v>186</v>
      </c>
      <c r="AA218" s="58">
        <v>291.71999063069717</v>
      </c>
      <c r="AB218" s="59">
        <v>44.846947427288562</v>
      </c>
      <c r="AC218" s="59">
        <v>336.56693805798574</v>
      </c>
      <c r="AD218" s="60">
        <v>246.8730432034086</v>
      </c>
      <c r="AE218" s="61">
        <v>0.79296608354574571</v>
      </c>
      <c r="AF218" s="62">
        <v>0.1288632701294439</v>
      </c>
      <c r="AG218" s="62">
        <v>0.92182935367518959</v>
      </c>
      <c r="AH218" s="63">
        <v>0.66410281341630184</v>
      </c>
      <c r="AI218">
        <v>0.13990088554433422</v>
      </c>
    </row>
    <row r="219" spans="17:35" x14ac:dyDescent="0.25">
      <c r="Q219" s="57"/>
      <c r="R219" s="57"/>
      <c r="Z219">
        <v>187</v>
      </c>
      <c r="AA219" s="58">
        <v>290.50287949626073</v>
      </c>
      <c r="AB219" s="59">
        <v>45.322516857710127</v>
      </c>
      <c r="AC219" s="59">
        <v>335.82539635397086</v>
      </c>
      <c r="AD219" s="60">
        <v>245.1803626385506</v>
      </c>
      <c r="AE219" s="61">
        <v>0.78970830652824364</v>
      </c>
      <c r="AF219" s="62">
        <v>0.13036595114734867</v>
      </c>
      <c r="AG219" s="62">
        <v>0.92007425767559226</v>
      </c>
      <c r="AH219" s="63">
        <v>0.65934235538089503</v>
      </c>
      <c r="AI219">
        <v>0.2920028963640402</v>
      </c>
    </row>
    <row r="220" spans="17:35" x14ac:dyDescent="0.25">
      <c r="Q220" s="57"/>
      <c r="R220" s="57"/>
      <c r="Z220">
        <v>188</v>
      </c>
      <c r="AA220" s="58">
        <v>289.27052661038113</v>
      </c>
      <c r="AB220" s="59">
        <v>45.823746489201447</v>
      </c>
      <c r="AC220" s="59">
        <v>335.09427309958255</v>
      </c>
      <c r="AD220" s="60">
        <v>243.44678012117967</v>
      </c>
      <c r="AE220" s="61">
        <v>0.78640850517808081</v>
      </c>
      <c r="AF220" s="62">
        <v>0.13195668721324055</v>
      </c>
      <c r="AG220" s="62">
        <v>0.91836519239132142</v>
      </c>
      <c r="AH220" s="63">
        <v>0.6544518179648402</v>
      </c>
      <c r="AI220">
        <v>0.44410490718374612</v>
      </c>
    </row>
    <row r="221" spans="17:35" x14ac:dyDescent="0.25">
      <c r="Q221" s="57"/>
      <c r="R221" s="57"/>
      <c r="Z221">
        <v>189</v>
      </c>
      <c r="AA221" s="58">
        <v>288.04972565654606</v>
      </c>
      <c r="AB221" s="59">
        <v>46.329889192116809</v>
      </c>
      <c r="AC221" s="59">
        <v>334.37961484866287</v>
      </c>
      <c r="AD221" s="60">
        <v>241.71983646442925</v>
      </c>
      <c r="AE221" s="61">
        <v>0.78315454747930857</v>
      </c>
      <c r="AF221" s="62">
        <v>0.13363845319940956</v>
      </c>
      <c r="AG221" s="62">
        <v>0.91679300067871816</v>
      </c>
      <c r="AH221" s="63">
        <v>0.64951609427989898</v>
      </c>
      <c r="AI221">
        <v>0.59620691800345205</v>
      </c>
    </row>
    <row r="222" spans="17:35" x14ac:dyDescent="0.25">
      <c r="Q222" s="57"/>
      <c r="R222" s="57"/>
      <c r="Z222">
        <v>190</v>
      </c>
      <c r="AA222" s="58">
        <v>286.88207474174709</v>
      </c>
      <c r="AB222" s="59">
        <v>46.839919675431922</v>
      </c>
      <c r="AC222" s="59">
        <v>333.72199441717902</v>
      </c>
      <c r="AD222" s="60">
        <v>240.04215506631516</v>
      </c>
      <c r="AE222" s="61">
        <v>0.78002405195080649</v>
      </c>
      <c r="AF222" s="62">
        <v>0.13522750206338649</v>
      </c>
      <c r="AG222" s="62">
        <v>0.915251554014193</v>
      </c>
      <c r="AH222" s="63">
        <v>0.64479654988741997</v>
      </c>
      <c r="AI222">
        <v>0.74830892882315803</v>
      </c>
    </row>
    <row r="223" spans="17:35" x14ac:dyDescent="0.25">
      <c r="Q223" s="57"/>
      <c r="R223" s="57"/>
      <c r="Z223">
        <v>191</v>
      </c>
      <c r="AA223" s="58">
        <v>285.69411965279841</v>
      </c>
      <c r="AB223" s="59">
        <v>47.358457835908609</v>
      </c>
      <c r="AC223" s="59">
        <v>333.05257748870702</v>
      </c>
      <c r="AD223" s="60">
        <v>238.3356618168898</v>
      </c>
      <c r="AE223" s="61">
        <v>0.77686380132199317</v>
      </c>
      <c r="AF223" s="62">
        <v>0.1369394198893657</v>
      </c>
      <c r="AG223" s="62">
        <v>0.91380322121135893</v>
      </c>
      <c r="AH223" s="63">
        <v>0.63992438143262742</v>
      </c>
      <c r="AI223">
        <v>0.90041093964286389</v>
      </c>
    </row>
    <row r="224" spans="17:35" x14ac:dyDescent="0.25">
      <c r="Q224" s="57"/>
      <c r="R224" s="57"/>
      <c r="Z224">
        <v>192</v>
      </c>
      <c r="AA224" s="58">
        <v>284.61659469575659</v>
      </c>
      <c r="AB224" s="59">
        <v>47.810931482622038</v>
      </c>
      <c r="AC224" s="59">
        <v>332.42752617837863</v>
      </c>
      <c r="AD224" s="60">
        <v>236.80566321313455</v>
      </c>
      <c r="AE224" s="61">
        <v>0.77399064493040026</v>
      </c>
      <c r="AF224" s="62">
        <v>0.13841793169424488</v>
      </c>
      <c r="AG224" s="62">
        <v>0.91240857662464514</v>
      </c>
      <c r="AH224" s="63">
        <v>0.63557271323615538</v>
      </c>
      <c r="AI224">
        <v>1.0525129504625699</v>
      </c>
    </row>
    <row r="225" spans="17:35" x14ac:dyDescent="0.25">
      <c r="Q225" s="57"/>
      <c r="R225" s="57"/>
      <c r="Z225">
        <v>193</v>
      </c>
      <c r="AA225" s="58">
        <v>283.41302711374198</v>
      </c>
      <c r="AB225" s="59">
        <v>48.346538672689832</v>
      </c>
      <c r="AC225" s="59">
        <v>331.75956578643184</v>
      </c>
      <c r="AD225" s="60">
        <v>235.06648844105214</v>
      </c>
      <c r="AE225" s="61">
        <v>0.77078478587864174</v>
      </c>
      <c r="AF225" s="62">
        <v>0.14015354226417914</v>
      </c>
      <c r="AG225" s="62">
        <v>0.91093832814282094</v>
      </c>
      <c r="AH225" s="63">
        <v>0.63063124361446254</v>
      </c>
      <c r="AI225">
        <v>1.2046149612822759</v>
      </c>
    </row>
    <row r="226" spans="17:35" x14ac:dyDescent="0.25">
      <c r="Q226" s="57"/>
      <c r="R226" s="57"/>
      <c r="Z226">
        <v>194</v>
      </c>
      <c r="AA226" s="58">
        <v>282.2861909314525</v>
      </c>
      <c r="AB226" s="59">
        <v>48.860564778496503</v>
      </c>
      <c r="AC226" s="59">
        <v>331.14675570994899</v>
      </c>
      <c r="AD226" s="60">
        <v>233.425626152956</v>
      </c>
      <c r="AE226" s="61">
        <v>0.76778123764219897</v>
      </c>
      <c r="AF226" s="62">
        <v>0.14182568456951045</v>
      </c>
      <c r="AG226" s="62">
        <v>0.90960692221170936</v>
      </c>
      <c r="AH226" s="63">
        <v>0.62595555307268858</v>
      </c>
      <c r="AI226">
        <v>1.446618041142725</v>
      </c>
    </row>
    <row r="227" spans="17:35" x14ac:dyDescent="0.25">
      <c r="Q227" s="57"/>
      <c r="R227" s="57"/>
      <c r="Z227">
        <v>195</v>
      </c>
      <c r="AA227" s="58">
        <v>281.29383704698108</v>
      </c>
      <c r="AB227" s="59">
        <v>49.361327699805095</v>
      </c>
      <c r="AC227" s="59">
        <v>330.65516474678617</v>
      </c>
      <c r="AD227" s="60">
        <v>231.93250934717599</v>
      </c>
      <c r="AE227" s="61">
        <v>0.76517198858247459</v>
      </c>
      <c r="AF227" s="62">
        <v>0.14365586382903489</v>
      </c>
      <c r="AG227" s="62">
        <v>0.90882785241150943</v>
      </c>
      <c r="AH227" s="63">
        <v>0.62151612475343976</v>
      </c>
      <c r="AI227">
        <v>2.8397881884670833</v>
      </c>
    </row>
    <row r="228" spans="17:35" x14ac:dyDescent="0.25">
      <c r="Q228" s="57"/>
      <c r="R228" s="57"/>
      <c r="Z228">
        <v>196</v>
      </c>
      <c r="AA228" s="58">
        <v>280.10976125496268</v>
      </c>
      <c r="AB228" s="59">
        <v>49.842290008359605</v>
      </c>
      <c r="AC228" s="59">
        <v>329.95205126332229</v>
      </c>
      <c r="AD228" s="60">
        <v>230.26747124660307</v>
      </c>
      <c r="AE228" s="61">
        <v>0.76200514272464448</v>
      </c>
      <c r="AF228" s="62">
        <v>0.14511670475334709</v>
      </c>
      <c r="AG228" s="62">
        <v>0.90712184747799163</v>
      </c>
      <c r="AH228" s="63">
        <v>0.61688843797129733</v>
      </c>
      <c r="AI228">
        <v>3.2845245714824158</v>
      </c>
    </row>
    <row r="229" spans="17:35" x14ac:dyDescent="0.25">
      <c r="Q229" s="57"/>
      <c r="R229" s="57"/>
      <c r="Z229">
        <v>197</v>
      </c>
      <c r="AA229" s="58">
        <v>279.08225456600115</v>
      </c>
      <c r="AB229" s="59">
        <v>50.2656845412561</v>
      </c>
      <c r="AC229" s="59">
        <v>329.34793910725728</v>
      </c>
      <c r="AD229" s="60">
        <v>228.81657002474506</v>
      </c>
      <c r="AE229" s="61">
        <v>0.75928093443635325</v>
      </c>
      <c r="AF229" s="62">
        <v>0.14655796213989652</v>
      </c>
      <c r="AG229" s="62">
        <v>0.90583889657624983</v>
      </c>
      <c r="AH229" s="63">
        <v>0.61272297229645667</v>
      </c>
      <c r="AI229">
        <v>4.2854787864805131</v>
      </c>
    </row>
    <row r="230" spans="17:35" x14ac:dyDescent="0.25">
      <c r="Q230" s="57"/>
      <c r="R230" s="57"/>
      <c r="Z230">
        <v>198</v>
      </c>
      <c r="AA230" s="58">
        <v>278.01439434709812</v>
      </c>
      <c r="AB230" s="59">
        <v>50.756454159030781</v>
      </c>
      <c r="AC230" s="59">
        <v>328.77084850612891</v>
      </c>
      <c r="AD230" s="60">
        <v>227.25794018806732</v>
      </c>
      <c r="AE230" s="61">
        <v>0.75645399750305575</v>
      </c>
      <c r="AF230" s="62">
        <v>0.14818037463432124</v>
      </c>
      <c r="AG230" s="62">
        <v>0.90463437213737696</v>
      </c>
      <c r="AH230" s="63">
        <v>0.60827362286873454</v>
      </c>
      <c r="AI230">
        <v>7.1656911150498486</v>
      </c>
    </row>
    <row r="231" spans="17:35" x14ac:dyDescent="0.25">
      <c r="Q231" s="57"/>
      <c r="R231" s="57"/>
      <c r="Z231">
        <v>199</v>
      </c>
      <c r="AA231" s="58">
        <v>276.94485624441512</v>
      </c>
      <c r="AB231" s="59">
        <v>51.219528652512217</v>
      </c>
      <c r="AC231" s="59">
        <v>328.16438489692734</v>
      </c>
      <c r="AD231" s="60">
        <v>225.7253275919029</v>
      </c>
      <c r="AE231" s="61">
        <v>0.7536153138059376</v>
      </c>
      <c r="AF231" s="62">
        <v>0.14970679511226317</v>
      </c>
      <c r="AG231" s="62">
        <v>0.90332210891820075</v>
      </c>
      <c r="AH231" s="63">
        <v>0.60390851869367446</v>
      </c>
      <c r="AI231">
        <v>7.539053665975981</v>
      </c>
    </row>
    <row r="232" spans="17:35" x14ac:dyDescent="0.25">
      <c r="Q232" s="57"/>
      <c r="R232" s="57"/>
      <c r="Z232">
        <v>200</v>
      </c>
      <c r="AA232" s="58">
        <v>275.98524789884692</v>
      </c>
      <c r="AB232" s="59">
        <v>51.668059973166912</v>
      </c>
      <c r="AC232" s="59">
        <v>327.65330787201384</v>
      </c>
      <c r="AD232" s="60">
        <v>224.31718792568</v>
      </c>
      <c r="AE232" s="61">
        <v>0.7510824309971319</v>
      </c>
      <c r="AF232" s="62">
        <v>0.15124309419290241</v>
      </c>
      <c r="AG232" s="62">
        <v>0.90232552519003428</v>
      </c>
      <c r="AH232" s="63">
        <v>0.59983933680422952</v>
      </c>
      <c r="AI232">
        <v>8.0138875951639914</v>
      </c>
    </row>
    <row r="233" spans="17:35" x14ac:dyDescent="0.25">
      <c r="Q233" s="57"/>
      <c r="R233" s="57"/>
      <c r="Z233">
        <v>201</v>
      </c>
      <c r="AA233" s="58">
        <v>275.07957312190575</v>
      </c>
      <c r="AB233" s="59">
        <v>52.114418989314835</v>
      </c>
      <c r="AC233" s="59">
        <v>327.19399211122061</v>
      </c>
      <c r="AD233" s="60">
        <v>222.96515413259092</v>
      </c>
      <c r="AE233" s="61">
        <v>0.74872192931748549</v>
      </c>
      <c r="AF233" s="62">
        <v>0.15294278772500317</v>
      </c>
      <c r="AG233" s="62">
        <v>0.90166471704248863</v>
      </c>
      <c r="AH233" s="63">
        <v>0.59577914159248235</v>
      </c>
      <c r="AI233">
        <v>8.0426018769465788</v>
      </c>
    </row>
    <row r="234" spans="17:35" x14ac:dyDescent="0.25">
      <c r="Q234" s="57"/>
      <c r="R234" s="57"/>
      <c r="Z234">
        <v>202</v>
      </c>
      <c r="AA234" s="58">
        <v>274.10275041915787</v>
      </c>
      <c r="AB234" s="59">
        <v>52.585252011040936</v>
      </c>
      <c r="AC234" s="59">
        <v>326.68800243019882</v>
      </c>
      <c r="AD234" s="60">
        <v>221.51749840811692</v>
      </c>
      <c r="AE234" s="61">
        <v>0.74614270093077983</v>
      </c>
      <c r="AF234" s="62">
        <v>0.15448398771457819</v>
      </c>
      <c r="AG234" s="62">
        <v>0.900626688645358</v>
      </c>
      <c r="AH234" s="63">
        <v>0.59165871321620167</v>
      </c>
      <c r="AI234">
        <v>6.8764299013151007</v>
      </c>
    </row>
    <row r="235" spans="17:35" x14ac:dyDescent="0.25">
      <c r="Q235" s="57"/>
      <c r="R235" s="57"/>
      <c r="Z235">
        <v>203</v>
      </c>
      <c r="AA235" s="58">
        <v>273.11996430819789</v>
      </c>
      <c r="AB235" s="59">
        <v>53.00526015211458</v>
      </c>
      <c r="AC235" s="59">
        <v>326.1252244603125</v>
      </c>
      <c r="AD235" s="60">
        <v>220.11470415608332</v>
      </c>
      <c r="AE235" s="61">
        <v>0.74353242076835835</v>
      </c>
      <c r="AF235" s="62">
        <v>0.15582179853550995</v>
      </c>
      <c r="AG235" s="62">
        <v>0.89935421930386827</v>
      </c>
      <c r="AH235" s="63">
        <v>0.58771062223284842</v>
      </c>
      <c r="AI235">
        <v>8.0193777166339348</v>
      </c>
    </row>
    <row r="236" spans="17:35" x14ac:dyDescent="0.25">
      <c r="Q236" s="57"/>
      <c r="R236" s="57"/>
      <c r="Z236">
        <v>204</v>
      </c>
      <c r="AA236" s="58">
        <v>272.14498949182229</v>
      </c>
      <c r="AB236" s="59">
        <v>53.472123538334401</v>
      </c>
      <c r="AC236" s="59">
        <v>325.6171130301567</v>
      </c>
      <c r="AD236" s="60">
        <v>218.67286595348787</v>
      </c>
      <c r="AE236" s="61">
        <v>0.74094060907660542</v>
      </c>
      <c r="AF236" s="62">
        <v>0.157252983932507</v>
      </c>
      <c r="AG236" s="62">
        <v>0.89819359300911239</v>
      </c>
      <c r="AH236" s="63">
        <v>0.58368762514409844</v>
      </c>
      <c r="AI236">
        <v>8.342016079015881</v>
      </c>
    </row>
    <row r="237" spans="17:35" x14ac:dyDescent="0.25">
      <c r="Q237" s="57"/>
      <c r="R237" s="57"/>
      <c r="Z237">
        <v>205</v>
      </c>
      <c r="AA237" s="58">
        <v>271.20953706569611</v>
      </c>
      <c r="AB237" s="59">
        <v>53.913561233582676</v>
      </c>
      <c r="AC237" s="59">
        <v>325.12309829927881</v>
      </c>
      <c r="AD237" s="60">
        <v>217.29597583211344</v>
      </c>
      <c r="AE237" s="61">
        <v>0.7384485341724859</v>
      </c>
      <c r="AF237" s="62">
        <v>0.15859103066697028</v>
      </c>
      <c r="AG237" s="62">
        <v>0.89703956483945624</v>
      </c>
      <c r="AH237" s="63">
        <v>0.57985750350551557</v>
      </c>
      <c r="AI237">
        <v>7.5490256267853599</v>
      </c>
    </row>
    <row r="238" spans="17:35" x14ac:dyDescent="0.25">
      <c r="Q238" s="57"/>
      <c r="R238" s="57"/>
      <c r="Z238">
        <v>206</v>
      </c>
      <c r="AA238" s="58">
        <v>270.2435552710603</v>
      </c>
      <c r="AB238" s="59">
        <v>54.358748371745847</v>
      </c>
      <c r="AC238" s="59">
        <v>324.60230364280613</v>
      </c>
      <c r="AD238" s="60">
        <v>215.88480689931447</v>
      </c>
      <c r="AE238" s="61">
        <v>0.73588645192302105</v>
      </c>
      <c r="AF238" s="62">
        <v>0.15998473134636601</v>
      </c>
      <c r="AG238" s="62">
        <v>0.89587118326938708</v>
      </c>
      <c r="AH238" s="63">
        <v>0.57590172057665501</v>
      </c>
      <c r="AI238">
        <v>9.3256447750970946</v>
      </c>
    </row>
    <row r="239" spans="17:35" x14ac:dyDescent="0.25">
      <c r="Q239" s="57"/>
      <c r="R239" s="57"/>
      <c r="Z239">
        <v>207</v>
      </c>
      <c r="AA239" s="58">
        <v>269.29002511146138</v>
      </c>
      <c r="AB239" s="59">
        <v>54.758542034790317</v>
      </c>
      <c r="AC239" s="59">
        <v>324.04856714625168</v>
      </c>
      <c r="AD239" s="60">
        <v>214.53148307667107</v>
      </c>
      <c r="AE239" s="61">
        <v>0.73336606033623886</v>
      </c>
      <c r="AF239" s="62">
        <v>0.16133570444329073</v>
      </c>
      <c r="AG239" s="62">
        <v>0.89470176477952956</v>
      </c>
      <c r="AH239" s="63">
        <v>0.57203035589294815</v>
      </c>
      <c r="AI239">
        <v>7.8060205745069213</v>
      </c>
    </row>
    <row r="240" spans="17:35" x14ac:dyDescent="0.25">
      <c r="Q240" s="57"/>
      <c r="R240" s="57"/>
      <c r="Z240">
        <v>208</v>
      </c>
      <c r="AA240" s="58">
        <v>268.32206418874836</v>
      </c>
      <c r="AB240" s="59">
        <v>55.238270065123437</v>
      </c>
      <c r="AC240" s="59">
        <v>323.56033425387182</v>
      </c>
      <c r="AD240" s="60">
        <v>213.08379412362493</v>
      </c>
      <c r="AE240" s="61">
        <v>0.73081750213884955</v>
      </c>
      <c r="AF240" s="62">
        <v>0.16294210938706624</v>
      </c>
      <c r="AG240" s="62">
        <v>0.89375961152591576</v>
      </c>
      <c r="AH240" s="63">
        <v>0.56787539275178334</v>
      </c>
      <c r="AI240">
        <v>8.0658269203534054</v>
      </c>
    </row>
    <row r="241" spans="17:35" x14ac:dyDescent="0.25">
      <c r="Q241" s="57"/>
      <c r="R241" s="57"/>
      <c r="Z241">
        <v>209</v>
      </c>
      <c r="AA241" s="58">
        <v>267.40383301690861</v>
      </c>
      <c r="AB241" s="59">
        <v>55.702956042302866</v>
      </c>
      <c r="AC241" s="59">
        <v>323.10678905921145</v>
      </c>
      <c r="AD241" s="60">
        <v>211.70087697460573</v>
      </c>
      <c r="AE241" s="61">
        <v>0.72839521807947027</v>
      </c>
      <c r="AF241" s="62">
        <v>0.16446510389087018</v>
      </c>
      <c r="AG241" s="62">
        <v>0.89286032197034049</v>
      </c>
      <c r="AH241" s="63">
        <v>0.56393011418860006</v>
      </c>
      <c r="AI241">
        <v>6.6286640510150523</v>
      </c>
    </row>
    <row r="242" spans="17:35" x14ac:dyDescent="0.25">
      <c r="Q242" s="57"/>
      <c r="R242" s="57"/>
      <c r="Z242">
        <v>210</v>
      </c>
      <c r="AA242" s="58">
        <v>266.48134601170938</v>
      </c>
      <c r="AB242" s="59">
        <v>56.167826993296458</v>
      </c>
      <c r="AC242" s="59">
        <v>322.64917300500582</v>
      </c>
      <c r="AD242" s="60">
        <v>210.31351901841293</v>
      </c>
      <c r="AE242" s="61">
        <v>0.72596145229302866</v>
      </c>
      <c r="AF242" s="62">
        <v>0.1659836023746914</v>
      </c>
      <c r="AG242" s="62">
        <v>0.89194505466772012</v>
      </c>
      <c r="AH242" s="63">
        <v>0.55997784991833721</v>
      </c>
      <c r="AI242">
        <v>7.1388944467678694</v>
      </c>
    </row>
    <row r="243" spans="17:35" x14ac:dyDescent="0.25">
      <c r="Q243" s="57"/>
      <c r="R243" s="57"/>
      <c r="Z243">
        <v>211</v>
      </c>
      <c r="AA243" s="58">
        <v>265.57120329880587</v>
      </c>
      <c r="AB243" s="59">
        <v>56.636052868000029</v>
      </c>
      <c r="AC243" s="59">
        <v>322.20725616680591</v>
      </c>
      <c r="AD243" s="60">
        <v>208.93515043080583</v>
      </c>
      <c r="AE243" s="61">
        <v>0.72354831949894971</v>
      </c>
      <c r="AF243" s="62">
        <v>0.16746720021644929</v>
      </c>
      <c r="AG243" s="62">
        <v>0.89101551971539905</v>
      </c>
      <c r="AH243" s="63">
        <v>0.55608111928250037</v>
      </c>
      <c r="AI243">
        <v>5.4206988659470596</v>
      </c>
    </row>
    <row r="244" spans="17:35" x14ac:dyDescent="0.25">
      <c r="Q244" s="57"/>
      <c r="R244" s="57"/>
      <c r="Z244">
        <v>212</v>
      </c>
      <c r="AA244" s="58">
        <v>264.69214376432427</v>
      </c>
      <c r="AB244" s="59">
        <v>57.049332543928912</v>
      </c>
      <c r="AC244" s="59">
        <v>321.7414763082532</v>
      </c>
      <c r="AD244" s="60">
        <v>207.64281122039534</v>
      </c>
      <c r="AE244" s="61">
        <v>0.72122905587723463</v>
      </c>
      <c r="AF244" s="62">
        <v>0.16884567273551321</v>
      </c>
      <c r="AG244" s="62">
        <v>0.89007472861274783</v>
      </c>
      <c r="AH244" s="63">
        <v>0.55238338314172142</v>
      </c>
      <c r="AI244">
        <v>3.8436012769216896</v>
      </c>
    </row>
    <row r="245" spans="17:35" x14ac:dyDescent="0.25">
      <c r="Q245" s="57"/>
      <c r="R245" s="57"/>
      <c r="Z245">
        <v>213</v>
      </c>
      <c r="AA245" s="58">
        <v>263.70999769737176</v>
      </c>
      <c r="AB245" s="59">
        <v>57.428096347380247</v>
      </c>
      <c r="AC245" s="59">
        <v>321.13809404475199</v>
      </c>
      <c r="AD245" s="60">
        <v>206.28190134999153</v>
      </c>
      <c r="AE245" s="61">
        <v>0.7186432961617103</v>
      </c>
      <c r="AF245" s="62">
        <v>0.17022099337402777</v>
      </c>
      <c r="AG245" s="62">
        <v>0.88886428953573804</v>
      </c>
      <c r="AH245" s="63">
        <v>0.54842230278768256</v>
      </c>
      <c r="AI245">
        <v>6.3838990630755861</v>
      </c>
    </row>
    <row r="246" spans="17:35" x14ac:dyDescent="0.25">
      <c r="Q246" s="57"/>
      <c r="R246" s="57"/>
      <c r="Z246">
        <v>214</v>
      </c>
      <c r="AA246" s="58">
        <v>262.79782656162007</v>
      </c>
      <c r="AB246" s="59">
        <v>57.756468611976246</v>
      </c>
      <c r="AC246" s="59">
        <v>320.5542951735963</v>
      </c>
      <c r="AD246" s="60">
        <v>205.04135794964384</v>
      </c>
      <c r="AE246" s="61">
        <v>0.71624594237500716</v>
      </c>
      <c r="AF246" s="62">
        <v>0.17145156779095483</v>
      </c>
      <c r="AG246" s="62">
        <v>0.88769751016596199</v>
      </c>
      <c r="AH246" s="63">
        <v>0.54479437458405233</v>
      </c>
      <c r="AI246">
        <v>6.6099743874979477</v>
      </c>
    </row>
    <row r="247" spans="17:35" x14ac:dyDescent="0.25">
      <c r="Q247" s="57"/>
      <c r="R247" s="57"/>
      <c r="Z247">
        <v>215</v>
      </c>
      <c r="AA247" s="58">
        <v>261.8055664395676</v>
      </c>
      <c r="AB247" s="59">
        <v>58.187267240756334</v>
      </c>
      <c r="AC247" s="59">
        <v>319.99283368032394</v>
      </c>
      <c r="AD247" s="60">
        <v>203.61829919881126</v>
      </c>
      <c r="AE247" s="61">
        <v>0.7136378505984774</v>
      </c>
      <c r="AF247" s="62">
        <v>0.17295416758694504</v>
      </c>
      <c r="AG247" s="62">
        <v>0.88659201818542244</v>
      </c>
      <c r="AH247" s="63">
        <v>0.54068368301153236</v>
      </c>
      <c r="AI247">
        <v>7.3295068843051752</v>
      </c>
    </row>
    <row r="248" spans="17:35" x14ac:dyDescent="0.25">
      <c r="Q248" s="57"/>
      <c r="R248" s="57"/>
      <c r="Z248">
        <v>216</v>
      </c>
      <c r="AA248" s="58">
        <v>260.87868095138805</v>
      </c>
      <c r="AB248" s="59">
        <v>58.606491823822381</v>
      </c>
      <c r="AC248" s="59">
        <v>319.48517277521046</v>
      </c>
      <c r="AD248" s="60">
        <v>202.27218912756567</v>
      </c>
      <c r="AE248" s="61">
        <v>0.71123144397832938</v>
      </c>
      <c r="AF248" s="62">
        <v>0.17460822931330044</v>
      </c>
      <c r="AG248" s="62">
        <v>0.88583967329162983</v>
      </c>
      <c r="AH248" s="63">
        <v>0.53662321466502894</v>
      </c>
      <c r="AI248">
        <v>7.3695014775605046</v>
      </c>
    </row>
    <row r="249" spans="17:35" x14ac:dyDescent="0.25">
      <c r="Q249" s="57"/>
      <c r="R249" s="57"/>
      <c r="Z249">
        <v>217</v>
      </c>
      <c r="AA249" s="58">
        <v>259.90967060674399</v>
      </c>
      <c r="AB249" s="59">
        <v>58.967730253961179</v>
      </c>
      <c r="AC249" s="59">
        <v>318.87740086070517</v>
      </c>
      <c r="AD249" s="60">
        <v>200.94194035278281</v>
      </c>
      <c r="AE249" s="61">
        <v>0.70870891676061287</v>
      </c>
      <c r="AF249" s="62">
        <v>0.17613408176013884</v>
      </c>
      <c r="AG249" s="62">
        <v>0.88484299852075177</v>
      </c>
      <c r="AH249" s="63">
        <v>0.53257483500047398</v>
      </c>
      <c r="AI249">
        <v>7.3060155958019344</v>
      </c>
    </row>
    <row r="250" spans="17:35" x14ac:dyDescent="0.25">
      <c r="Q250" s="57"/>
      <c r="R250" s="57"/>
      <c r="Z250">
        <v>218</v>
      </c>
      <c r="AA250" s="58">
        <v>258.87287475203283</v>
      </c>
      <c r="AB250" s="59">
        <v>59.360657256527929</v>
      </c>
      <c r="AC250" s="59">
        <v>318.23353200856076</v>
      </c>
      <c r="AD250" s="60">
        <v>199.5122174955049</v>
      </c>
      <c r="AE250" s="61">
        <v>0.70600577746347104</v>
      </c>
      <c r="AF250" s="62">
        <v>0.17774144322273286</v>
      </c>
      <c r="AG250" s="62">
        <v>0.88374722068620393</v>
      </c>
      <c r="AH250" s="63">
        <v>0.52826433424073815</v>
      </c>
      <c r="AI250">
        <v>5.4909389208862525</v>
      </c>
    </row>
    <row r="251" spans="17:35" x14ac:dyDescent="0.25">
      <c r="Q251" s="57"/>
      <c r="R251" s="57"/>
      <c r="Z251">
        <v>219</v>
      </c>
      <c r="AA251" s="58">
        <v>257.93047839320423</v>
      </c>
      <c r="AB251" s="59">
        <v>59.62577482695491</v>
      </c>
      <c r="AC251" s="59">
        <v>317.55625322015914</v>
      </c>
      <c r="AD251" s="60">
        <v>198.30470356624932</v>
      </c>
      <c r="AE251" s="61">
        <v>0.70354291588047591</v>
      </c>
      <c r="AF251" s="62">
        <v>0.17895207698681287</v>
      </c>
      <c r="AG251" s="62">
        <v>0.88249499286728872</v>
      </c>
      <c r="AH251" s="63">
        <v>0.52459083889366309</v>
      </c>
      <c r="AI251">
        <v>0.64653857006469384</v>
      </c>
    </row>
    <row r="252" spans="17:35" x14ac:dyDescent="0.25">
      <c r="Q252" s="57"/>
      <c r="R252" s="57"/>
      <c r="Z252">
        <v>220</v>
      </c>
      <c r="AA252" s="58">
        <v>256.92587594247311</v>
      </c>
      <c r="AB252" s="59">
        <v>59.909498885289878</v>
      </c>
      <c r="AC252" s="59">
        <v>316.83537482776296</v>
      </c>
      <c r="AD252" s="60">
        <v>197.01637705718323</v>
      </c>
      <c r="AE252" s="61">
        <v>0.70092021137735472</v>
      </c>
      <c r="AF252" s="62">
        <v>0.1802416646240384</v>
      </c>
      <c r="AG252" s="62">
        <v>0.88116187600139306</v>
      </c>
      <c r="AH252" s="63">
        <v>0.52067854675331637</v>
      </c>
      <c r="AI252">
        <v>1.4025637694844539</v>
      </c>
    </row>
    <row r="253" spans="17:35" x14ac:dyDescent="0.25">
      <c r="Q253" s="57"/>
      <c r="R253" s="57"/>
      <c r="Z253">
        <v>221</v>
      </c>
      <c r="AA253" s="58">
        <v>255.74760596745594</v>
      </c>
      <c r="AB253" s="59">
        <v>60.108830799247265</v>
      </c>
      <c r="AC253" s="59">
        <v>315.85643676670321</v>
      </c>
      <c r="AD253" s="60">
        <v>195.63877516820867</v>
      </c>
      <c r="AE253" s="61">
        <v>0.6978517669174199</v>
      </c>
      <c r="AF253" s="62">
        <v>0.18147737642004091</v>
      </c>
      <c r="AG253" s="62">
        <v>0.87932914333746082</v>
      </c>
      <c r="AH253" s="63">
        <v>0.51637439049737899</v>
      </c>
      <c r="AI253">
        <v>1.6064336999947426</v>
      </c>
    </row>
    <row r="254" spans="17:35" x14ac:dyDescent="0.25">
      <c r="Q254" s="57"/>
      <c r="R254" s="57"/>
      <c r="Z254">
        <v>222</v>
      </c>
      <c r="AA254" s="58">
        <v>254.74076907085944</v>
      </c>
      <c r="AB254" s="59">
        <v>60.371571607529518</v>
      </c>
      <c r="AC254" s="59">
        <v>315.11234067838893</v>
      </c>
      <c r="AD254" s="60">
        <v>194.36919746332993</v>
      </c>
      <c r="AE254" s="61">
        <v>0.69523021854327516</v>
      </c>
      <c r="AF254" s="62">
        <v>0.18277072028093486</v>
      </c>
      <c r="AG254" s="62">
        <v>0.87800093882421004</v>
      </c>
      <c r="AH254" s="63">
        <v>0.51245949826234027</v>
      </c>
      <c r="AI254">
        <v>1.4924965765092375</v>
      </c>
    </row>
    <row r="255" spans="17:35" x14ac:dyDescent="0.25">
      <c r="Q255" s="57"/>
      <c r="R255" s="57"/>
      <c r="Z255">
        <v>223</v>
      </c>
      <c r="AA255" s="58">
        <v>253.69231535245601</v>
      </c>
      <c r="AB255" s="59">
        <v>60.589217965105824</v>
      </c>
      <c r="AC255" s="59">
        <v>314.28153331756181</v>
      </c>
      <c r="AD255" s="60">
        <v>193.10309738735018</v>
      </c>
      <c r="AE255" s="61">
        <v>0.69251262182631745</v>
      </c>
      <c r="AF255" s="62">
        <v>0.18407946796120922</v>
      </c>
      <c r="AG255" s="62">
        <v>0.87659208978752667</v>
      </c>
      <c r="AH255" s="63">
        <v>0.50843315386510823</v>
      </c>
      <c r="AI255">
        <v>1.3785594530237328</v>
      </c>
    </row>
    <row r="256" spans="17:35" x14ac:dyDescent="0.25">
      <c r="Q256" s="57"/>
      <c r="R256" s="57"/>
      <c r="Z256">
        <v>224</v>
      </c>
      <c r="AA256" s="58">
        <v>252.60977632979345</v>
      </c>
      <c r="AB256" s="59">
        <v>60.838565893707674</v>
      </c>
      <c r="AC256" s="59">
        <v>313.44834222350113</v>
      </c>
      <c r="AD256" s="60">
        <v>191.77121043608577</v>
      </c>
      <c r="AE256" s="61">
        <v>0.68969394818200092</v>
      </c>
      <c r="AF256" s="62">
        <v>0.18537192760046131</v>
      </c>
      <c r="AG256" s="62">
        <v>0.8750658757824622</v>
      </c>
      <c r="AH256" s="63">
        <v>0.50432202058153963</v>
      </c>
      <c r="AI256">
        <v>1.2646223295382277</v>
      </c>
    </row>
    <row r="257" spans="17:35" x14ac:dyDescent="0.25">
      <c r="Q257" s="57"/>
      <c r="R257" s="57"/>
      <c r="Z257">
        <v>225</v>
      </c>
      <c r="AA257" s="58">
        <v>251.46804161693376</v>
      </c>
      <c r="AB257" s="59">
        <v>61.028156258388549</v>
      </c>
      <c r="AC257" s="59">
        <v>312.49619787532231</v>
      </c>
      <c r="AD257" s="60">
        <v>190.43988535854521</v>
      </c>
      <c r="AE257" s="61">
        <v>0.68670220437056473</v>
      </c>
      <c r="AF257" s="62">
        <v>0.18644429753728961</v>
      </c>
      <c r="AG257" s="62">
        <v>0.87314650190785437</v>
      </c>
      <c r="AH257" s="63">
        <v>0.50025790683327509</v>
      </c>
      <c r="AI257">
        <v>1.1506852060527228</v>
      </c>
    </row>
    <row r="258" spans="17:35" x14ac:dyDescent="0.25">
      <c r="Q258" s="57"/>
      <c r="R258" s="57"/>
      <c r="Z258">
        <v>226</v>
      </c>
      <c r="AA258" s="58">
        <v>250.3810470218823</v>
      </c>
      <c r="AB258" s="59">
        <v>61.148976647502813</v>
      </c>
      <c r="AC258" s="59">
        <v>311.53002366938512</v>
      </c>
      <c r="AD258" s="60">
        <v>189.23207037437948</v>
      </c>
      <c r="AE258" s="61">
        <v>0.68386186688901895</v>
      </c>
      <c r="AF258" s="62">
        <v>0.18737749728225211</v>
      </c>
      <c r="AG258" s="62">
        <v>0.87123936417127101</v>
      </c>
      <c r="AH258" s="63">
        <v>0.49648436960676684</v>
      </c>
      <c r="AI258">
        <v>1.036748082567218</v>
      </c>
    </row>
    <row r="259" spans="17:35" x14ac:dyDescent="0.25">
      <c r="Q259" s="57"/>
      <c r="R259" s="57"/>
      <c r="Z259">
        <v>227</v>
      </c>
      <c r="AA259" s="58">
        <v>249.30722303844627</v>
      </c>
      <c r="AB259" s="59">
        <v>61.291633007841234</v>
      </c>
      <c r="AC259" s="59">
        <v>310.59885604628749</v>
      </c>
      <c r="AD259" s="60">
        <v>188.01559003060504</v>
      </c>
      <c r="AE259" s="61">
        <v>0.681061523763974</v>
      </c>
      <c r="AF259" s="62">
        <v>0.18836724997998061</v>
      </c>
      <c r="AG259" s="62">
        <v>0.86942877374395455</v>
      </c>
      <c r="AH259" s="63">
        <v>0.49269427378399339</v>
      </c>
      <c r="AI259">
        <v>0.92281095908171307</v>
      </c>
    </row>
    <row r="260" spans="17:35" x14ac:dyDescent="0.25">
      <c r="Q260" s="57"/>
      <c r="R260" s="57"/>
      <c r="Z260">
        <v>228</v>
      </c>
      <c r="AA260" s="58">
        <v>248.1866265064173</v>
      </c>
      <c r="AB260" s="59">
        <v>61.333176877533397</v>
      </c>
      <c r="AC260" s="59">
        <v>309.51980338395072</v>
      </c>
      <c r="AD260" s="60">
        <v>186.85344962888391</v>
      </c>
      <c r="AE260" s="61">
        <v>0.67814245525970263</v>
      </c>
      <c r="AF260" s="62">
        <v>0.18918862551540086</v>
      </c>
      <c r="AG260" s="62">
        <v>0.86733108077510346</v>
      </c>
      <c r="AH260" s="63">
        <v>0.48895382974430179</v>
      </c>
      <c r="AI260">
        <v>0.80887383559620807</v>
      </c>
    </row>
    <row r="261" spans="17:35" x14ac:dyDescent="0.25">
      <c r="Q261" s="57"/>
      <c r="R261" s="57"/>
      <c r="Z261">
        <v>229</v>
      </c>
      <c r="AA261" s="58">
        <v>247.11786039370307</v>
      </c>
      <c r="AB261" s="59">
        <v>61.439638291000421</v>
      </c>
      <c r="AC261" s="59">
        <v>308.55749868470349</v>
      </c>
      <c r="AD261" s="60">
        <v>185.67822210270265</v>
      </c>
      <c r="AE261" s="61">
        <v>0.67534249198259833</v>
      </c>
      <c r="AF261" s="62">
        <v>0.19005703332534224</v>
      </c>
      <c r="AG261" s="62">
        <v>0.86539952530794051</v>
      </c>
      <c r="AH261" s="63">
        <v>0.48528545865725609</v>
      </c>
      <c r="AI261">
        <v>0.69493671211070329</v>
      </c>
    </row>
    <row r="262" spans="17:35" x14ac:dyDescent="0.25">
      <c r="Q262" s="57"/>
      <c r="R262" s="57"/>
      <c r="Z262">
        <v>230</v>
      </c>
      <c r="AA262" s="58">
        <v>246.04704235200632</v>
      </c>
      <c r="AB262" s="59">
        <v>61.558702890481477</v>
      </c>
      <c r="AC262" s="59">
        <v>307.60574524248779</v>
      </c>
      <c r="AD262" s="60">
        <v>184.48833946152484</v>
      </c>
      <c r="AE262" s="61">
        <v>0.67254868219080866</v>
      </c>
      <c r="AF262" s="62">
        <v>0.1909679737359396</v>
      </c>
      <c r="AG262" s="62">
        <v>0.8635166559267482</v>
      </c>
      <c r="AH262" s="63">
        <v>0.48158070845486906</v>
      </c>
      <c r="AI262">
        <v>0.58099958862519829</v>
      </c>
    </row>
    <row r="263" spans="17:35" x14ac:dyDescent="0.25">
      <c r="Q263" s="57"/>
      <c r="R263" s="57"/>
      <c r="Z263">
        <v>231</v>
      </c>
      <c r="AA263" s="58">
        <v>244.99993666341524</v>
      </c>
      <c r="AB263" s="59">
        <v>61.633265374759077</v>
      </c>
      <c r="AC263" s="59">
        <v>306.63320203817432</v>
      </c>
      <c r="AD263" s="60">
        <v>183.36667128865616</v>
      </c>
      <c r="AE263" s="61">
        <v>0.66981581825696701</v>
      </c>
      <c r="AF263" s="62">
        <v>0.19176977457829697</v>
      </c>
      <c r="AG263" s="62">
        <v>0.86158559283526404</v>
      </c>
      <c r="AH263" s="63">
        <v>0.47804604367867004</v>
      </c>
      <c r="AI263">
        <v>0.46706246513969329</v>
      </c>
    </row>
    <row r="264" spans="17:35" x14ac:dyDescent="0.25">
      <c r="Q264" s="57"/>
      <c r="R264" s="57"/>
      <c r="Z264">
        <v>232</v>
      </c>
      <c r="AA264" s="58">
        <v>243.9664798245966</v>
      </c>
      <c r="AB264" s="59">
        <v>61.709136591693067</v>
      </c>
      <c r="AC264" s="59">
        <v>305.6756164162897</v>
      </c>
      <c r="AD264" s="60">
        <v>182.25734323290354</v>
      </c>
      <c r="AE264" s="61">
        <v>0.66712338498953094</v>
      </c>
      <c r="AF264" s="62">
        <v>0.19258314725458792</v>
      </c>
      <c r="AG264" s="62">
        <v>0.85970653224411886</v>
      </c>
      <c r="AH264" s="63">
        <v>0.47454023773494303</v>
      </c>
      <c r="AI264">
        <v>0.3531253416541883</v>
      </c>
    </row>
    <row r="265" spans="17:35" x14ac:dyDescent="0.25">
      <c r="Q265" s="57"/>
      <c r="R265" s="57"/>
      <c r="Z265">
        <v>233</v>
      </c>
      <c r="AA265" s="58">
        <v>242.91054528789357</v>
      </c>
      <c r="AB265" s="59">
        <v>61.681493678770622</v>
      </c>
      <c r="AC265" s="59">
        <v>304.59203896666418</v>
      </c>
      <c r="AD265" s="60">
        <v>181.22905160912296</v>
      </c>
      <c r="AE265" s="61">
        <v>0.66439073550418482</v>
      </c>
      <c r="AF265" s="62">
        <v>0.19329173841073857</v>
      </c>
      <c r="AG265" s="62">
        <v>0.85768247391492336</v>
      </c>
      <c r="AH265" s="63">
        <v>0.47109899709344627</v>
      </c>
      <c r="AI265">
        <v>0.23918821816868341</v>
      </c>
    </row>
    <row r="266" spans="17:35" x14ac:dyDescent="0.25">
      <c r="Q266" s="57"/>
      <c r="R266" s="57"/>
      <c r="Z266">
        <v>234</v>
      </c>
      <c r="AA266" s="58">
        <v>241.8632282390968</v>
      </c>
      <c r="AB266" s="59">
        <v>61.735169187281535</v>
      </c>
      <c r="AC266" s="59">
        <v>303.59839742637831</v>
      </c>
      <c r="AD266" s="60">
        <v>180.12805905181526</v>
      </c>
      <c r="AE266" s="61">
        <v>0.66166833691595495</v>
      </c>
      <c r="AF266" s="62">
        <v>0.19408615399050769</v>
      </c>
      <c r="AG266" s="62">
        <v>0.85575449090646261</v>
      </c>
      <c r="AH266" s="63">
        <v>0.46758218292544729</v>
      </c>
      <c r="AI266">
        <v>0.12525109468317852</v>
      </c>
    </row>
    <row r="267" spans="17:35" x14ac:dyDescent="0.25">
      <c r="Q267" s="57"/>
      <c r="R267" s="57"/>
      <c r="Z267">
        <v>235</v>
      </c>
      <c r="AA267" s="58">
        <v>240.88901109403778</v>
      </c>
      <c r="AB267" s="59">
        <v>61.650513823766609</v>
      </c>
      <c r="AC267" s="59">
        <v>302.53952491780439</v>
      </c>
      <c r="AD267" s="60">
        <v>179.23849727027118</v>
      </c>
      <c r="AE267" s="61">
        <v>0.65908944733433505</v>
      </c>
      <c r="AF267" s="62">
        <v>0.19425889651229722</v>
      </c>
      <c r="AG267" s="62">
        <v>0.85334834384663227</v>
      </c>
      <c r="AH267" s="63">
        <v>0.46483055082203784</v>
      </c>
      <c r="AI267">
        <v>2.0460865441076045E-2</v>
      </c>
    </row>
    <row r="268" spans="17:35" x14ac:dyDescent="0.25">
      <c r="Q268" s="57"/>
      <c r="R268" s="57"/>
      <c r="Z268">
        <v>236</v>
      </c>
      <c r="AA268" s="58">
        <v>239.82698238447699</v>
      </c>
      <c r="AB268" s="59">
        <v>61.581722383924323</v>
      </c>
      <c r="AC268" s="59">
        <v>301.40870476840132</v>
      </c>
      <c r="AD268" s="60">
        <v>178.24526000055266</v>
      </c>
      <c r="AE268" s="61">
        <v>0.65621599038566314</v>
      </c>
      <c r="AF268" s="62">
        <v>0.19415679000690408</v>
      </c>
      <c r="AG268" s="62">
        <v>0.85037278039256725</v>
      </c>
      <c r="AH268" s="63">
        <v>0.46205920037875903</v>
      </c>
      <c r="AI268">
        <v>0</v>
      </c>
    </row>
    <row r="269" spans="17:35" x14ac:dyDescent="0.25">
      <c r="Q269" s="57"/>
      <c r="R269" s="57"/>
      <c r="Z269">
        <v>237</v>
      </c>
      <c r="AA269" s="58">
        <v>238.59873652067861</v>
      </c>
      <c r="AB269" s="59">
        <v>61.351011406030551</v>
      </c>
      <c r="AC269" s="59">
        <v>299.94974792670916</v>
      </c>
      <c r="AD269" s="60">
        <v>177.24772511464806</v>
      </c>
      <c r="AE269" s="61">
        <v>0.65282542809933342</v>
      </c>
      <c r="AF269" s="62">
        <v>0.19324123310432731</v>
      </c>
      <c r="AG269" s="62">
        <v>0.8460666612036607</v>
      </c>
      <c r="AH269" s="63">
        <v>0.45958419499500613</v>
      </c>
      <c r="AI269">
        <v>0</v>
      </c>
    </row>
    <row r="270" spans="17:35" x14ac:dyDescent="0.25">
      <c r="Q270" s="57"/>
      <c r="R270" s="57"/>
      <c r="Z270">
        <v>238</v>
      </c>
      <c r="AA270" s="58">
        <v>237.33554277131745</v>
      </c>
      <c r="AB270" s="59">
        <v>61.038567130723308</v>
      </c>
      <c r="AC270" s="59">
        <v>298.37410990204074</v>
      </c>
      <c r="AD270" s="60">
        <v>176.29697564059416</v>
      </c>
      <c r="AE270" s="61">
        <v>0.64930638612441527</v>
      </c>
      <c r="AF270" s="62">
        <v>0.19195195807923349</v>
      </c>
      <c r="AG270" s="62">
        <v>0.84125834420364876</v>
      </c>
      <c r="AH270" s="63">
        <v>0.45735442804518178</v>
      </c>
      <c r="AI270">
        <v>0</v>
      </c>
    </row>
    <row r="271" spans="17:35" x14ac:dyDescent="0.25">
      <c r="Q271" s="57"/>
      <c r="R271" s="57"/>
      <c r="Z271">
        <v>239</v>
      </c>
      <c r="AA271" s="58">
        <v>236.12849967442253</v>
      </c>
      <c r="AB271" s="59">
        <v>60.60164299903623</v>
      </c>
      <c r="AC271" s="59">
        <v>296.73014267345877</v>
      </c>
      <c r="AD271" s="60">
        <v>175.52685667538628</v>
      </c>
      <c r="AE271" s="61">
        <v>0.64590505512932272</v>
      </c>
      <c r="AF271" s="62">
        <v>0.19019995737886647</v>
      </c>
      <c r="AG271" s="62">
        <v>0.83610501250818925</v>
      </c>
      <c r="AH271" s="63">
        <v>0.45570509775045626</v>
      </c>
      <c r="AI271">
        <v>0</v>
      </c>
    </row>
    <row r="272" spans="17:35" x14ac:dyDescent="0.25">
      <c r="Q272" s="57"/>
      <c r="R272" s="57"/>
      <c r="Z272">
        <v>240</v>
      </c>
      <c r="AA272" s="58">
        <v>234.76479756010895</v>
      </c>
      <c r="AB272" s="59">
        <v>60.223910841917835</v>
      </c>
      <c r="AC272" s="59">
        <v>294.98870840202676</v>
      </c>
      <c r="AD272" s="60">
        <v>174.5408867181911</v>
      </c>
      <c r="AE272" s="61">
        <v>0.64201672541144272</v>
      </c>
      <c r="AF272" s="62">
        <v>0.18821973239917922</v>
      </c>
      <c r="AG272" s="62">
        <v>0.83023645781062194</v>
      </c>
      <c r="AH272" s="63">
        <v>0.45379699301226351</v>
      </c>
      <c r="AI272">
        <v>0</v>
      </c>
    </row>
    <row r="273" spans="17:35" x14ac:dyDescent="0.25">
      <c r="Q273" s="57"/>
      <c r="R273" s="57"/>
      <c r="Z273">
        <v>241</v>
      </c>
      <c r="AA273" s="58">
        <v>233.40529139338742</v>
      </c>
      <c r="AB273" s="59">
        <v>59.83343772014836</v>
      </c>
      <c r="AC273" s="59">
        <v>293.23872911353578</v>
      </c>
      <c r="AD273" s="60">
        <v>173.57185367323905</v>
      </c>
      <c r="AE273" s="61">
        <v>0.63815927787178561</v>
      </c>
      <c r="AF273" s="62">
        <v>0.1863145491863685</v>
      </c>
      <c r="AG273" s="62">
        <v>0.82447382705815409</v>
      </c>
      <c r="AH273" s="63">
        <v>0.45184472868541714</v>
      </c>
      <c r="AI273">
        <v>0</v>
      </c>
    </row>
    <row r="274" spans="17:35" x14ac:dyDescent="0.25">
      <c r="Q274" s="57"/>
      <c r="R274" s="57"/>
      <c r="Z274">
        <v>242</v>
      </c>
      <c r="AA274" s="58">
        <v>232.04418089045669</v>
      </c>
      <c r="AB274" s="59">
        <v>59.481213298208679</v>
      </c>
      <c r="AC274" s="59">
        <v>291.52539418866536</v>
      </c>
      <c r="AD274" s="60">
        <v>172.56296759224801</v>
      </c>
      <c r="AE274" s="61">
        <v>0.63426015126864677</v>
      </c>
      <c r="AF274" s="62">
        <v>0.18434333035509867</v>
      </c>
      <c r="AG274" s="62">
        <v>0.81860348162374541</v>
      </c>
      <c r="AH274" s="63">
        <v>0.44991682091354812</v>
      </c>
      <c r="AI274">
        <v>0</v>
      </c>
    </row>
    <row r="275" spans="17:35" x14ac:dyDescent="0.25">
      <c r="Q275" s="57"/>
      <c r="R275" s="57"/>
      <c r="Z275">
        <v>243</v>
      </c>
      <c r="AA275" s="58">
        <v>230.71118055886618</v>
      </c>
      <c r="AB275" s="59">
        <v>59.099693409857963</v>
      </c>
      <c r="AC275" s="59">
        <v>289.81087396872414</v>
      </c>
      <c r="AD275" s="60">
        <v>171.61148714900821</v>
      </c>
      <c r="AE275" s="61">
        <v>0.63045336043576172</v>
      </c>
      <c r="AF275" s="62">
        <v>0.18240390130273576</v>
      </c>
      <c r="AG275" s="62">
        <v>0.81285726173849748</v>
      </c>
      <c r="AH275" s="63">
        <v>0.44804945913302596</v>
      </c>
      <c r="AI275">
        <v>0</v>
      </c>
    </row>
    <row r="276" spans="17:35" x14ac:dyDescent="0.25">
      <c r="Q276" s="57"/>
      <c r="R276" s="57"/>
      <c r="Z276">
        <v>244</v>
      </c>
      <c r="AA276" s="58">
        <v>229.4628317321739</v>
      </c>
      <c r="AB276" s="59">
        <v>58.766839724899121</v>
      </c>
      <c r="AC276" s="59">
        <v>288.22967145707304</v>
      </c>
      <c r="AD276" s="60">
        <v>170.69599200727478</v>
      </c>
      <c r="AE276" s="61">
        <v>0.62689978118176848</v>
      </c>
      <c r="AF276" s="62">
        <v>0.18075154826759177</v>
      </c>
      <c r="AG276" s="62">
        <v>0.80765132944936024</v>
      </c>
      <c r="AH276" s="63">
        <v>0.44614823291417671</v>
      </c>
      <c r="AI276">
        <v>0</v>
      </c>
    </row>
    <row r="277" spans="17:35" x14ac:dyDescent="0.25">
      <c r="Q277" s="57"/>
      <c r="R277" s="57"/>
      <c r="Z277">
        <v>245</v>
      </c>
      <c r="AA277" s="58">
        <v>228.13701809570409</v>
      </c>
      <c r="AB277" s="59">
        <v>58.492323620321166</v>
      </c>
      <c r="AC277" s="59">
        <v>286.62934171602524</v>
      </c>
      <c r="AD277" s="60">
        <v>169.64469447538292</v>
      </c>
      <c r="AE277" s="61">
        <v>0.62311051173324616</v>
      </c>
      <c r="AF277" s="62">
        <v>0.17913559339904722</v>
      </c>
      <c r="AG277" s="62">
        <v>0.80224610513229333</v>
      </c>
      <c r="AH277" s="63">
        <v>0.44397491833419894</v>
      </c>
      <c r="AI277">
        <v>0</v>
      </c>
    </row>
    <row r="278" spans="17:35" x14ac:dyDescent="0.25">
      <c r="Q278" s="57"/>
      <c r="R278" s="57"/>
      <c r="Z278">
        <v>246</v>
      </c>
      <c r="AA278" s="58">
        <v>226.87378486115014</v>
      </c>
      <c r="AB278" s="59">
        <v>58.224047539308252</v>
      </c>
      <c r="AC278" s="59">
        <v>285.0978324004584</v>
      </c>
      <c r="AD278" s="60">
        <v>168.64973732184188</v>
      </c>
      <c r="AE278" s="61">
        <v>0.61950636237234413</v>
      </c>
      <c r="AF278" s="62">
        <v>0.1776089403179778</v>
      </c>
      <c r="AG278" s="62">
        <v>0.79711530269032194</v>
      </c>
      <c r="AH278" s="63">
        <v>0.44189742205436633</v>
      </c>
      <c r="AI278">
        <v>0</v>
      </c>
    </row>
    <row r="279" spans="17:35" x14ac:dyDescent="0.25">
      <c r="Q279" s="57"/>
      <c r="R279" s="57"/>
      <c r="Z279">
        <v>247</v>
      </c>
      <c r="AA279" s="58">
        <v>225.66544994805645</v>
      </c>
      <c r="AB279" s="59">
        <v>57.953295602383896</v>
      </c>
      <c r="AC279" s="59">
        <v>283.61874555044034</v>
      </c>
      <c r="AD279" s="60">
        <v>167.71215434567256</v>
      </c>
      <c r="AE279" s="61">
        <v>0.61606860517316941</v>
      </c>
      <c r="AF279" s="62">
        <v>0.17619667546093701</v>
      </c>
      <c r="AG279" s="62">
        <v>0.79226528063410639</v>
      </c>
      <c r="AH279" s="63">
        <v>0.43987192971223243</v>
      </c>
      <c r="AI279">
        <v>0</v>
      </c>
    </row>
    <row r="280" spans="17:35" x14ac:dyDescent="0.25">
      <c r="Q280" s="57"/>
      <c r="R280" s="57"/>
      <c r="Z280">
        <v>248</v>
      </c>
      <c r="AA280" s="58">
        <v>224.4327913923992</v>
      </c>
      <c r="AB280" s="59">
        <v>57.712658199391001</v>
      </c>
      <c r="AC280" s="59">
        <v>282.14544959179022</v>
      </c>
      <c r="AD280" s="60">
        <v>166.72013319300819</v>
      </c>
      <c r="AE280" s="61">
        <v>0.61255684913975084</v>
      </c>
      <c r="AF280" s="62">
        <v>0.17482631929530698</v>
      </c>
      <c r="AG280" s="62">
        <v>0.78738316843505785</v>
      </c>
      <c r="AH280" s="63">
        <v>0.43773052984444383</v>
      </c>
      <c r="AI280">
        <v>0</v>
      </c>
    </row>
    <row r="281" spans="17:35" x14ac:dyDescent="0.25">
      <c r="Q281" s="57"/>
      <c r="R281" s="57"/>
      <c r="Z281">
        <v>249</v>
      </c>
      <c r="AA281" s="58">
        <v>223.23105096657514</v>
      </c>
      <c r="AB281" s="59">
        <v>57.371924537075166</v>
      </c>
      <c r="AC281" s="59">
        <v>280.60297550365033</v>
      </c>
      <c r="AD281" s="60">
        <v>165.85912642949998</v>
      </c>
      <c r="AE281" s="61">
        <v>0.60913777627180243</v>
      </c>
      <c r="AF281" s="62">
        <v>0.17323078971577816</v>
      </c>
      <c r="AG281" s="62">
        <v>0.78236856598758053</v>
      </c>
      <c r="AH281" s="63">
        <v>0.43590698655602428</v>
      </c>
      <c r="AI281">
        <v>0</v>
      </c>
    </row>
    <row r="282" spans="17:35" x14ac:dyDescent="0.25">
      <c r="Q282" s="57"/>
      <c r="R282" s="57"/>
      <c r="Z282">
        <v>250</v>
      </c>
      <c r="AA282" s="58">
        <v>222.02061855819957</v>
      </c>
      <c r="AB282" s="59">
        <v>56.963918178560718</v>
      </c>
      <c r="AC282" s="59">
        <v>278.98453673676028</v>
      </c>
      <c r="AD282" s="60">
        <v>165.05670037963887</v>
      </c>
      <c r="AE282" s="61">
        <v>0.60568877155063638</v>
      </c>
      <c r="AF282" s="62">
        <v>0.17144793283812046</v>
      </c>
      <c r="AG282" s="62">
        <v>0.77713670438875682</v>
      </c>
      <c r="AH282" s="63">
        <v>0.43424083871251595</v>
      </c>
      <c r="AI282">
        <v>0</v>
      </c>
    </row>
    <row r="283" spans="17:35" x14ac:dyDescent="0.25">
      <c r="Q283" s="57"/>
      <c r="R283" s="57"/>
      <c r="Z283">
        <v>251</v>
      </c>
      <c r="AA283" s="58">
        <v>220.78658211426037</v>
      </c>
      <c r="AB283" s="59">
        <v>56.589193648160681</v>
      </c>
      <c r="AC283" s="59">
        <v>277.37577576242103</v>
      </c>
      <c r="AD283" s="60">
        <v>164.19738846609968</v>
      </c>
      <c r="AE283" s="61">
        <v>0.60216843052377045</v>
      </c>
      <c r="AF283" s="62">
        <v>0.1696331868883181</v>
      </c>
      <c r="AG283" s="62">
        <v>0.77180161741208853</v>
      </c>
      <c r="AH283" s="63">
        <v>0.43253524363545237</v>
      </c>
      <c r="AI283">
        <v>0</v>
      </c>
    </row>
    <row r="284" spans="17:35" x14ac:dyDescent="0.25">
      <c r="Q284" s="57"/>
      <c r="R284" s="57"/>
      <c r="Z284">
        <v>252</v>
      </c>
      <c r="AA284" s="58">
        <v>219.64770741285369</v>
      </c>
      <c r="AB284" s="59">
        <v>56.218784852199356</v>
      </c>
      <c r="AC284" s="59">
        <v>275.86649226505307</v>
      </c>
      <c r="AD284" s="60">
        <v>163.42892256065434</v>
      </c>
      <c r="AE284" s="61">
        <v>0.59894234222317022</v>
      </c>
      <c r="AF284" s="62">
        <v>0.16805401979532877</v>
      </c>
      <c r="AG284" s="62">
        <v>0.76699636201849897</v>
      </c>
      <c r="AH284" s="63">
        <v>0.43088832242784147</v>
      </c>
      <c r="AI284">
        <v>0</v>
      </c>
    </row>
    <row r="285" spans="17:35" x14ac:dyDescent="0.25">
      <c r="Q285" s="57"/>
      <c r="R285" s="57"/>
      <c r="Z285">
        <v>253</v>
      </c>
      <c r="AA285" s="58">
        <v>218.44996626499889</v>
      </c>
      <c r="AB285" s="59">
        <v>55.873220209369784</v>
      </c>
      <c r="AC285" s="59">
        <v>274.3231864743687</v>
      </c>
      <c r="AD285" s="60">
        <v>162.57674605562912</v>
      </c>
      <c r="AE285" s="61">
        <v>0.59553788895753268</v>
      </c>
      <c r="AF285" s="62">
        <v>0.16645825393502839</v>
      </c>
      <c r="AG285" s="62">
        <v>0.76199614289256101</v>
      </c>
      <c r="AH285" s="63">
        <v>0.42907963502250429</v>
      </c>
      <c r="AI285">
        <v>0</v>
      </c>
    </row>
    <row r="286" spans="17:35" x14ac:dyDescent="0.25">
      <c r="Q286" s="57"/>
      <c r="R286" s="57"/>
      <c r="Z286">
        <v>254</v>
      </c>
      <c r="AA286" s="58">
        <v>217.28374128089078</v>
      </c>
      <c r="AB286" s="59">
        <v>55.519832000056255</v>
      </c>
      <c r="AC286" s="59">
        <v>272.80357328094703</v>
      </c>
      <c r="AD286" s="60">
        <v>161.76390928083453</v>
      </c>
      <c r="AE286" s="61">
        <v>0.59225489887196547</v>
      </c>
      <c r="AF286" s="62">
        <v>0.1649730889633495</v>
      </c>
      <c r="AG286" s="62">
        <v>0.75722798783531498</v>
      </c>
      <c r="AH286" s="63">
        <v>0.42728180990861597</v>
      </c>
      <c r="AI286">
        <v>0</v>
      </c>
    </row>
    <row r="287" spans="17:35" x14ac:dyDescent="0.25">
      <c r="Q287" s="57"/>
      <c r="R287" s="57"/>
      <c r="Z287">
        <v>255</v>
      </c>
      <c r="AA287" s="58">
        <v>216.1511604985034</v>
      </c>
      <c r="AB287" s="59">
        <v>55.102082524600092</v>
      </c>
      <c r="AC287" s="59">
        <v>271.25324302310349</v>
      </c>
      <c r="AD287" s="60">
        <v>161.04907797390331</v>
      </c>
      <c r="AE287" s="61">
        <v>0.58905086632801795</v>
      </c>
      <c r="AF287" s="62">
        <v>0.16327496968731489</v>
      </c>
      <c r="AG287" s="62">
        <v>0.75232583601533287</v>
      </c>
      <c r="AH287" s="63">
        <v>0.42577589664070303</v>
      </c>
      <c r="AI287">
        <v>0.78158792230899343</v>
      </c>
    </row>
    <row r="288" spans="17:35" x14ac:dyDescent="0.25">
      <c r="Q288" s="57"/>
      <c r="R288" s="57"/>
      <c r="Z288">
        <v>256</v>
      </c>
      <c r="AA288" s="58">
        <v>215.00776658157906</v>
      </c>
      <c r="AB288" s="59">
        <v>54.814334553681384</v>
      </c>
      <c r="AC288" s="59">
        <v>269.82210113526043</v>
      </c>
      <c r="AD288" s="60">
        <v>160.19343202789767</v>
      </c>
      <c r="AE288" s="61">
        <v>0.5858249435680134</v>
      </c>
      <c r="AF288" s="62">
        <v>0.16189798934850536</v>
      </c>
      <c r="AG288" s="62">
        <v>0.7477229329165187</v>
      </c>
      <c r="AH288" s="63">
        <v>0.42392695421950805</v>
      </c>
      <c r="AI288">
        <v>1.482561938046606</v>
      </c>
    </row>
    <row r="289" spans="17:35" x14ac:dyDescent="0.25">
      <c r="Q289" s="57"/>
      <c r="R289" s="57"/>
      <c r="Z289">
        <v>257</v>
      </c>
      <c r="AA289" s="58">
        <v>213.90773143637946</v>
      </c>
      <c r="AB289" s="59">
        <v>54.505885373389432</v>
      </c>
      <c r="AC289" s="59">
        <v>268.41361680976888</v>
      </c>
      <c r="AD289" s="60">
        <v>159.40184606299005</v>
      </c>
      <c r="AE289" s="61">
        <v>0.58272856965900988</v>
      </c>
      <c r="AF289" s="62">
        <v>0.16058291736193508</v>
      </c>
      <c r="AG289" s="62">
        <v>0.74331148702094496</v>
      </c>
      <c r="AH289" s="63">
        <v>0.42214565229707479</v>
      </c>
      <c r="AI289">
        <v>3.4528896504743369</v>
      </c>
    </row>
    <row r="290" spans="17:35" x14ac:dyDescent="0.25">
      <c r="Q290" s="57"/>
      <c r="R290" s="57"/>
      <c r="Z290">
        <v>258</v>
      </c>
      <c r="AA290" s="58">
        <v>212.82479756895077</v>
      </c>
      <c r="AB290" s="59">
        <v>54.172161472855137</v>
      </c>
      <c r="AC290" s="59">
        <v>266.99695904180589</v>
      </c>
      <c r="AD290" s="60">
        <v>158.65263609609565</v>
      </c>
      <c r="AE290" s="61">
        <v>0.57967481260830755</v>
      </c>
      <c r="AF290" s="62">
        <v>0.15913548631851335</v>
      </c>
      <c r="AG290" s="62">
        <v>0.73881029892682093</v>
      </c>
      <c r="AH290" s="63">
        <v>0.42053932628979418</v>
      </c>
      <c r="AI290">
        <v>6.2990296675942083</v>
      </c>
    </row>
    <row r="291" spans="17:35" x14ac:dyDescent="0.25">
      <c r="Q291" s="57"/>
      <c r="R291" s="57"/>
      <c r="Z291">
        <v>259</v>
      </c>
      <c r="AA291" s="58">
        <v>211.78982756488975</v>
      </c>
      <c r="AB291" s="59">
        <v>53.857008011479493</v>
      </c>
      <c r="AC291" s="59">
        <v>265.64683557636926</v>
      </c>
      <c r="AD291" s="60">
        <v>157.93281955341024</v>
      </c>
      <c r="AE291" s="61">
        <v>0.5767593519216978</v>
      </c>
      <c r="AF291" s="62">
        <v>0.15773474892871767</v>
      </c>
      <c r="AG291" s="62">
        <v>0.73449410085041544</v>
      </c>
      <c r="AH291" s="63">
        <v>0.41902460299298017</v>
      </c>
      <c r="AI291">
        <v>9.1451696847140802</v>
      </c>
    </row>
    <row r="292" spans="17:35" x14ac:dyDescent="0.25">
      <c r="Q292" s="57"/>
      <c r="R292" s="57"/>
      <c r="Z292">
        <v>260</v>
      </c>
      <c r="AA292" s="58">
        <v>210.60358077242299</v>
      </c>
      <c r="AB292" s="59">
        <v>53.248000796624922</v>
      </c>
      <c r="AC292" s="59">
        <v>263.85158156904788</v>
      </c>
      <c r="AD292" s="60">
        <v>157.35557997579807</v>
      </c>
      <c r="AE292" s="61">
        <v>0.57336580469654064</v>
      </c>
      <c r="AF292" s="62">
        <v>0.15511782736769761</v>
      </c>
      <c r="AG292" s="62">
        <v>0.72848363206423827</v>
      </c>
      <c r="AH292" s="63">
        <v>0.418247977328843</v>
      </c>
      <c r="AI292">
        <v>12.888322228611768</v>
      </c>
    </row>
    <row r="293" spans="17:35" x14ac:dyDescent="0.25">
      <c r="Q293" s="57"/>
      <c r="R293" s="57"/>
      <c r="Z293">
        <v>261</v>
      </c>
      <c r="AA293" s="58">
        <v>209.37372573014898</v>
      </c>
      <c r="AB293" s="59">
        <v>52.631325901183821</v>
      </c>
      <c r="AC293" s="59">
        <v>262.00505163133278</v>
      </c>
      <c r="AD293" s="60">
        <v>156.74239982896515</v>
      </c>
      <c r="AE293" s="61">
        <v>0.56984298314808302</v>
      </c>
      <c r="AF293" s="62">
        <v>0.15233824446795968</v>
      </c>
      <c r="AG293" s="62">
        <v>0.72218122761604264</v>
      </c>
      <c r="AH293" s="63">
        <v>0.41750473868012333</v>
      </c>
      <c r="AI293">
        <v>15.109242100271661</v>
      </c>
    </row>
    <row r="294" spans="17:35" x14ac:dyDescent="0.25">
      <c r="Q294" s="57"/>
      <c r="R294" s="57"/>
      <c r="Z294">
        <v>262</v>
      </c>
      <c r="AA294" s="58">
        <v>208.14104533687689</v>
      </c>
      <c r="AB294" s="59">
        <v>52.009945115075944</v>
      </c>
      <c r="AC294" s="59">
        <v>260.15099045195285</v>
      </c>
      <c r="AD294" s="60">
        <v>156.13110022180095</v>
      </c>
      <c r="AE294" s="61">
        <v>0.56631418210395013</v>
      </c>
      <c r="AF294" s="62">
        <v>0.14947078191092439</v>
      </c>
      <c r="AG294" s="62">
        <v>0.71578496401487457</v>
      </c>
      <c r="AH294" s="63">
        <v>0.41684340019302574</v>
      </c>
      <c r="AI294">
        <v>14.133921336047147</v>
      </c>
    </row>
    <row r="295" spans="17:35" x14ac:dyDescent="0.25">
      <c r="Q295" s="57"/>
      <c r="R295" s="57"/>
      <c r="Z295">
        <v>263</v>
      </c>
      <c r="AA295" s="58">
        <v>206.87377748463436</v>
      </c>
      <c r="AB295" s="59">
        <v>51.373935221292186</v>
      </c>
      <c r="AC295" s="59">
        <v>258.24771270592657</v>
      </c>
      <c r="AD295" s="60">
        <v>155.49984226334217</v>
      </c>
      <c r="AE295" s="61">
        <v>0.56264202313066858</v>
      </c>
      <c r="AF295" s="62">
        <v>0.14628261177552429</v>
      </c>
      <c r="AG295" s="62">
        <v>0.70892463490619284</v>
      </c>
      <c r="AH295" s="63">
        <v>0.41635941135514432</v>
      </c>
      <c r="AI295">
        <v>17.689804352051524</v>
      </c>
    </row>
    <row r="296" spans="17:35" x14ac:dyDescent="0.25">
      <c r="Q296" s="57"/>
      <c r="R296" s="57"/>
      <c r="Z296">
        <v>264</v>
      </c>
      <c r="AA296" s="58">
        <v>205.58525378502262</v>
      </c>
      <c r="AB296" s="59">
        <v>50.810754355558217</v>
      </c>
      <c r="AC296" s="59">
        <v>256.39600814058082</v>
      </c>
      <c r="AD296" s="60">
        <v>154.77449942946441</v>
      </c>
      <c r="AE296" s="61">
        <v>0.55893032757815908</v>
      </c>
      <c r="AF296" s="62">
        <v>0.14337751869380555</v>
      </c>
      <c r="AG296" s="62">
        <v>0.70230784627196463</v>
      </c>
      <c r="AH296" s="63">
        <v>0.41555280888435353</v>
      </c>
      <c r="AI296">
        <v>17.187211173995554</v>
      </c>
    </row>
    <row r="297" spans="17:35" x14ac:dyDescent="0.25">
      <c r="Q297" s="57"/>
      <c r="R297" s="57"/>
      <c r="Z297">
        <v>265</v>
      </c>
      <c r="AA297" s="58">
        <v>204.25746650554774</v>
      </c>
      <c r="AB297" s="59">
        <v>50.112067548944218</v>
      </c>
      <c r="AC297" s="59">
        <v>254.36953405449196</v>
      </c>
      <c r="AD297" s="60">
        <v>154.14539895660351</v>
      </c>
      <c r="AE297" s="61">
        <v>0.55514043373202648</v>
      </c>
      <c r="AF297" s="62">
        <v>0.14029558134073208</v>
      </c>
      <c r="AG297" s="62">
        <v>0.69543601507275854</v>
      </c>
      <c r="AH297" s="63">
        <v>0.41484485239129443</v>
      </c>
      <c r="AI297">
        <v>16.628422454409378</v>
      </c>
    </row>
    <row r="298" spans="17:35" x14ac:dyDescent="0.25">
      <c r="Q298" s="57"/>
      <c r="R298" s="57"/>
      <c r="Z298">
        <v>266</v>
      </c>
      <c r="AA298" s="58">
        <v>202.97219362846855</v>
      </c>
      <c r="AB298" s="59">
        <v>49.564022044051818</v>
      </c>
      <c r="AC298" s="59">
        <v>252.53621567252037</v>
      </c>
      <c r="AD298" s="60">
        <v>153.40817158441672</v>
      </c>
      <c r="AE298" s="61">
        <v>0.5514468381784613</v>
      </c>
      <c r="AF298" s="62">
        <v>0.13743484728171942</v>
      </c>
      <c r="AG298" s="62">
        <v>0.68888168546018069</v>
      </c>
      <c r="AH298" s="63">
        <v>0.4140119908967419</v>
      </c>
      <c r="AI298">
        <v>20.144474240018546</v>
      </c>
    </row>
    <row r="299" spans="17:35" x14ac:dyDescent="0.25">
      <c r="Q299" s="57"/>
      <c r="R299" s="57"/>
      <c r="Z299">
        <v>267</v>
      </c>
      <c r="AA299" s="58">
        <v>201.68779542055245</v>
      </c>
      <c r="AB299" s="59">
        <v>49.184341291696853</v>
      </c>
      <c r="AC299" s="59">
        <v>250.8721367122493</v>
      </c>
      <c r="AD299" s="60">
        <v>152.50345412885559</v>
      </c>
      <c r="AE299" s="61">
        <v>0.5477639504967946</v>
      </c>
      <c r="AF299" s="62">
        <v>0.13512814385145991</v>
      </c>
      <c r="AG299" s="62">
        <v>0.68289209434825449</v>
      </c>
      <c r="AH299" s="63">
        <v>0.41263580664533472</v>
      </c>
      <c r="AI299">
        <v>17.539235417426791</v>
      </c>
    </row>
    <row r="300" spans="17:35" x14ac:dyDescent="0.25">
      <c r="Q300" s="57"/>
      <c r="R300" s="57"/>
      <c r="Z300">
        <v>268</v>
      </c>
      <c r="AA300" s="58">
        <v>200.45753630436101</v>
      </c>
      <c r="AB300" s="59">
        <v>48.733184295600317</v>
      </c>
      <c r="AC300" s="59">
        <v>249.19072059996134</v>
      </c>
      <c r="AD300" s="60">
        <v>151.72435200876069</v>
      </c>
      <c r="AE300" s="61">
        <v>0.54424431739208112</v>
      </c>
      <c r="AF300" s="62">
        <v>0.13272848476025764</v>
      </c>
      <c r="AG300" s="62">
        <v>0.67697280215233879</v>
      </c>
      <c r="AH300" s="63">
        <v>0.41151583263182345</v>
      </c>
      <c r="AI300">
        <v>18.333755815581906</v>
      </c>
    </row>
    <row r="301" spans="17:35" x14ac:dyDescent="0.25">
      <c r="Q301" s="57"/>
      <c r="R301" s="57"/>
      <c r="Z301">
        <v>269</v>
      </c>
      <c r="AA301" s="58">
        <v>199.14255193691633</v>
      </c>
      <c r="AB301" s="59">
        <v>48.447172941614994</v>
      </c>
      <c r="AC301" s="59">
        <v>247.58972487853134</v>
      </c>
      <c r="AD301" s="60">
        <v>150.69537899530133</v>
      </c>
      <c r="AE301" s="61">
        <v>0.54050272538430633</v>
      </c>
      <c r="AF301" s="62">
        <v>0.13081688637652536</v>
      </c>
      <c r="AG301" s="62">
        <v>0.67131961176083166</v>
      </c>
      <c r="AH301" s="63">
        <v>0.40968583900778099</v>
      </c>
      <c r="AI301">
        <v>17.923063673819914</v>
      </c>
    </row>
    <row r="302" spans="17:35" x14ac:dyDescent="0.25">
      <c r="Q302" s="57"/>
      <c r="R302" s="57"/>
      <c r="Z302">
        <v>270</v>
      </c>
      <c r="AA302" s="58">
        <v>197.84483286240686</v>
      </c>
      <c r="AB302" s="59">
        <v>48.070290735166402</v>
      </c>
      <c r="AC302" s="59">
        <v>245.91512359757326</v>
      </c>
      <c r="AD302" s="60">
        <v>149.77454212724047</v>
      </c>
      <c r="AE302" s="61">
        <v>0.53682745790081421</v>
      </c>
      <c r="AF302" s="62">
        <v>0.12875882025232588</v>
      </c>
      <c r="AG302" s="62">
        <v>0.66558627815314009</v>
      </c>
      <c r="AH302" s="63">
        <v>0.40806863764848833</v>
      </c>
      <c r="AI302">
        <v>16.278159681035905</v>
      </c>
    </row>
    <row r="303" spans="17:35" x14ac:dyDescent="0.25">
      <c r="Q303" s="57"/>
      <c r="R303" s="57"/>
      <c r="Z303">
        <v>271</v>
      </c>
      <c r="AA303" s="58">
        <v>196.52603187200739</v>
      </c>
      <c r="AB303" s="59">
        <v>47.761518620827964</v>
      </c>
      <c r="AC303" s="59">
        <v>244.28755049283535</v>
      </c>
      <c r="AD303" s="60">
        <v>148.76451325117944</v>
      </c>
      <c r="AE303" s="61">
        <v>0.53308544823904092</v>
      </c>
      <c r="AF303" s="62">
        <v>0.12690783949951145</v>
      </c>
      <c r="AG303" s="62">
        <v>0.65999328773855237</v>
      </c>
      <c r="AH303" s="63">
        <v>0.40617760873952946</v>
      </c>
      <c r="AI303">
        <v>16.357754267570485</v>
      </c>
    </row>
    <row r="304" spans="17:35" x14ac:dyDescent="0.25">
      <c r="Q304" s="57"/>
      <c r="R304" s="57"/>
      <c r="Z304">
        <v>272</v>
      </c>
      <c r="AA304" s="58">
        <v>195.20036208386159</v>
      </c>
      <c r="AB304" s="59">
        <v>47.453856352756539</v>
      </c>
      <c r="AC304" s="59">
        <v>242.65421843661812</v>
      </c>
      <c r="AD304" s="60">
        <v>147.74650573110506</v>
      </c>
      <c r="AE304" s="61">
        <v>0.52933042208568848</v>
      </c>
      <c r="AF304" s="62">
        <v>0.12506137939036241</v>
      </c>
      <c r="AG304" s="62">
        <v>0.65439180147605092</v>
      </c>
      <c r="AH304" s="63">
        <v>0.40426904269532604</v>
      </c>
      <c r="AI304">
        <v>18.158041524284954</v>
      </c>
    </row>
    <row r="305" spans="17:35" x14ac:dyDescent="0.25">
      <c r="Q305" s="57"/>
      <c r="R305" s="57"/>
      <c r="Z305">
        <v>273</v>
      </c>
      <c r="AA305" s="58">
        <v>193.99144021460941</v>
      </c>
      <c r="AB305" s="59">
        <v>47.241696913064324</v>
      </c>
      <c r="AC305" s="59">
        <v>241.23313712767373</v>
      </c>
      <c r="AD305" s="60">
        <v>146.7497433015451</v>
      </c>
      <c r="AE305" s="61">
        <v>0.52591947168240238</v>
      </c>
      <c r="AF305" s="62">
        <v>0.12367906978671503</v>
      </c>
      <c r="AG305" s="62">
        <v>0.64959854146911744</v>
      </c>
      <c r="AH305" s="63">
        <v>0.40224040189568733</v>
      </c>
      <c r="AI305">
        <v>18.598624025373336</v>
      </c>
    </row>
    <row r="306" spans="17:35" x14ac:dyDescent="0.25">
      <c r="Q306" s="57"/>
      <c r="R306" s="57"/>
      <c r="Z306">
        <v>274</v>
      </c>
      <c r="AA306" s="58">
        <v>192.80285701657181</v>
      </c>
      <c r="AB306" s="59">
        <v>47.027990269622954</v>
      </c>
      <c r="AC306" s="59">
        <v>239.83084728619477</v>
      </c>
      <c r="AD306" s="60">
        <v>145.77486674694885</v>
      </c>
      <c r="AE306" s="61">
        <v>0.52259560436541996</v>
      </c>
      <c r="AF306" s="62">
        <v>0.12248907484146461</v>
      </c>
      <c r="AG306" s="62">
        <v>0.64508467920688461</v>
      </c>
      <c r="AH306" s="63">
        <v>0.40010652952395537</v>
      </c>
      <c r="AI306">
        <v>20.189318787572368</v>
      </c>
    </row>
    <row r="307" spans="17:35" x14ac:dyDescent="0.25">
      <c r="Q307" s="57"/>
      <c r="R307" s="57"/>
      <c r="Z307">
        <v>275</v>
      </c>
      <c r="AA307" s="58">
        <v>191.66286175176614</v>
      </c>
      <c r="AB307" s="59">
        <v>46.919284525768681</v>
      </c>
      <c r="AC307" s="59">
        <v>238.58214627753483</v>
      </c>
      <c r="AD307" s="60">
        <v>144.74357722599746</v>
      </c>
      <c r="AE307" s="61">
        <v>0.51942711990505674</v>
      </c>
      <c r="AF307" s="62">
        <v>0.1217642486056804</v>
      </c>
      <c r="AG307" s="62">
        <v>0.6411913685107371</v>
      </c>
      <c r="AH307" s="63">
        <v>0.39766287129937633</v>
      </c>
      <c r="AI307">
        <v>18.352389561451307</v>
      </c>
    </row>
    <row r="308" spans="17:35" x14ac:dyDescent="0.25">
      <c r="Q308" s="57"/>
      <c r="R308" s="57"/>
      <c r="Z308">
        <v>276</v>
      </c>
      <c r="AA308" s="58">
        <v>190.46376918336227</v>
      </c>
      <c r="AB308" s="59">
        <v>46.770203297984075</v>
      </c>
      <c r="AC308" s="59">
        <v>237.23397248134634</v>
      </c>
      <c r="AD308" s="60">
        <v>143.69356588537821</v>
      </c>
      <c r="AE308" s="61">
        <v>0.51609245967407913</v>
      </c>
      <c r="AF308" s="62">
        <v>0.12090968058257175</v>
      </c>
      <c r="AG308" s="62">
        <v>0.63700214025665092</v>
      </c>
      <c r="AH308" s="63">
        <v>0.3951827790915074</v>
      </c>
      <c r="AI308">
        <v>17.457463712014107</v>
      </c>
    </row>
    <row r="309" spans="17:35" x14ac:dyDescent="0.25">
      <c r="Q309" s="57"/>
      <c r="R309" s="57"/>
      <c r="Z309">
        <v>277</v>
      </c>
      <c r="AA309" s="58">
        <v>189.28670912520008</v>
      </c>
      <c r="AB309" s="59">
        <v>46.538103723827163</v>
      </c>
      <c r="AC309" s="59">
        <v>235.82481284902724</v>
      </c>
      <c r="AD309" s="60">
        <v>142.74860540137291</v>
      </c>
      <c r="AE309" s="61">
        <v>0.51281877801563203</v>
      </c>
      <c r="AF309" s="62">
        <v>0.11977589460692228</v>
      </c>
      <c r="AG309" s="62">
        <v>0.63259467262255431</v>
      </c>
      <c r="AH309" s="63">
        <v>0.39304288340870974</v>
      </c>
      <c r="AI309">
        <v>16.663833257879084</v>
      </c>
    </row>
    <row r="310" spans="17:35" x14ac:dyDescent="0.25">
      <c r="Q310" s="57"/>
      <c r="R310" s="57"/>
      <c r="Z310">
        <v>278</v>
      </c>
      <c r="AA310" s="58">
        <v>188.1132362450015</v>
      </c>
      <c r="AB310" s="59">
        <v>46.273148350544147</v>
      </c>
      <c r="AC310" s="59">
        <v>234.38638459554565</v>
      </c>
      <c r="AD310" s="60">
        <v>141.84008789445735</v>
      </c>
      <c r="AE310" s="61">
        <v>0.50951739773101179</v>
      </c>
      <c r="AF310" s="62">
        <v>0.11841861416603343</v>
      </c>
      <c r="AG310" s="62">
        <v>0.62793601189704518</v>
      </c>
      <c r="AH310" s="63">
        <v>0.39109878356497835</v>
      </c>
      <c r="AI310">
        <v>16.604772493785237</v>
      </c>
    </row>
    <row r="311" spans="17:35" x14ac:dyDescent="0.25">
      <c r="Q311" s="57"/>
      <c r="R311" s="57"/>
      <c r="Z311">
        <v>279</v>
      </c>
      <c r="AA311" s="58">
        <v>187.01397753556375</v>
      </c>
      <c r="AB311" s="59">
        <v>46.091208750868276</v>
      </c>
      <c r="AC311" s="59">
        <v>233.10518628643203</v>
      </c>
      <c r="AD311" s="60">
        <v>140.92276878469548</v>
      </c>
      <c r="AE311" s="61">
        <v>0.50644271762586568</v>
      </c>
      <c r="AF311" s="62">
        <v>0.11733951187847994</v>
      </c>
      <c r="AG311" s="62">
        <v>0.62378222950434559</v>
      </c>
      <c r="AH311" s="63">
        <v>0.38910320574738577</v>
      </c>
      <c r="AI311">
        <v>15.244161164661845</v>
      </c>
    </row>
    <row r="312" spans="17:35" x14ac:dyDescent="0.25">
      <c r="Q312" s="57"/>
      <c r="R312" s="57"/>
      <c r="Z312">
        <v>280</v>
      </c>
      <c r="AA312" s="58">
        <v>185.88477780257699</v>
      </c>
      <c r="AB312" s="59">
        <v>45.888888276617223</v>
      </c>
      <c r="AC312" s="59">
        <v>231.77366607919421</v>
      </c>
      <c r="AD312" s="60">
        <v>139.99588952595977</v>
      </c>
      <c r="AE312" s="61">
        <v>0.50329700361013796</v>
      </c>
      <c r="AF312" s="62">
        <v>0.11629989142964177</v>
      </c>
      <c r="AG312" s="62">
        <v>0.61959689503977977</v>
      </c>
      <c r="AH312" s="63">
        <v>0.38699711218049621</v>
      </c>
      <c r="AI312">
        <v>14.02231856086277</v>
      </c>
    </row>
    <row r="313" spans="17:35" x14ac:dyDescent="0.25">
      <c r="Q313" s="57"/>
      <c r="R313" s="57"/>
      <c r="Z313">
        <v>281</v>
      </c>
      <c r="AA313" s="58">
        <v>184.78955252411595</v>
      </c>
      <c r="AB313" s="59">
        <v>45.668361555537722</v>
      </c>
      <c r="AC313" s="59">
        <v>230.45791407965368</v>
      </c>
      <c r="AD313" s="60">
        <v>139.12119096857822</v>
      </c>
      <c r="AE313" s="61">
        <v>0.5002611618750793</v>
      </c>
      <c r="AF313" s="62">
        <v>0.11528564885063462</v>
      </c>
      <c r="AG313" s="62">
        <v>0.61554681072571393</v>
      </c>
      <c r="AH313" s="63">
        <v>0.38497551302444466</v>
      </c>
      <c r="AI313">
        <v>11.856349628696613</v>
      </c>
    </row>
    <row r="314" spans="17:35" x14ac:dyDescent="0.25">
      <c r="Q314" s="57"/>
      <c r="R314" s="57"/>
      <c r="Z314">
        <v>282</v>
      </c>
      <c r="AA314" s="58">
        <v>183.62846794687005</v>
      </c>
      <c r="AB314" s="59">
        <v>45.427391388438721</v>
      </c>
      <c r="AC314" s="59">
        <v>229.05585933530875</v>
      </c>
      <c r="AD314" s="60">
        <v>138.20107655843134</v>
      </c>
      <c r="AE314" s="61">
        <v>0.49701762316690506</v>
      </c>
      <c r="AF314" s="62">
        <v>0.11407588135676637</v>
      </c>
      <c r="AG314" s="62">
        <v>0.61109350452367139</v>
      </c>
      <c r="AH314" s="63">
        <v>0.38294174181013868</v>
      </c>
      <c r="AI314">
        <v>13.003672345827782</v>
      </c>
    </row>
    <row r="315" spans="17:35" x14ac:dyDescent="0.25">
      <c r="Q315" s="57"/>
      <c r="R315" s="57"/>
      <c r="Z315">
        <v>283</v>
      </c>
      <c r="AA315" s="58">
        <v>182.4783619114005</v>
      </c>
      <c r="AB315" s="59">
        <v>45.201151507272236</v>
      </c>
      <c r="AC315" s="59">
        <v>227.67951341867274</v>
      </c>
      <c r="AD315" s="60">
        <v>137.27721040412825</v>
      </c>
      <c r="AE315" s="61">
        <v>0.49381782584297346</v>
      </c>
      <c r="AF315" s="62">
        <v>0.11292297476235803</v>
      </c>
      <c r="AG315" s="62">
        <v>0.60674080060533153</v>
      </c>
      <c r="AH315" s="63">
        <v>0.38089485108061544</v>
      </c>
      <c r="AI315">
        <v>11.559735196159197</v>
      </c>
    </row>
    <row r="316" spans="17:35" x14ac:dyDescent="0.25">
      <c r="Q316" s="57"/>
      <c r="R316" s="57"/>
      <c r="Z316">
        <v>284</v>
      </c>
      <c r="AA316" s="58">
        <v>181.27940206207018</v>
      </c>
      <c r="AB316" s="59">
        <v>44.95368481203905</v>
      </c>
      <c r="AC316" s="59">
        <v>226.23308687410923</v>
      </c>
      <c r="AD316" s="60">
        <v>136.32571725003112</v>
      </c>
      <c r="AE316" s="61">
        <v>0.49048128350986514</v>
      </c>
      <c r="AF316" s="62">
        <v>0.11173373572216627</v>
      </c>
      <c r="AG316" s="62">
        <v>0.60221501923203147</v>
      </c>
      <c r="AH316" s="63">
        <v>0.37874754778769887</v>
      </c>
      <c r="AI316">
        <v>9.8346660457616437</v>
      </c>
    </row>
    <row r="317" spans="17:35" x14ac:dyDescent="0.25">
      <c r="Q317" s="57"/>
      <c r="R317" s="57"/>
      <c r="Z317">
        <v>285</v>
      </c>
      <c r="AA317" s="58">
        <v>180.21422880039779</v>
      </c>
      <c r="AB317" s="59">
        <v>44.690144207382943</v>
      </c>
      <c r="AC317" s="59">
        <v>224.90437300778075</v>
      </c>
      <c r="AD317" s="60">
        <v>135.52408459301483</v>
      </c>
      <c r="AE317" s="61">
        <v>0.48752498482386919</v>
      </c>
      <c r="AF317" s="62">
        <v>0.11057476745910333</v>
      </c>
      <c r="AG317" s="62">
        <v>0.59809975228297252</v>
      </c>
      <c r="AH317" s="63">
        <v>0.37695021736476586</v>
      </c>
      <c r="AI317">
        <v>9.2625307162559984</v>
      </c>
    </row>
    <row r="318" spans="17:35" x14ac:dyDescent="0.25">
      <c r="Q318" s="57"/>
      <c r="R318" s="57"/>
      <c r="Z318">
        <v>286</v>
      </c>
      <c r="AA318" s="58">
        <v>179.1277692331214</v>
      </c>
      <c r="AB318" s="59">
        <v>44.529345779603091</v>
      </c>
      <c r="AC318" s="59">
        <v>223.65711501272449</v>
      </c>
      <c r="AD318" s="60">
        <v>134.59842345351831</v>
      </c>
      <c r="AE318" s="61">
        <v>0.48447901011873357</v>
      </c>
      <c r="AF318" s="62">
        <v>0.10960512899357251</v>
      </c>
      <c r="AG318" s="62">
        <v>0.59408413911230606</v>
      </c>
      <c r="AH318" s="63">
        <v>0.37487388112516107</v>
      </c>
      <c r="AI318">
        <v>9.5581717362743355</v>
      </c>
    </row>
    <row r="319" spans="17:35" x14ac:dyDescent="0.25">
      <c r="Q319" s="57"/>
      <c r="R319" s="57"/>
      <c r="Z319">
        <v>287</v>
      </c>
      <c r="AA319" s="58">
        <v>178.10878230912348</v>
      </c>
      <c r="AB319" s="59">
        <v>44.323047613580535</v>
      </c>
      <c r="AC319" s="59">
        <v>222.43182992270403</v>
      </c>
      <c r="AD319" s="60">
        <v>133.78573469554294</v>
      </c>
      <c r="AE319" s="61">
        <v>0.48165184697954055</v>
      </c>
      <c r="AF319" s="62">
        <v>0.10866588826818589</v>
      </c>
      <c r="AG319" s="62">
        <v>0.59031773524772646</v>
      </c>
      <c r="AH319" s="63">
        <v>0.37298595871135465</v>
      </c>
      <c r="AI319">
        <v>3.6748997340355722</v>
      </c>
    </row>
    <row r="320" spans="17:35" x14ac:dyDescent="0.25">
      <c r="Q320" s="57"/>
      <c r="R320" s="57"/>
      <c r="Z320">
        <v>288</v>
      </c>
      <c r="AA320" s="58">
        <v>177.09474958255041</v>
      </c>
      <c r="AB320" s="59">
        <v>44.076686417545069</v>
      </c>
      <c r="AC320" s="59">
        <v>221.17143600009547</v>
      </c>
      <c r="AD320" s="60">
        <v>133.01806316500534</v>
      </c>
      <c r="AE320" s="61">
        <v>0.47884139317823687</v>
      </c>
      <c r="AF320" s="62">
        <v>0.10759502012958613</v>
      </c>
      <c r="AG320" s="62">
        <v>0.58643641330782303</v>
      </c>
      <c r="AH320" s="63">
        <v>0.37124637304865071</v>
      </c>
      <c r="AI320">
        <v>7.8503000307464141</v>
      </c>
    </row>
    <row r="321" spans="17:35" x14ac:dyDescent="0.25">
      <c r="Q321" s="57"/>
      <c r="R321" s="57"/>
      <c r="Z321">
        <v>289</v>
      </c>
      <c r="AA321" s="58">
        <v>176.10321298966289</v>
      </c>
      <c r="AB321" s="59">
        <v>43.840209850759052</v>
      </c>
      <c r="AC321" s="59">
        <v>219.94342284042193</v>
      </c>
      <c r="AD321" s="60">
        <v>132.26300313890385</v>
      </c>
      <c r="AE321" s="61">
        <v>0.47609172769210212</v>
      </c>
      <c r="AF321" s="62">
        <v>0.10663599907115119</v>
      </c>
      <c r="AG321" s="62">
        <v>0.58272772676325335</v>
      </c>
      <c r="AH321" s="63">
        <v>0.36945572862095094</v>
      </c>
      <c r="AI321">
        <v>5.0229955464183007</v>
      </c>
    </row>
    <row r="322" spans="17:35" x14ac:dyDescent="0.25">
      <c r="Q322" s="57"/>
      <c r="R322" s="57"/>
      <c r="Z322">
        <v>290</v>
      </c>
      <c r="AA322" s="58">
        <v>175.07002627419163</v>
      </c>
      <c r="AB322" s="59">
        <v>43.59430579255023</v>
      </c>
      <c r="AC322" s="59">
        <v>218.66433206674185</v>
      </c>
      <c r="AD322" s="60">
        <v>131.47572048164142</v>
      </c>
      <c r="AE322" s="61">
        <v>0.4732607248070882</v>
      </c>
      <c r="AF322" s="62">
        <v>0.10575400819453648</v>
      </c>
      <c r="AG322" s="62">
        <v>0.57901473300162465</v>
      </c>
      <c r="AH322" s="63">
        <v>0.36750671661255174</v>
      </c>
      <c r="AI322">
        <v>4.8974108128985891</v>
      </c>
    </row>
    <row r="323" spans="17:35" x14ac:dyDescent="0.25">
      <c r="Q323" s="57"/>
      <c r="R323" s="57"/>
      <c r="Z323">
        <v>291</v>
      </c>
      <c r="AA323" s="58">
        <v>174.11424180904692</v>
      </c>
      <c r="AB323" s="59">
        <v>43.348530277277163</v>
      </c>
      <c r="AC323" s="59">
        <v>217.46277208632409</v>
      </c>
      <c r="AD323" s="60">
        <v>130.76571153176974</v>
      </c>
      <c r="AE323" s="61">
        <v>0.47062792726568864</v>
      </c>
      <c r="AF323" s="62">
        <v>0.10483775505337406</v>
      </c>
      <c r="AG323" s="62">
        <v>0.5754656823190627</v>
      </c>
      <c r="AH323" s="63">
        <v>0.36579017221231458</v>
      </c>
      <c r="AI323">
        <v>0.59654587395487535</v>
      </c>
    </row>
    <row r="324" spans="17:35" x14ac:dyDescent="0.25">
      <c r="Q324" s="57"/>
      <c r="R324" s="57"/>
      <c r="Z324">
        <v>292</v>
      </c>
      <c r="AA324" s="58">
        <v>173.14983963660555</v>
      </c>
      <c r="AB324" s="59">
        <v>43.160573979780544</v>
      </c>
      <c r="AC324" s="59">
        <v>216.31041361638609</v>
      </c>
      <c r="AD324" s="60">
        <v>129.98926565682501</v>
      </c>
      <c r="AE324" s="61">
        <v>0.46797031402613859</v>
      </c>
      <c r="AF324" s="62">
        <v>0.10406930781226773</v>
      </c>
      <c r="AG324" s="62">
        <v>0.57203962183840629</v>
      </c>
      <c r="AH324" s="63">
        <v>0.36390100621387089</v>
      </c>
      <c r="AI324">
        <v>0</v>
      </c>
    </row>
    <row r="325" spans="17:35" x14ac:dyDescent="0.25">
      <c r="Q325" s="57"/>
      <c r="R325" s="57"/>
      <c r="Z325">
        <v>293</v>
      </c>
      <c r="AA325" s="58">
        <v>172.19864283002633</v>
      </c>
      <c r="AB325" s="59">
        <v>42.976291070462231</v>
      </c>
      <c r="AC325" s="59">
        <v>215.17493390048855</v>
      </c>
      <c r="AD325" s="60">
        <v>129.22235175956411</v>
      </c>
      <c r="AE325" s="61">
        <v>0.4653679494842653</v>
      </c>
      <c r="AF325" s="62">
        <v>0.10341406881992102</v>
      </c>
      <c r="AG325" s="62">
        <v>0.56878201830418629</v>
      </c>
      <c r="AH325" s="63">
        <v>0.36195388066434431</v>
      </c>
      <c r="AI325">
        <v>0</v>
      </c>
    </row>
    <row r="326" spans="17:35" x14ac:dyDescent="0.25">
      <c r="Q326" s="57"/>
      <c r="R326" s="57"/>
      <c r="Z326">
        <v>294</v>
      </c>
      <c r="AA326" s="58">
        <v>171.24627233329389</v>
      </c>
      <c r="AB326" s="59">
        <v>42.787244203503938</v>
      </c>
      <c r="AC326" s="59">
        <v>214.03351653679783</v>
      </c>
      <c r="AD326" s="60">
        <v>128.45902812978994</v>
      </c>
      <c r="AE326" s="61">
        <v>0.4627553531290089</v>
      </c>
      <c r="AF326" s="62">
        <v>0.10272136955392643</v>
      </c>
      <c r="AG326" s="62">
        <v>0.56547672268293536</v>
      </c>
      <c r="AH326" s="63">
        <v>0.36003398357508248</v>
      </c>
      <c r="AI326">
        <v>0</v>
      </c>
    </row>
    <row r="327" spans="17:35" x14ac:dyDescent="0.25">
      <c r="Q327" s="57"/>
      <c r="R327" s="57"/>
      <c r="Z327">
        <v>295</v>
      </c>
      <c r="AA327" s="58">
        <v>170.30017229337449</v>
      </c>
      <c r="AB327" s="59">
        <v>42.59655337445777</v>
      </c>
      <c r="AC327" s="59">
        <v>212.89672566783224</v>
      </c>
      <c r="AD327" s="60">
        <v>127.70361891891672</v>
      </c>
      <c r="AE327" s="61">
        <v>0.46016975406775301</v>
      </c>
      <c r="AF327" s="62">
        <v>0.10210809074528585</v>
      </c>
      <c r="AG327" s="62">
        <v>0.56227784481303889</v>
      </c>
      <c r="AH327" s="63">
        <v>0.35806166332246714</v>
      </c>
      <c r="AI327">
        <v>0</v>
      </c>
    </row>
    <row r="328" spans="17:35" x14ac:dyDescent="0.25">
      <c r="Q328" s="57"/>
      <c r="R328" s="57"/>
      <c r="Z328">
        <v>296</v>
      </c>
      <c r="AA328" s="58">
        <v>169.33151903968425</v>
      </c>
      <c r="AB328" s="59">
        <v>42.387841843434572</v>
      </c>
      <c r="AC328" s="59">
        <v>211.71936088311884</v>
      </c>
      <c r="AD328" s="60">
        <v>126.94367719624968</v>
      </c>
      <c r="AE328" s="61">
        <v>0.45751872574528035</v>
      </c>
      <c r="AF328" s="62">
        <v>0.10139702587765265</v>
      </c>
      <c r="AG328" s="62">
        <v>0.55891575162293305</v>
      </c>
      <c r="AH328" s="63">
        <v>0.35612169986762771</v>
      </c>
      <c r="AI328">
        <v>0</v>
      </c>
    </row>
    <row r="329" spans="17:35" x14ac:dyDescent="0.25">
      <c r="Q329" s="57"/>
      <c r="R329" s="57"/>
      <c r="Z329">
        <v>297</v>
      </c>
      <c r="AA329" s="58">
        <v>168.42766416670176</v>
      </c>
      <c r="AB329" s="59">
        <v>42.141966872539072</v>
      </c>
      <c r="AC329" s="59">
        <v>210.56963103924085</v>
      </c>
      <c r="AD329" s="60">
        <v>126.28569729416269</v>
      </c>
      <c r="AE329" s="61">
        <v>0.45501967097004176</v>
      </c>
      <c r="AF329" s="62">
        <v>0.10046326098726464</v>
      </c>
      <c r="AG329" s="62">
        <v>0.55548293195730636</v>
      </c>
      <c r="AH329" s="63">
        <v>0.3545564099827771</v>
      </c>
      <c r="AI329">
        <v>0</v>
      </c>
    </row>
    <row r="330" spans="17:35" x14ac:dyDescent="0.25">
      <c r="Q330" s="57"/>
      <c r="R330" s="57"/>
      <c r="Z330">
        <v>298</v>
      </c>
      <c r="AA330" s="58">
        <v>167.45083264975659</v>
      </c>
      <c r="AB330" s="59">
        <v>41.977486321328357</v>
      </c>
      <c r="AC330" s="59">
        <v>209.42831897108493</v>
      </c>
      <c r="AD330" s="60">
        <v>125.47334632842824</v>
      </c>
      <c r="AE330" s="61">
        <v>0.45235816288281722</v>
      </c>
      <c r="AF330" s="62">
        <v>9.9954075810223725E-2</v>
      </c>
      <c r="AG330" s="62">
        <v>0.55231223869304091</v>
      </c>
      <c r="AH330" s="63">
        <v>0.35240408707259352</v>
      </c>
      <c r="AI330">
        <v>0</v>
      </c>
    </row>
    <row r="331" spans="17:35" x14ac:dyDescent="0.25">
      <c r="Q331" s="57"/>
      <c r="R331" s="57"/>
      <c r="Z331">
        <v>299</v>
      </c>
      <c r="AA331" s="58">
        <v>166.63006009523912</v>
      </c>
      <c r="AB331" s="59">
        <v>41.817290407974212</v>
      </c>
      <c r="AC331" s="59">
        <v>208.44735050321333</v>
      </c>
      <c r="AD331" s="60">
        <v>124.8127696872649</v>
      </c>
      <c r="AE331" s="61">
        <v>0.45012079204149608</v>
      </c>
      <c r="AF331" s="62">
        <v>9.94808824523922E-2</v>
      </c>
      <c r="AG331" s="62">
        <v>0.5496016744938883</v>
      </c>
      <c r="AH331" s="63">
        <v>0.35063990958910385</v>
      </c>
      <c r="AI331">
        <v>0</v>
      </c>
    </row>
    <row r="332" spans="17:35" x14ac:dyDescent="0.25">
      <c r="Q332" s="57"/>
      <c r="R332" s="57"/>
      <c r="Z332">
        <v>300</v>
      </c>
      <c r="AA332" s="58">
        <v>165.78584470801096</v>
      </c>
      <c r="AB332" s="59">
        <v>41.618935395025787</v>
      </c>
      <c r="AC332" s="59">
        <v>207.40478010303673</v>
      </c>
      <c r="AD332" s="60">
        <v>124.16690931298517</v>
      </c>
      <c r="AE332" s="61">
        <v>0.44782635638398643</v>
      </c>
      <c r="AF332" s="62">
        <v>9.8923290337499206E-2</v>
      </c>
      <c r="AG332" s="62">
        <v>0.54674964672148563</v>
      </c>
      <c r="AH332" s="63">
        <v>0.34890306604648724</v>
      </c>
      <c r="AI332">
        <v>0</v>
      </c>
    </row>
    <row r="333" spans="17:35" x14ac:dyDescent="0.25">
      <c r="Q333" s="57"/>
      <c r="R333" s="57"/>
      <c r="Z333">
        <v>301</v>
      </c>
      <c r="AA333" s="58">
        <v>164.895826658179</v>
      </c>
      <c r="AB333" s="59">
        <v>41.39237540533685</v>
      </c>
      <c r="AC333" s="59">
        <v>206.28820206351585</v>
      </c>
      <c r="AD333" s="60">
        <v>123.50345125284215</v>
      </c>
      <c r="AE333" s="61">
        <v>0.44541323420051177</v>
      </c>
      <c r="AF333" s="62">
        <v>9.82967806286595E-2</v>
      </c>
      <c r="AG333" s="62">
        <v>0.54371001482917125</v>
      </c>
      <c r="AH333" s="63">
        <v>0.34711645357185228</v>
      </c>
      <c r="AI333">
        <v>0</v>
      </c>
    </row>
    <row r="334" spans="17:35" x14ac:dyDescent="0.25">
      <c r="Q334" s="57"/>
      <c r="R334" s="57"/>
      <c r="Z334">
        <v>302</v>
      </c>
      <c r="AA334" s="58">
        <v>164.06956214767271</v>
      </c>
      <c r="AB334" s="59">
        <v>41.14350944596503</v>
      </c>
      <c r="AC334" s="59">
        <v>205.21307159363775</v>
      </c>
      <c r="AD334" s="60">
        <v>122.92605270170768</v>
      </c>
      <c r="AE334" s="61">
        <v>0.44316104294845071</v>
      </c>
      <c r="AF334" s="62">
        <v>9.7580732468653578E-2</v>
      </c>
      <c r="AG334" s="62">
        <v>0.54074177541710433</v>
      </c>
      <c r="AH334" s="63">
        <v>0.34558031047979715</v>
      </c>
      <c r="AI334">
        <v>0</v>
      </c>
    </row>
    <row r="335" spans="17:35" x14ac:dyDescent="0.25">
      <c r="Q335" s="57"/>
      <c r="R335" s="57"/>
      <c r="Z335">
        <v>303</v>
      </c>
      <c r="AA335" s="58">
        <v>163.15206043796107</v>
      </c>
      <c r="AB335" s="59">
        <v>41.015456955129089</v>
      </c>
      <c r="AC335" s="59">
        <v>204.16751739309015</v>
      </c>
      <c r="AD335" s="60">
        <v>122.13660348283199</v>
      </c>
      <c r="AE335" s="61">
        <v>0.44067696443014737</v>
      </c>
      <c r="AF335" s="62">
        <v>9.7266582098752608E-2</v>
      </c>
      <c r="AG335" s="62">
        <v>0.53794354652889997</v>
      </c>
      <c r="AH335" s="63">
        <v>0.34341038233139476</v>
      </c>
      <c r="AI335">
        <v>0</v>
      </c>
    </row>
    <row r="336" spans="17:35" x14ac:dyDescent="0.25">
      <c r="Q336" s="57"/>
      <c r="R336" s="57"/>
      <c r="Z336">
        <v>304</v>
      </c>
      <c r="AA336" s="58">
        <v>162.31943972202194</v>
      </c>
      <c r="AB336" s="59">
        <v>40.841461400411077</v>
      </c>
      <c r="AC336" s="59">
        <v>203.16090112243302</v>
      </c>
      <c r="AD336" s="60">
        <v>121.47797832161086</v>
      </c>
      <c r="AE336" s="61">
        <v>0.43840930593098654</v>
      </c>
      <c r="AF336" s="62">
        <v>9.6745947459636161E-2</v>
      </c>
      <c r="AG336" s="62">
        <v>0.53515525339062275</v>
      </c>
      <c r="AH336" s="63">
        <v>0.34166335847135038</v>
      </c>
      <c r="AI336">
        <v>0</v>
      </c>
    </row>
    <row r="337" spans="17:35" x14ac:dyDescent="0.25">
      <c r="Q337" s="57"/>
      <c r="R337" s="57"/>
      <c r="Z337">
        <v>305</v>
      </c>
      <c r="AA337" s="58">
        <v>161.55481244200584</v>
      </c>
      <c r="AB337" s="59">
        <v>40.665394283669208</v>
      </c>
      <c r="AC337" s="59">
        <v>202.22020672567504</v>
      </c>
      <c r="AD337" s="60">
        <v>120.88941815833664</v>
      </c>
      <c r="AE337" s="61">
        <v>0.43633589931962408</v>
      </c>
      <c r="AF337" s="62">
        <v>9.6291106396853399E-2</v>
      </c>
      <c r="AG337" s="62">
        <v>0.53262700571647748</v>
      </c>
      <c r="AH337" s="63">
        <v>0.34004479292277068</v>
      </c>
      <c r="AI337">
        <v>0</v>
      </c>
    </row>
    <row r="338" spans="17:35" x14ac:dyDescent="0.25">
      <c r="Q338" s="57"/>
      <c r="R338" s="57"/>
      <c r="Z338">
        <v>306</v>
      </c>
      <c r="AA338" s="58">
        <v>160.70692581683457</v>
      </c>
      <c r="AB338" s="59">
        <v>40.481003629587541</v>
      </c>
      <c r="AC338" s="59">
        <v>201.18792944642212</v>
      </c>
      <c r="AD338" s="60">
        <v>120.22592218724702</v>
      </c>
      <c r="AE338" s="61">
        <v>0.43405234288527272</v>
      </c>
      <c r="AF338" s="62">
        <v>9.5892949341161687E-2</v>
      </c>
      <c r="AG338" s="62">
        <v>0.52994529222643438</v>
      </c>
      <c r="AH338" s="63">
        <v>0.33815939354411106</v>
      </c>
      <c r="AI338">
        <v>0</v>
      </c>
    </row>
    <row r="339" spans="17:35" x14ac:dyDescent="0.25">
      <c r="Q339" s="57"/>
      <c r="R339" s="57"/>
      <c r="Z339">
        <v>307</v>
      </c>
      <c r="AA339" s="58">
        <v>159.88450722357121</v>
      </c>
      <c r="AB339" s="59">
        <v>40.268598915762105</v>
      </c>
      <c r="AC339" s="59">
        <v>200.15310613933332</v>
      </c>
      <c r="AD339" s="60">
        <v>119.61590830780909</v>
      </c>
      <c r="AE339" s="61">
        <v>0.43181873896556805</v>
      </c>
      <c r="AF339" s="62">
        <v>9.5296644023525834E-2</v>
      </c>
      <c r="AG339" s="62">
        <v>0.52711538298909388</v>
      </c>
      <c r="AH339" s="63">
        <v>0.33652209494204222</v>
      </c>
      <c r="AI339">
        <v>0</v>
      </c>
    </row>
    <row r="340" spans="17:35" x14ac:dyDescent="0.25">
      <c r="Q340" s="57"/>
      <c r="R340" s="57"/>
      <c r="Z340">
        <v>308</v>
      </c>
      <c r="AA340" s="58">
        <v>159.13288108716611</v>
      </c>
      <c r="AB340" s="59">
        <v>40.035897606541383</v>
      </c>
      <c r="AC340" s="59">
        <v>199.16877869370751</v>
      </c>
      <c r="AD340" s="60">
        <v>119.09698348062473</v>
      </c>
      <c r="AE340" s="61">
        <v>0.42979516732475115</v>
      </c>
      <c r="AF340" s="62">
        <v>9.4761189507341373E-2</v>
      </c>
      <c r="AG340" s="62">
        <v>0.52455635683209256</v>
      </c>
      <c r="AH340" s="63">
        <v>0.33503397781740979</v>
      </c>
      <c r="AI340">
        <v>0</v>
      </c>
    </row>
    <row r="341" spans="17:35" x14ac:dyDescent="0.25">
      <c r="Q341" s="57"/>
      <c r="R341" s="57"/>
      <c r="Z341">
        <v>309</v>
      </c>
      <c r="AA341" s="58">
        <v>158.37451111268223</v>
      </c>
      <c r="AB341" s="59">
        <v>39.886413841350183</v>
      </c>
      <c r="AC341" s="59">
        <v>198.26092495403242</v>
      </c>
      <c r="AD341" s="60">
        <v>118.48809727133204</v>
      </c>
      <c r="AE341" s="61">
        <v>0.42773005766263617</v>
      </c>
      <c r="AF341" s="62">
        <v>9.433454885015008E-2</v>
      </c>
      <c r="AG341" s="62">
        <v>0.5220646065127863</v>
      </c>
      <c r="AH341" s="63">
        <v>0.33339550881248609</v>
      </c>
      <c r="AI341">
        <v>0</v>
      </c>
    </row>
    <row r="342" spans="17:35" x14ac:dyDescent="0.25">
      <c r="Q342" s="57"/>
      <c r="R342" s="57"/>
      <c r="Z342">
        <v>310</v>
      </c>
      <c r="AA342" s="58">
        <v>157.64130902856485</v>
      </c>
      <c r="AB342" s="59">
        <v>39.61944765982517</v>
      </c>
      <c r="AC342" s="59">
        <v>197.26075668839002</v>
      </c>
      <c r="AD342" s="60">
        <v>118.02186136873968</v>
      </c>
      <c r="AE342" s="61">
        <v>0.42575807645379404</v>
      </c>
      <c r="AF342" s="62">
        <v>9.3708206805340741E-2</v>
      </c>
      <c r="AG342" s="62">
        <v>0.5194662832591348</v>
      </c>
      <c r="AH342" s="63">
        <v>0.33204986964845329</v>
      </c>
      <c r="AI342">
        <v>0</v>
      </c>
    </row>
    <row r="343" spans="17:35" x14ac:dyDescent="0.25">
      <c r="Q343" s="57"/>
      <c r="R343" s="57"/>
      <c r="Z343">
        <v>311</v>
      </c>
      <c r="AA343" s="58">
        <v>156.90849370993629</v>
      </c>
      <c r="AB343" s="59">
        <v>39.42985112697319</v>
      </c>
      <c r="AC343" s="59">
        <v>196.33834483690947</v>
      </c>
      <c r="AD343" s="60">
        <v>117.4786425829631</v>
      </c>
      <c r="AE343" s="61">
        <v>0.42376423928360923</v>
      </c>
      <c r="AF343" s="62">
        <v>9.3171398404899172E-2</v>
      </c>
      <c r="AG343" s="62">
        <v>0.51693563768850836</v>
      </c>
      <c r="AH343" s="63">
        <v>0.33059284087871005</v>
      </c>
      <c r="AI343">
        <v>0</v>
      </c>
    </row>
    <row r="344" spans="17:35" x14ac:dyDescent="0.25">
      <c r="Q344" s="57"/>
      <c r="R344" s="57"/>
      <c r="Z344">
        <v>312</v>
      </c>
      <c r="AA344" s="58">
        <v>156.18381991732824</v>
      </c>
      <c r="AB344" s="59">
        <v>39.245447281714505</v>
      </c>
      <c r="AC344" s="59">
        <v>195.42926719904273</v>
      </c>
      <c r="AD344" s="60">
        <v>116.93837263561373</v>
      </c>
      <c r="AE344" s="61">
        <v>0.42181035274025541</v>
      </c>
      <c r="AF344" s="62">
        <v>9.2781205851705115E-2</v>
      </c>
      <c r="AG344" s="62">
        <v>0.51459155859196049</v>
      </c>
      <c r="AH344" s="63">
        <v>0.32902914688855028</v>
      </c>
      <c r="AI344">
        <v>0</v>
      </c>
    </row>
    <row r="345" spans="17:35" x14ac:dyDescent="0.25">
      <c r="Q345" s="57"/>
      <c r="R345" s="57"/>
      <c r="Z345">
        <v>313</v>
      </c>
      <c r="AA345" s="58">
        <v>155.45246716798971</v>
      </c>
      <c r="AB345" s="59">
        <v>39.026679481134799</v>
      </c>
      <c r="AC345" s="59">
        <v>194.47914664912452</v>
      </c>
      <c r="AD345" s="60">
        <v>116.4257876868549</v>
      </c>
      <c r="AE345" s="61">
        <v>0.41982999832182671</v>
      </c>
      <c r="AF345" s="62">
        <v>9.225282101447356E-2</v>
      </c>
      <c r="AG345" s="62">
        <v>0.51208281933630029</v>
      </c>
      <c r="AH345" s="63">
        <v>0.32757717730735314</v>
      </c>
      <c r="AI345">
        <v>0</v>
      </c>
    </row>
    <row r="346" spans="17:35" x14ac:dyDescent="0.25">
      <c r="Q346" s="57"/>
      <c r="R346" s="57"/>
      <c r="Z346">
        <v>314</v>
      </c>
      <c r="AA346" s="58">
        <v>154.74996535517664</v>
      </c>
      <c r="AB346" s="59">
        <v>38.853539146616953</v>
      </c>
      <c r="AC346" s="59">
        <v>193.60350450179359</v>
      </c>
      <c r="AD346" s="60">
        <v>115.89642620855969</v>
      </c>
      <c r="AE346" s="61">
        <v>0.41795337299471003</v>
      </c>
      <c r="AF346" s="62">
        <v>9.1949212427662172E-2</v>
      </c>
      <c r="AG346" s="62">
        <v>0.50990258542237221</v>
      </c>
      <c r="AH346" s="63">
        <v>0.32600416056704784</v>
      </c>
      <c r="AI346">
        <v>0</v>
      </c>
    </row>
    <row r="347" spans="17:35" x14ac:dyDescent="0.25">
      <c r="Q347" s="57"/>
      <c r="R347" s="57"/>
      <c r="Z347">
        <v>315</v>
      </c>
      <c r="AA347" s="58">
        <v>154.08051489395083</v>
      </c>
      <c r="AB347" s="59">
        <v>38.626961475008791</v>
      </c>
      <c r="AC347" s="59">
        <v>192.70747636895962</v>
      </c>
      <c r="AD347" s="60">
        <v>115.45355341894205</v>
      </c>
      <c r="AE347" s="61">
        <v>0.41615838936175464</v>
      </c>
      <c r="AF347" s="62">
        <v>9.1449538216813037E-2</v>
      </c>
      <c r="AG347" s="62">
        <v>0.50760792757856765</v>
      </c>
      <c r="AH347" s="63">
        <v>0.32470885114494163</v>
      </c>
      <c r="AI347">
        <v>0</v>
      </c>
    </row>
    <row r="348" spans="17:35" x14ac:dyDescent="0.25">
      <c r="Q348" s="57"/>
      <c r="R348" s="57"/>
      <c r="Z348">
        <v>316</v>
      </c>
      <c r="AA348" s="58">
        <v>153.46553047440503</v>
      </c>
      <c r="AB348" s="59">
        <v>38.445483166895293</v>
      </c>
      <c r="AC348" s="59">
        <v>191.91101364130031</v>
      </c>
      <c r="AD348" s="60">
        <v>115.02004730750974</v>
      </c>
      <c r="AE348" s="61">
        <v>0.41448130998385285</v>
      </c>
      <c r="AF348" s="62">
        <v>9.0943218260592706E-2</v>
      </c>
      <c r="AG348" s="62">
        <v>0.50542452824444561</v>
      </c>
      <c r="AH348" s="63">
        <v>0.32353809172326015</v>
      </c>
      <c r="AI348">
        <v>0</v>
      </c>
    </row>
    <row r="349" spans="17:35" x14ac:dyDescent="0.25">
      <c r="Q349" s="57"/>
      <c r="R349" s="57"/>
      <c r="Z349">
        <v>317</v>
      </c>
      <c r="AA349" s="58">
        <v>152.81498518200661</v>
      </c>
      <c r="AB349" s="59">
        <v>38.214388691186983</v>
      </c>
      <c r="AC349" s="59">
        <v>191.02937387319361</v>
      </c>
      <c r="AD349" s="60">
        <v>114.60059649081963</v>
      </c>
      <c r="AE349" s="61">
        <v>0.41272919247358492</v>
      </c>
      <c r="AF349" s="62">
        <v>9.0435092567838132E-2</v>
      </c>
      <c r="AG349" s="62">
        <v>0.50316428504142308</v>
      </c>
      <c r="AH349" s="63">
        <v>0.32229409990574676</v>
      </c>
      <c r="AI349">
        <v>0</v>
      </c>
    </row>
    <row r="350" spans="17:35" x14ac:dyDescent="0.25">
      <c r="Q350" s="57"/>
      <c r="R350" s="57"/>
      <c r="Z350">
        <v>318</v>
      </c>
      <c r="AA350" s="58">
        <v>152.1234837600787</v>
      </c>
      <c r="AB350" s="59">
        <v>37.969529616502115</v>
      </c>
      <c r="AC350" s="59">
        <v>190.09301337658081</v>
      </c>
      <c r="AD350" s="60">
        <v>114.15395414357658</v>
      </c>
      <c r="AE350" s="61">
        <v>0.41086479866392539</v>
      </c>
      <c r="AF350" s="62">
        <v>8.9832262289766721E-2</v>
      </c>
      <c r="AG350" s="62">
        <v>0.50069706095369215</v>
      </c>
      <c r="AH350" s="63">
        <v>0.32103253637415868</v>
      </c>
      <c r="AI350">
        <v>0</v>
      </c>
    </row>
    <row r="351" spans="17:35" x14ac:dyDescent="0.25">
      <c r="Q351" s="57"/>
      <c r="R351" s="57"/>
      <c r="Z351">
        <v>319</v>
      </c>
      <c r="AA351" s="58">
        <v>151.5084695947493</v>
      </c>
      <c r="AB351" s="59">
        <v>37.778555839059166</v>
      </c>
      <c r="AC351" s="59">
        <v>189.28702543380848</v>
      </c>
      <c r="AD351" s="60">
        <v>113.72991375569013</v>
      </c>
      <c r="AE351" s="61">
        <v>0.40920720582697467</v>
      </c>
      <c r="AF351" s="62">
        <v>8.9375073352164533E-2</v>
      </c>
      <c r="AG351" s="62">
        <v>0.49858227917913922</v>
      </c>
      <c r="AH351" s="63">
        <v>0.31983213247481013</v>
      </c>
      <c r="AI351">
        <v>0</v>
      </c>
    </row>
    <row r="352" spans="17:35" x14ac:dyDescent="0.25">
      <c r="Q352" s="57"/>
      <c r="R352" s="57"/>
      <c r="Z352">
        <v>320</v>
      </c>
      <c r="AA352" s="58">
        <v>150.93947191656534</v>
      </c>
      <c r="AB352" s="59">
        <v>37.555515332881107</v>
      </c>
      <c r="AC352" s="59">
        <v>188.49498724944644</v>
      </c>
      <c r="AD352" s="60">
        <v>113.38395658368424</v>
      </c>
      <c r="AE352" s="61">
        <v>0.40768870851878208</v>
      </c>
      <c r="AF352" s="62">
        <v>8.8939923914239549E-2</v>
      </c>
      <c r="AG352" s="62">
        <v>0.49662863243302163</v>
      </c>
      <c r="AH352" s="63">
        <v>0.31874878460454253</v>
      </c>
      <c r="AI352">
        <v>0</v>
      </c>
    </row>
    <row r="353" spans="17:35" x14ac:dyDescent="0.25">
      <c r="Q353" s="57"/>
      <c r="R353" s="57"/>
      <c r="Z353">
        <v>321</v>
      </c>
      <c r="AA353" s="58">
        <v>150.33173406079268</v>
      </c>
      <c r="AB353" s="59">
        <v>37.359599414134962</v>
      </c>
      <c r="AC353" s="59">
        <v>187.69133347492766</v>
      </c>
      <c r="AD353" s="60">
        <v>112.97213464665772</v>
      </c>
      <c r="AE353" s="61">
        <v>0.4060682221601139</v>
      </c>
      <c r="AF353" s="62">
        <v>8.8580925970894162E-2</v>
      </c>
      <c r="AG353" s="62">
        <v>0.49464914813100808</v>
      </c>
      <c r="AH353" s="63">
        <v>0.31748729618921973</v>
      </c>
      <c r="AI353">
        <v>0</v>
      </c>
    </row>
    <row r="354" spans="17:35" x14ac:dyDescent="0.25">
      <c r="Q354" s="57"/>
      <c r="R354" s="57"/>
      <c r="Z354">
        <v>322</v>
      </c>
      <c r="AA354" s="58">
        <v>149.76640848395013</v>
      </c>
      <c r="AB354" s="59">
        <v>37.175435462359069</v>
      </c>
      <c r="AC354" s="59">
        <v>186.94184394630921</v>
      </c>
      <c r="AD354" s="60">
        <v>112.59097302159105</v>
      </c>
      <c r="AE354" s="61">
        <v>0.40455018354125677</v>
      </c>
      <c r="AF354" s="62">
        <v>8.816867437455421E-2</v>
      </c>
      <c r="AG354" s="62">
        <v>0.49271885791581099</v>
      </c>
      <c r="AH354" s="63">
        <v>0.31638150916670255</v>
      </c>
      <c r="AI354">
        <v>0</v>
      </c>
    </row>
    <row r="355" spans="17:35" x14ac:dyDescent="0.25">
      <c r="Q355" s="57"/>
      <c r="R355" s="57"/>
      <c r="Z355">
        <v>323</v>
      </c>
      <c r="AA355" s="58">
        <v>149.28428459859234</v>
      </c>
      <c r="AB355" s="59">
        <v>36.937014764407635</v>
      </c>
      <c r="AC355" s="59">
        <v>186.22129936299996</v>
      </c>
      <c r="AD355" s="60">
        <v>112.3472698341847</v>
      </c>
      <c r="AE355" s="61">
        <v>0.40326222342382295</v>
      </c>
      <c r="AF355" s="62">
        <v>8.764876584535268E-2</v>
      </c>
      <c r="AG355" s="62">
        <v>0.49091098926917565</v>
      </c>
      <c r="AH355" s="63">
        <v>0.31561345757847026</v>
      </c>
      <c r="AI355">
        <v>0</v>
      </c>
    </row>
    <row r="356" spans="17:35" x14ac:dyDescent="0.25">
      <c r="Q356" s="57"/>
      <c r="R356" s="57"/>
      <c r="Z356">
        <v>324</v>
      </c>
      <c r="AA356" s="58">
        <v>148.69990327252316</v>
      </c>
      <c r="AB356" s="59">
        <v>36.731922239958571</v>
      </c>
      <c r="AC356" s="59">
        <v>185.43182551248174</v>
      </c>
      <c r="AD356" s="60">
        <v>111.96798103256458</v>
      </c>
      <c r="AE356" s="61">
        <v>0.40169311693785176</v>
      </c>
      <c r="AF356" s="62">
        <v>8.7217309128668694E-2</v>
      </c>
      <c r="AG356" s="62">
        <v>0.48891042606652046</v>
      </c>
      <c r="AH356" s="63">
        <v>0.31447580780918305</v>
      </c>
      <c r="AI356">
        <v>0</v>
      </c>
    </row>
    <row r="357" spans="17:35" x14ac:dyDescent="0.25">
      <c r="Q357" s="57"/>
      <c r="R357" s="57"/>
      <c r="Z357">
        <v>325</v>
      </c>
      <c r="AA357" s="58">
        <v>148.07608533522119</v>
      </c>
      <c r="AB357" s="59">
        <v>36.505759712595591</v>
      </c>
      <c r="AC357" s="59">
        <v>184.58184504781678</v>
      </c>
      <c r="AD357" s="60">
        <v>111.5703256226256</v>
      </c>
      <c r="AE357" s="61">
        <v>0.40002071895556163</v>
      </c>
      <c r="AF357" s="62">
        <v>8.6734389829671923E-2</v>
      </c>
      <c r="AG357" s="62">
        <v>0.48675510878523354</v>
      </c>
      <c r="AH357" s="63">
        <v>0.31328632912588972</v>
      </c>
      <c r="AI357">
        <v>0</v>
      </c>
    </row>
    <row r="358" spans="17:35" x14ac:dyDescent="0.25">
      <c r="Q358" s="57"/>
      <c r="R358" s="57"/>
      <c r="Z358">
        <v>326</v>
      </c>
      <c r="AA358" s="58">
        <v>147.53642356194823</v>
      </c>
      <c r="AB358" s="59">
        <v>36.250707216083903</v>
      </c>
      <c r="AC358" s="59">
        <v>183.78713077803212</v>
      </c>
      <c r="AD358" s="60">
        <v>111.28571634586433</v>
      </c>
      <c r="AE358" s="61">
        <v>0.39859092450518857</v>
      </c>
      <c r="AF358" s="62">
        <v>8.6242209590615057E-2</v>
      </c>
      <c r="AG358" s="62">
        <v>0.48483313409580364</v>
      </c>
      <c r="AH358" s="63">
        <v>0.3123487149145735</v>
      </c>
      <c r="AI358">
        <v>0</v>
      </c>
    </row>
    <row r="359" spans="17:35" x14ac:dyDescent="0.25">
      <c r="Q359" s="57"/>
      <c r="R359" s="57"/>
      <c r="Z359">
        <v>327</v>
      </c>
      <c r="AA359" s="58">
        <v>147.02746569066238</v>
      </c>
      <c r="AB359" s="59">
        <v>36.071830391478876</v>
      </c>
      <c r="AC359" s="59">
        <v>183.09929608214125</v>
      </c>
      <c r="AD359" s="60">
        <v>110.95563529918351</v>
      </c>
      <c r="AE359" s="61">
        <v>0.39723429132892241</v>
      </c>
      <c r="AF359" s="62">
        <v>8.590971799756339E-2</v>
      </c>
      <c r="AG359" s="62">
        <v>0.48314400932648582</v>
      </c>
      <c r="AH359" s="63">
        <v>0.31132457333135899</v>
      </c>
      <c r="AI359">
        <v>0</v>
      </c>
    </row>
    <row r="360" spans="17:35" x14ac:dyDescent="0.25">
      <c r="Q360" s="57"/>
      <c r="R360" s="57"/>
      <c r="Z360">
        <v>328</v>
      </c>
      <c r="AA360" s="58">
        <v>146.42939070024602</v>
      </c>
      <c r="AB360" s="59">
        <v>35.808378983926204</v>
      </c>
      <c r="AC360" s="59">
        <v>182.23776968417224</v>
      </c>
      <c r="AD360" s="60">
        <v>110.62101171631981</v>
      </c>
      <c r="AE360" s="61">
        <v>0.39562835283278774</v>
      </c>
      <c r="AF360" s="62">
        <v>8.5332301947513137E-2</v>
      </c>
      <c r="AG360" s="62">
        <v>0.48096065478030087</v>
      </c>
      <c r="AH360" s="63">
        <v>0.31029605088527462</v>
      </c>
      <c r="AI360">
        <v>0</v>
      </c>
    </row>
    <row r="361" spans="17:35" x14ac:dyDescent="0.25">
      <c r="Q361" s="57"/>
      <c r="R361" s="57"/>
      <c r="Z361">
        <v>329</v>
      </c>
      <c r="AA361" s="58">
        <v>145.95734689852648</v>
      </c>
      <c r="AB361" s="59">
        <v>35.590613468043301</v>
      </c>
      <c r="AC361" s="59">
        <v>181.54796036656978</v>
      </c>
      <c r="AD361" s="60">
        <v>110.36673343048318</v>
      </c>
      <c r="AE361" s="61">
        <v>0.39437020155332325</v>
      </c>
      <c r="AF361" s="62">
        <v>8.4894091389374635E-2</v>
      </c>
      <c r="AG361" s="62">
        <v>0.4792642929426979</v>
      </c>
      <c r="AH361" s="63">
        <v>0.3094761101639486</v>
      </c>
      <c r="AI361">
        <v>0</v>
      </c>
    </row>
    <row r="362" spans="17:35" x14ac:dyDescent="0.25">
      <c r="Q362" s="57"/>
      <c r="R362" s="57"/>
      <c r="Z362">
        <v>330</v>
      </c>
      <c r="AA362" s="58">
        <v>145.4269867526595</v>
      </c>
      <c r="AB362" s="59">
        <v>35.356878910184179</v>
      </c>
      <c r="AC362" s="59">
        <v>180.78386566284368</v>
      </c>
      <c r="AD362" s="60">
        <v>110.07010784247532</v>
      </c>
      <c r="AE362" s="61">
        <v>0.39295929354754039</v>
      </c>
      <c r="AF362" s="62">
        <v>8.4420231705156154E-2</v>
      </c>
      <c r="AG362" s="62">
        <v>0.47737952525269656</v>
      </c>
      <c r="AH362" s="63">
        <v>0.30853906184238422</v>
      </c>
      <c r="AI362">
        <v>0</v>
      </c>
    </row>
    <row r="363" spans="17:35" x14ac:dyDescent="0.25">
      <c r="Q363" s="57"/>
      <c r="R363" s="57"/>
      <c r="Z363">
        <v>331</v>
      </c>
      <c r="AA363" s="58">
        <v>144.88471586146625</v>
      </c>
      <c r="AB363" s="59">
        <v>35.169866838259978</v>
      </c>
      <c r="AC363" s="59">
        <v>180.05458269972621</v>
      </c>
      <c r="AD363" s="60">
        <v>109.71484902320627</v>
      </c>
      <c r="AE363" s="61">
        <v>0.39150001267697521</v>
      </c>
      <c r="AF363" s="62">
        <v>8.4002385866222898E-2</v>
      </c>
      <c r="AG363" s="62">
        <v>0.47550239854319809</v>
      </c>
      <c r="AH363" s="63">
        <v>0.30749762681075232</v>
      </c>
      <c r="AI363">
        <v>0</v>
      </c>
    </row>
    <row r="364" spans="17:35" x14ac:dyDescent="0.25">
      <c r="Q364" s="57"/>
      <c r="R364" s="57"/>
      <c r="Z364">
        <v>332</v>
      </c>
      <c r="AA364" s="58">
        <v>144.39787264841132</v>
      </c>
      <c r="AB364" s="59">
        <v>35.02393775030756</v>
      </c>
      <c r="AC364" s="59">
        <v>179.42181039871889</v>
      </c>
      <c r="AD364" s="60">
        <v>109.37393489810376</v>
      </c>
      <c r="AE364" s="61">
        <v>0.39018047002313461</v>
      </c>
      <c r="AF364" s="62">
        <v>8.3680549450200412E-2</v>
      </c>
      <c r="AG364" s="62">
        <v>0.47386101947333503</v>
      </c>
      <c r="AH364" s="63">
        <v>0.30649992057293418</v>
      </c>
      <c r="AI364">
        <v>0</v>
      </c>
    </row>
    <row r="365" spans="17:35" x14ac:dyDescent="0.25">
      <c r="Q365" s="57"/>
      <c r="R365" s="57"/>
      <c r="Z365">
        <v>333</v>
      </c>
      <c r="AA365" s="58">
        <v>143.89181321020229</v>
      </c>
      <c r="AB365" s="59">
        <v>34.802301010847145</v>
      </c>
      <c r="AC365" s="59">
        <v>178.69411422104943</v>
      </c>
      <c r="AD365" s="60">
        <v>109.08951219935514</v>
      </c>
      <c r="AE365" s="61">
        <v>0.38880773393251822</v>
      </c>
      <c r="AF365" s="62">
        <v>8.3154193753679939E-2</v>
      </c>
      <c r="AG365" s="62">
        <v>0.47196192768619816</v>
      </c>
      <c r="AH365" s="63">
        <v>0.30565354017883828</v>
      </c>
      <c r="AI365">
        <v>0</v>
      </c>
    </row>
    <row r="366" spans="17:35" x14ac:dyDescent="0.25">
      <c r="Q366" s="57"/>
      <c r="R366" s="57"/>
      <c r="Z366">
        <v>334</v>
      </c>
      <c r="AA366" s="58">
        <v>143.38280106775861</v>
      </c>
      <c r="AB366" s="59">
        <v>34.548479069946801</v>
      </c>
      <c r="AC366" s="59">
        <v>177.93128013770541</v>
      </c>
      <c r="AD366" s="60">
        <v>108.8343219978118</v>
      </c>
      <c r="AE366" s="61">
        <v>0.38742519507078987</v>
      </c>
      <c r="AF366" s="62">
        <v>8.2476044530365653E-2</v>
      </c>
      <c r="AG366" s="62">
        <v>0.46990123960115554</v>
      </c>
      <c r="AH366" s="63">
        <v>0.30494915054042421</v>
      </c>
      <c r="AI366">
        <v>0</v>
      </c>
    </row>
    <row r="367" spans="17:35" x14ac:dyDescent="0.25">
      <c r="Q367" s="57"/>
      <c r="R367" s="57"/>
      <c r="Z367">
        <v>335</v>
      </c>
      <c r="AA367" s="58">
        <v>142.91700136525375</v>
      </c>
      <c r="AB367" s="59">
        <v>34.354884806206066</v>
      </c>
      <c r="AC367" s="59">
        <v>177.27188617145981</v>
      </c>
      <c r="AD367" s="60">
        <v>108.56211655904769</v>
      </c>
      <c r="AE367" s="61">
        <v>0.38617690748371958</v>
      </c>
      <c r="AF367" s="62">
        <v>8.2050205728333547E-2</v>
      </c>
      <c r="AG367" s="62">
        <v>0.46822711321205313</v>
      </c>
      <c r="AH367" s="63">
        <v>0.30412670175538603</v>
      </c>
      <c r="AI367">
        <v>0</v>
      </c>
    </row>
    <row r="368" spans="17:35" x14ac:dyDescent="0.25">
      <c r="Q368" s="57"/>
      <c r="R368" s="57"/>
      <c r="Z368">
        <v>336</v>
      </c>
      <c r="AA368" s="58">
        <v>142.43378076940488</v>
      </c>
      <c r="AB368" s="59">
        <v>34.109851406889518</v>
      </c>
      <c r="AC368" s="59">
        <v>176.54363217629441</v>
      </c>
      <c r="AD368" s="60">
        <v>108.32392936251536</v>
      </c>
      <c r="AE368" s="61">
        <v>0.38489497635272524</v>
      </c>
      <c r="AF368" s="62">
        <v>8.1568257566053431E-2</v>
      </c>
      <c r="AG368" s="62">
        <v>0.46646323391877864</v>
      </c>
      <c r="AH368" s="63">
        <v>0.30332671878667183</v>
      </c>
      <c r="AI368">
        <v>0</v>
      </c>
    </row>
    <row r="369" spans="17:35" x14ac:dyDescent="0.25">
      <c r="Q369" s="57"/>
      <c r="R369" s="57"/>
      <c r="Z369">
        <v>337</v>
      </c>
      <c r="AA369" s="58">
        <v>141.96186247993768</v>
      </c>
      <c r="AB369" s="59">
        <v>33.922227902900268</v>
      </c>
      <c r="AC369" s="59">
        <v>175.88409038283794</v>
      </c>
      <c r="AD369" s="60">
        <v>108.03963457703742</v>
      </c>
      <c r="AE369" s="61">
        <v>0.38361482736689295</v>
      </c>
      <c r="AF369" s="62">
        <v>8.111544136445363E-2</v>
      </c>
      <c r="AG369" s="62">
        <v>0.4647302687313466</v>
      </c>
      <c r="AH369" s="63">
        <v>0.30249938600243931</v>
      </c>
      <c r="AI369">
        <v>0</v>
      </c>
    </row>
    <row r="370" spans="17:35" x14ac:dyDescent="0.25">
      <c r="Q370" s="57"/>
      <c r="R370" s="57"/>
      <c r="Z370">
        <v>338</v>
      </c>
      <c r="AA370" s="58">
        <v>141.53156930215169</v>
      </c>
      <c r="AB370" s="59">
        <v>33.720535748052654</v>
      </c>
      <c r="AC370" s="59">
        <v>175.25210505020436</v>
      </c>
      <c r="AD370" s="60">
        <v>107.81103355409904</v>
      </c>
      <c r="AE370" s="61">
        <v>0.38246535155900324</v>
      </c>
      <c r="AF370" s="62">
        <v>8.0700506811248435E-2</v>
      </c>
      <c r="AG370" s="62">
        <v>0.4631658583702517</v>
      </c>
      <c r="AH370" s="63">
        <v>0.30176484474775478</v>
      </c>
      <c r="AI370">
        <v>0</v>
      </c>
    </row>
    <row r="371" spans="17:35" x14ac:dyDescent="0.25">
      <c r="Q371" s="57"/>
      <c r="R371" s="57"/>
      <c r="Z371">
        <v>339</v>
      </c>
      <c r="AA371" s="58">
        <v>141.08484044256821</v>
      </c>
      <c r="AB371" s="59">
        <v>33.48308704449159</v>
      </c>
      <c r="AC371" s="59">
        <v>174.56792748705979</v>
      </c>
      <c r="AD371" s="60">
        <v>107.60175339807662</v>
      </c>
      <c r="AE371" s="61">
        <v>0.38127649992976048</v>
      </c>
      <c r="AF371" s="62">
        <v>8.0204175655066628E-2</v>
      </c>
      <c r="AG371" s="62">
        <v>0.46148067558482708</v>
      </c>
      <c r="AH371" s="63">
        <v>0.30107232427469388</v>
      </c>
      <c r="AI371">
        <v>0</v>
      </c>
    </row>
    <row r="372" spans="17:35" x14ac:dyDescent="0.25">
      <c r="Q372" s="57"/>
      <c r="R372" s="57"/>
      <c r="Z372">
        <v>340</v>
      </c>
      <c r="AA372" s="58">
        <v>140.66681506352018</v>
      </c>
      <c r="AB372" s="59">
        <v>33.310357909847959</v>
      </c>
      <c r="AC372" s="59">
        <v>173.97717297336814</v>
      </c>
      <c r="AD372" s="60">
        <v>107.35645715367221</v>
      </c>
      <c r="AE372" s="61">
        <v>0.38014853662232073</v>
      </c>
      <c r="AF372" s="62">
        <v>7.9790574250187804E-2</v>
      </c>
      <c r="AG372" s="62">
        <v>0.45993911087250855</v>
      </c>
      <c r="AH372" s="63">
        <v>0.30035796237213291</v>
      </c>
      <c r="AI372">
        <v>0</v>
      </c>
    </row>
    <row r="373" spans="17:35" x14ac:dyDescent="0.25">
      <c r="Q373" s="57"/>
      <c r="R373" s="57"/>
      <c r="Z373">
        <v>341</v>
      </c>
      <c r="AA373" s="58">
        <v>140.2399690528853</v>
      </c>
      <c r="AB373" s="59">
        <v>33.105053036796875</v>
      </c>
      <c r="AC373" s="59">
        <v>173.34502208968217</v>
      </c>
      <c r="AD373" s="60">
        <v>107.13491601608843</v>
      </c>
      <c r="AE373" s="61">
        <v>0.379012615373505</v>
      </c>
      <c r="AF373" s="62">
        <v>7.9407949853684656E-2</v>
      </c>
      <c r="AG373" s="62">
        <v>0.45842056522718966</v>
      </c>
      <c r="AH373" s="63">
        <v>0.29960466551982035</v>
      </c>
      <c r="AI373">
        <v>0</v>
      </c>
    </row>
    <row r="374" spans="17:35" x14ac:dyDescent="0.25">
      <c r="Q374" s="57"/>
      <c r="R374" s="57"/>
      <c r="Z374">
        <v>342</v>
      </c>
      <c r="AA374" s="58">
        <v>139.78664112900279</v>
      </c>
      <c r="AB374" s="59">
        <v>32.883265858272665</v>
      </c>
      <c r="AC374" s="59">
        <v>172.66990698727545</v>
      </c>
      <c r="AD374" s="60">
        <v>106.90337527073012</v>
      </c>
      <c r="AE374" s="61">
        <v>0.37780343922627863</v>
      </c>
      <c r="AF374" s="62">
        <v>7.897574591964239E-2</v>
      </c>
      <c r="AG374" s="62">
        <v>0.45677918514592103</v>
      </c>
      <c r="AH374" s="63">
        <v>0.29882769330663622</v>
      </c>
      <c r="AI374">
        <v>0</v>
      </c>
    </row>
    <row r="375" spans="17:35" x14ac:dyDescent="0.25">
      <c r="Q375" s="57"/>
      <c r="R375" s="57"/>
      <c r="Z375">
        <v>343</v>
      </c>
      <c r="AA375" s="58">
        <v>139.36123766243995</v>
      </c>
      <c r="AB375" s="59">
        <v>32.685848656122559</v>
      </c>
      <c r="AC375" s="59">
        <v>172.04708631856249</v>
      </c>
      <c r="AD375" s="60">
        <v>106.67538900631739</v>
      </c>
      <c r="AE375" s="61">
        <v>0.37665706012626282</v>
      </c>
      <c r="AF375" s="62">
        <v>7.850193435676428E-2</v>
      </c>
      <c r="AG375" s="62">
        <v>0.4551589944830271</v>
      </c>
      <c r="AH375" s="63">
        <v>0.29815512576949854</v>
      </c>
      <c r="AI375">
        <v>0</v>
      </c>
    </row>
    <row r="376" spans="17:35" x14ac:dyDescent="0.25">
      <c r="Q376" s="57"/>
      <c r="R376" s="57"/>
      <c r="Z376">
        <v>344</v>
      </c>
      <c r="AA376" s="58">
        <v>139.00458559118837</v>
      </c>
      <c r="AB376" s="59">
        <v>32.469974563242332</v>
      </c>
      <c r="AC376" s="59">
        <v>171.47456015443072</v>
      </c>
      <c r="AD376" s="60">
        <v>106.53461102794604</v>
      </c>
      <c r="AE376" s="61">
        <v>0.37570747196340476</v>
      </c>
      <c r="AF376" s="62">
        <v>7.8045865356114408E-2</v>
      </c>
      <c r="AG376" s="62">
        <v>0.45375333731951917</v>
      </c>
      <c r="AH376" s="63">
        <v>0.29766160660729035</v>
      </c>
      <c r="AI376">
        <v>0</v>
      </c>
    </row>
    <row r="377" spans="17:35" x14ac:dyDescent="0.25">
      <c r="Q377" s="57"/>
      <c r="R377" s="57"/>
      <c r="Z377">
        <v>345</v>
      </c>
      <c r="AA377" s="58">
        <v>138.65643187457408</v>
      </c>
      <c r="AB377" s="59">
        <v>32.289976677103454</v>
      </c>
      <c r="AC377" s="59">
        <v>170.94640855167754</v>
      </c>
      <c r="AD377" s="60">
        <v>106.36645519747063</v>
      </c>
      <c r="AE377" s="61">
        <v>0.37477537980063641</v>
      </c>
      <c r="AF377" s="62">
        <v>7.7650139129573678E-2</v>
      </c>
      <c r="AG377" s="62">
        <v>0.4524255189302101</v>
      </c>
      <c r="AH377" s="63">
        <v>0.29712524067106272</v>
      </c>
      <c r="AI377">
        <v>0</v>
      </c>
    </row>
    <row r="378" spans="17:35" x14ac:dyDescent="0.25">
      <c r="Q378" s="57"/>
      <c r="R378" s="57"/>
      <c r="Z378">
        <v>346</v>
      </c>
      <c r="AA378" s="58">
        <v>138.25096250006655</v>
      </c>
      <c r="AB378" s="59">
        <v>32.143357312985287</v>
      </c>
      <c r="AC378" s="59">
        <v>170.39431981305182</v>
      </c>
      <c r="AD378" s="60">
        <v>106.10760518708126</v>
      </c>
      <c r="AE378" s="61">
        <v>0.3736820827864526</v>
      </c>
      <c r="AF378" s="62">
        <v>7.7335328804246914E-2</v>
      </c>
      <c r="AG378" s="62">
        <v>0.45101741159069952</v>
      </c>
      <c r="AH378" s="63">
        <v>0.29634675398220567</v>
      </c>
      <c r="AI378">
        <v>0</v>
      </c>
    </row>
    <row r="379" spans="17:35" x14ac:dyDescent="0.25">
      <c r="Q379" s="57"/>
      <c r="R379" s="57"/>
      <c r="Z379">
        <v>347</v>
      </c>
      <c r="AA379" s="58">
        <v>137.80102557379016</v>
      </c>
      <c r="AB379" s="59">
        <v>32.004475493763252</v>
      </c>
      <c r="AC379" s="59">
        <v>169.80550106755339</v>
      </c>
      <c r="AD379" s="60">
        <v>105.7965500800269</v>
      </c>
      <c r="AE379" s="61">
        <v>0.37246239433758627</v>
      </c>
      <c r="AF379" s="62">
        <v>7.7007875216776156E-2</v>
      </c>
      <c r="AG379" s="62">
        <v>0.44947026955436242</v>
      </c>
      <c r="AH379" s="63">
        <v>0.29545451912081011</v>
      </c>
      <c r="AI379">
        <v>0</v>
      </c>
    </row>
    <row r="380" spans="17:35" x14ac:dyDescent="0.25">
      <c r="Q380" s="57"/>
      <c r="R380" s="57"/>
      <c r="Z380">
        <v>348</v>
      </c>
      <c r="AA380" s="58">
        <v>137.41439559555567</v>
      </c>
      <c r="AB380" s="59">
        <v>31.797851171285178</v>
      </c>
      <c r="AC380" s="59">
        <v>169.21224676684085</v>
      </c>
      <c r="AD380" s="60">
        <v>105.6165444242705</v>
      </c>
      <c r="AE380" s="61">
        <v>0.37143091120001409</v>
      </c>
      <c r="AF380" s="62">
        <v>7.6569697771948012E-2</v>
      </c>
      <c r="AG380" s="62">
        <v>0.44800060897196209</v>
      </c>
      <c r="AH380" s="63">
        <v>0.29486121342806609</v>
      </c>
      <c r="AI380">
        <v>0</v>
      </c>
    </row>
    <row r="381" spans="17:35" x14ac:dyDescent="0.25">
      <c r="Q381" s="57"/>
      <c r="R381" s="57"/>
      <c r="Z381">
        <v>349</v>
      </c>
      <c r="AA381" s="58">
        <v>137.13045366833447</v>
      </c>
      <c r="AB381" s="59">
        <v>31.670910343299287</v>
      </c>
      <c r="AC381" s="59">
        <v>168.80136401163375</v>
      </c>
      <c r="AD381" s="60">
        <v>105.45954332503518</v>
      </c>
      <c r="AE381" s="61">
        <v>0.3706755874769862</v>
      </c>
      <c r="AF381" s="62">
        <v>7.6317085757197325E-2</v>
      </c>
      <c r="AG381" s="62">
        <v>0.44699267323418351</v>
      </c>
      <c r="AH381" s="63">
        <v>0.29435850171978889</v>
      </c>
      <c r="AI381">
        <v>0</v>
      </c>
    </row>
    <row r="382" spans="17:35" x14ac:dyDescent="0.25">
      <c r="Q382" s="57"/>
      <c r="R382" s="57"/>
      <c r="Z382">
        <v>350</v>
      </c>
      <c r="AA382" s="58">
        <v>136.80315869631741</v>
      </c>
      <c r="AB382" s="59">
        <v>31.445239559098333</v>
      </c>
      <c r="AC382" s="59">
        <v>168.24839825541574</v>
      </c>
      <c r="AD382" s="60">
        <v>105.35791913721908</v>
      </c>
      <c r="AE382" s="61">
        <v>0.36981597631689184</v>
      </c>
      <c r="AF382" s="62">
        <v>7.5876526671570077E-2</v>
      </c>
      <c r="AG382" s="62">
        <v>0.44569250298846191</v>
      </c>
      <c r="AH382" s="63">
        <v>0.29393944964532176</v>
      </c>
      <c r="AI382">
        <v>0</v>
      </c>
    </row>
    <row r="383" spans="17:35" x14ac:dyDescent="0.25">
      <c r="Q383" s="57"/>
      <c r="R383" s="57"/>
      <c r="Z383">
        <v>351</v>
      </c>
      <c r="AA383" s="58">
        <v>136.48743606569596</v>
      </c>
      <c r="AB383" s="59">
        <v>31.309213239120879</v>
      </c>
      <c r="AC383" s="59">
        <v>167.79664930481684</v>
      </c>
      <c r="AD383" s="60">
        <v>105.17822282657508</v>
      </c>
      <c r="AE383" s="61">
        <v>0.36896912230972873</v>
      </c>
      <c r="AF383" s="62">
        <v>7.557058341440602E-2</v>
      </c>
      <c r="AG383" s="62">
        <v>0.44453970572413476</v>
      </c>
      <c r="AH383" s="63">
        <v>0.29339853889532269</v>
      </c>
      <c r="AI383">
        <v>0</v>
      </c>
    </row>
    <row r="384" spans="17:35" x14ac:dyDescent="0.25">
      <c r="Q384" s="57"/>
      <c r="R384" s="57"/>
      <c r="Z384">
        <v>352</v>
      </c>
      <c r="AA384" s="58">
        <v>136.13674026881239</v>
      </c>
      <c r="AB384" s="59">
        <v>31.139665778491178</v>
      </c>
      <c r="AC384" s="59">
        <v>167.27640604730357</v>
      </c>
      <c r="AD384" s="60">
        <v>104.99707449032121</v>
      </c>
      <c r="AE384" s="61">
        <v>0.36803661065461596</v>
      </c>
      <c r="AF384" s="62">
        <v>7.5231359144335527E-2</v>
      </c>
      <c r="AG384" s="62">
        <v>0.4432679697989515</v>
      </c>
      <c r="AH384" s="63">
        <v>0.29280525151028042</v>
      </c>
      <c r="AI384">
        <v>0</v>
      </c>
    </row>
    <row r="385" spans="17:35" x14ac:dyDescent="0.25">
      <c r="Q385" s="57"/>
      <c r="R385" s="57"/>
      <c r="Z385">
        <v>353</v>
      </c>
      <c r="AA385" s="58">
        <v>135.77519840720473</v>
      </c>
      <c r="AB385" s="59">
        <v>30.891841417994598</v>
      </c>
      <c r="AC385" s="59">
        <v>166.66703982519931</v>
      </c>
      <c r="AD385" s="60">
        <v>104.88335698921013</v>
      </c>
      <c r="AE385" s="61">
        <v>0.36709264260710323</v>
      </c>
      <c r="AF385" s="62">
        <v>7.4792302727430426E-2</v>
      </c>
      <c r="AG385" s="62">
        <v>0.44188494533453365</v>
      </c>
      <c r="AH385" s="63">
        <v>0.2923003398796728</v>
      </c>
      <c r="AI385">
        <v>0</v>
      </c>
    </row>
    <row r="386" spans="17:35" x14ac:dyDescent="0.25">
      <c r="Q386" s="57"/>
      <c r="R386" s="57"/>
      <c r="Z386">
        <v>354</v>
      </c>
      <c r="AA386" s="58">
        <v>135.48546896442429</v>
      </c>
      <c r="AB386" s="59">
        <v>30.792861967226049</v>
      </c>
      <c r="AC386" s="59">
        <v>166.27833093165034</v>
      </c>
      <c r="AD386" s="60">
        <v>104.69260699719824</v>
      </c>
      <c r="AE386" s="61">
        <v>0.36632444261940028</v>
      </c>
      <c r="AF386" s="62">
        <v>7.4637586982046755E-2</v>
      </c>
      <c r="AG386" s="62">
        <v>0.44096202960144704</v>
      </c>
      <c r="AH386" s="63">
        <v>0.29168685563735353</v>
      </c>
      <c r="AI386">
        <v>0</v>
      </c>
    </row>
    <row r="387" spans="17:35" x14ac:dyDescent="0.25">
      <c r="Q387" s="57"/>
      <c r="R387" s="57"/>
      <c r="Z387">
        <v>355</v>
      </c>
      <c r="AA387" s="58">
        <v>135.14496902941463</v>
      </c>
      <c r="AB387" s="59">
        <v>30.62598323882051</v>
      </c>
      <c r="AC387" s="59">
        <v>165.77095226823513</v>
      </c>
      <c r="AD387" s="60">
        <v>104.51898579059412</v>
      </c>
      <c r="AE387" s="61">
        <v>0.36541388867591679</v>
      </c>
      <c r="AF387" s="62">
        <v>7.4276540922456433E-2</v>
      </c>
      <c r="AG387" s="62">
        <v>0.43969042959837323</v>
      </c>
      <c r="AH387" s="63">
        <v>0.29113734775346034</v>
      </c>
      <c r="AI387">
        <v>0</v>
      </c>
    </row>
    <row r="388" spans="17:35" x14ac:dyDescent="0.25">
      <c r="Q388" s="57"/>
      <c r="R388" s="57"/>
      <c r="Z388">
        <v>356</v>
      </c>
      <c r="AA388" s="58">
        <v>134.79257859891516</v>
      </c>
      <c r="AB388" s="59">
        <v>30.468332456353231</v>
      </c>
      <c r="AC388" s="59">
        <v>165.26091105526839</v>
      </c>
      <c r="AD388" s="60">
        <v>104.32424614256192</v>
      </c>
      <c r="AE388" s="61">
        <v>0.36446935601419711</v>
      </c>
      <c r="AF388" s="62">
        <v>7.394435064635764E-2</v>
      </c>
      <c r="AG388" s="62">
        <v>0.43841370666055474</v>
      </c>
      <c r="AH388" s="63">
        <v>0.29052500536783948</v>
      </c>
      <c r="AI388">
        <v>0</v>
      </c>
    </row>
    <row r="389" spans="17:35" x14ac:dyDescent="0.25">
      <c r="Q389" s="57"/>
      <c r="R389" s="57"/>
      <c r="Z389">
        <v>357</v>
      </c>
      <c r="AA389" s="58">
        <v>134.40477628460889</v>
      </c>
      <c r="AB389" s="59">
        <v>30.312766330028879</v>
      </c>
      <c r="AC389" s="59">
        <v>164.71754261463775</v>
      </c>
      <c r="AD389" s="60">
        <v>104.09200995458001</v>
      </c>
      <c r="AE389" s="61">
        <v>0.36343746995123061</v>
      </c>
      <c r="AF389" s="62">
        <v>7.3659999533750825E-2</v>
      </c>
      <c r="AG389" s="62">
        <v>0.4370974694849814</v>
      </c>
      <c r="AH389" s="63">
        <v>0.28977747041747981</v>
      </c>
      <c r="AI389">
        <v>0</v>
      </c>
    </row>
    <row r="390" spans="17:35" x14ac:dyDescent="0.25">
      <c r="Q390" s="57"/>
      <c r="R390" s="57"/>
      <c r="Z390">
        <v>358</v>
      </c>
      <c r="AA390" s="58">
        <v>133.95984452269178</v>
      </c>
      <c r="AB390" s="59">
        <v>30.123410702478687</v>
      </c>
      <c r="AC390" s="59">
        <v>164.08325522517046</v>
      </c>
      <c r="AD390" s="60">
        <v>103.8364338202131</v>
      </c>
      <c r="AE390" s="61">
        <v>0.36225394909275993</v>
      </c>
      <c r="AF390" s="62">
        <v>7.3314560845861979E-2</v>
      </c>
      <c r="AG390" s="62">
        <v>0.4355685099386219</v>
      </c>
      <c r="AH390" s="63">
        <v>0.28893938824689797</v>
      </c>
      <c r="AI390">
        <v>0</v>
      </c>
    </row>
    <row r="391" spans="17:35" x14ac:dyDescent="0.25">
      <c r="Q391" s="57"/>
      <c r="R391" s="57"/>
      <c r="Z391">
        <v>359</v>
      </c>
      <c r="AA391" s="58">
        <v>133.56321644541916</v>
      </c>
      <c r="AB391" s="59">
        <v>30.089047608431617</v>
      </c>
      <c r="AC391" s="59">
        <v>163.65226405385079</v>
      </c>
      <c r="AD391" s="60">
        <v>103.47416883698754</v>
      </c>
      <c r="AE391" s="61">
        <v>0.36118448055937907</v>
      </c>
      <c r="AF391" s="62">
        <v>7.3289147202187405E-2</v>
      </c>
      <c r="AG391" s="62">
        <v>0.43447362776156651</v>
      </c>
      <c r="AH391" s="63">
        <v>0.28789533335719164</v>
      </c>
      <c r="AI391">
        <v>0</v>
      </c>
    </row>
    <row r="392" spans="17:35" x14ac:dyDescent="0.25">
      <c r="Q392" s="57"/>
      <c r="R392" s="57"/>
      <c r="Z392">
        <v>360</v>
      </c>
      <c r="AA392" s="58">
        <v>133.17787235467731</v>
      </c>
      <c r="AB392" s="59">
        <v>29.968504753864007</v>
      </c>
      <c r="AC392" s="59">
        <v>163.14637710854132</v>
      </c>
      <c r="AD392" s="60">
        <v>103.20936760081329</v>
      </c>
      <c r="AE392" s="61">
        <v>0.36016479090614811</v>
      </c>
      <c r="AF392" s="62">
        <v>7.3143918838022404E-2</v>
      </c>
      <c r="AG392" s="62">
        <v>0.43330870974417052</v>
      </c>
      <c r="AH392" s="63">
        <v>0.28702087206812571</v>
      </c>
      <c r="AI392">
        <v>0</v>
      </c>
    </row>
    <row r="393" spans="17:35" x14ac:dyDescent="0.25">
      <c r="Q393" s="57"/>
      <c r="R393" s="57"/>
      <c r="Z393">
        <v>361</v>
      </c>
      <c r="AA393" s="58">
        <v>132.78842298192126</v>
      </c>
      <c r="AB393" s="59">
        <v>29.846746168794247</v>
      </c>
      <c r="AC393" s="59">
        <v>162.63516915071551</v>
      </c>
      <c r="AD393" s="60">
        <v>102.941676813127</v>
      </c>
      <c r="AE393" s="61">
        <v>0.35912632342825496</v>
      </c>
      <c r="AF393" s="62">
        <v>7.2945939474424626E-2</v>
      </c>
      <c r="AG393" s="62">
        <v>0.43207226290267958</v>
      </c>
      <c r="AH393" s="63">
        <v>0.28618038395383033</v>
      </c>
      <c r="AI393">
        <v>0</v>
      </c>
    </row>
    <row r="394" spans="17:35" x14ac:dyDescent="0.25">
      <c r="Q394" s="57"/>
      <c r="R394" s="57"/>
      <c r="Z394">
        <v>362</v>
      </c>
      <c r="AA394" s="58">
        <v>132.34164764529663</v>
      </c>
      <c r="AB394" s="59">
        <v>29.690658906061941</v>
      </c>
      <c r="AC394" s="59">
        <v>162.03230655135857</v>
      </c>
      <c r="AD394" s="60">
        <v>102.65098873923469</v>
      </c>
      <c r="AE394" s="61">
        <v>0.35792057659616178</v>
      </c>
      <c r="AF394" s="62">
        <v>7.2579644678573543E-2</v>
      </c>
      <c r="AG394" s="62">
        <v>0.43050022127473531</v>
      </c>
      <c r="AH394" s="63">
        <v>0.28534093191758825</v>
      </c>
      <c r="AI394">
        <v>0</v>
      </c>
    </row>
    <row r="395" spans="17:35" x14ac:dyDescent="0.25">
      <c r="Q395" s="57"/>
      <c r="R395" s="57"/>
      <c r="Z395">
        <v>363</v>
      </c>
      <c r="AA395" s="58">
        <v>131.90800188486418</v>
      </c>
      <c r="AB395" s="59">
        <v>29.489106946856726</v>
      </c>
      <c r="AC395" s="59">
        <v>161.39710883172091</v>
      </c>
      <c r="AD395" s="60">
        <v>102.41889493800745</v>
      </c>
      <c r="AE395" s="61">
        <v>0.35675380467891343</v>
      </c>
      <c r="AF395" s="62">
        <v>7.2115218570294334E-2</v>
      </c>
      <c r="AG395" s="62">
        <v>0.42886902324920778</v>
      </c>
      <c r="AH395" s="63">
        <v>0.28463858610861908</v>
      </c>
      <c r="AI395">
        <v>0</v>
      </c>
    </row>
    <row r="396" spans="17:35" x14ac:dyDescent="0.25">
      <c r="Q396" s="57"/>
      <c r="R396" s="57"/>
      <c r="Z396">
        <v>364</v>
      </c>
      <c r="AA396" s="58">
        <v>131.46352588114394</v>
      </c>
      <c r="AB396" s="59">
        <v>29.298698918131787</v>
      </c>
      <c r="AC396" s="59">
        <v>160.76222479927571</v>
      </c>
      <c r="AD396" s="60">
        <v>102.16482696301215</v>
      </c>
      <c r="AE396" s="61">
        <v>0.35556981453824127</v>
      </c>
      <c r="AF396" s="62">
        <v>7.1739044169976146E-2</v>
      </c>
      <c r="AG396" s="62">
        <v>0.42730885870821744</v>
      </c>
      <c r="AH396" s="63">
        <v>0.2838307703682651</v>
      </c>
      <c r="AI396">
        <v>0</v>
      </c>
    </row>
    <row r="397" spans="17:35" x14ac:dyDescent="0.25">
      <c r="Q397" s="57"/>
      <c r="R397" s="57"/>
      <c r="Z397">
        <v>365</v>
      </c>
      <c r="AA397" s="58">
        <v>130.96579788318311</v>
      </c>
      <c r="AB397" s="59">
        <v>29.177092132552911</v>
      </c>
      <c r="AC397" s="59">
        <v>160.14289001573601</v>
      </c>
      <c r="AD397" s="60">
        <v>101.7887057506302</v>
      </c>
      <c r="AE397" s="61">
        <v>0.3542421989632441</v>
      </c>
      <c r="AF397" s="62">
        <v>7.1536665558827151E-2</v>
      </c>
      <c r="AG397" s="62">
        <v>0.42577886452207125</v>
      </c>
      <c r="AH397" s="63">
        <v>0.28270553340441695</v>
      </c>
      <c r="AI397">
        <v>0.1344281795615663</v>
      </c>
    </row>
    <row r="398" spans="17:35" x14ac:dyDescent="0.25">
      <c r="Q398" s="57"/>
      <c r="R398" s="57"/>
      <c r="Z398">
        <v>366</v>
      </c>
      <c r="AA398" s="58">
        <v>130.43615432552835</v>
      </c>
      <c r="AB398" s="59">
        <v>28.978836796546997</v>
      </c>
      <c r="AC398" s="59">
        <v>159.41499112207535</v>
      </c>
      <c r="AD398" s="60">
        <v>101.45731752898135</v>
      </c>
      <c r="AE398" s="61">
        <v>0.35281609764338184</v>
      </c>
      <c r="AF398" s="62">
        <v>7.1064352827799077E-2</v>
      </c>
      <c r="AG398" s="62">
        <v>0.42388045047118095</v>
      </c>
      <c r="AH398" s="63">
        <v>0.28175174481558274</v>
      </c>
      <c r="AI398">
        <v>1.5232667586268791</v>
      </c>
    </row>
    <row r="399" spans="17:35" x14ac:dyDescent="0.25">
      <c r="Q399" s="57"/>
      <c r="R399" s="57"/>
      <c r="Z399">
        <v>367</v>
      </c>
      <c r="AA399" s="58">
        <v>129.9600104443509</v>
      </c>
      <c r="AB399" s="59">
        <v>28.766434408561111</v>
      </c>
      <c r="AC399" s="59">
        <v>158.72644485291201</v>
      </c>
      <c r="AD399" s="60">
        <v>101.19357603578979</v>
      </c>
      <c r="AE399" s="61">
        <v>0.35153847643301755</v>
      </c>
      <c r="AF399" s="62">
        <v>7.0576717584449389E-2</v>
      </c>
      <c r="AG399" s="62">
        <v>0.42211519401746694</v>
      </c>
      <c r="AH399" s="63">
        <v>0.28096175884856817</v>
      </c>
      <c r="AI399">
        <v>3.2192718535557265</v>
      </c>
    </row>
    <row r="400" spans="17:35" x14ac:dyDescent="0.25">
      <c r="Q400" s="57"/>
      <c r="R400" s="57"/>
      <c r="Z400">
        <v>368</v>
      </c>
      <c r="AA400" s="58">
        <v>129.46928448162808</v>
      </c>
      <c r="AB400" s="59">
        <v>28.596610193305324</v>
      </c>
      <c r="AC400" s="59">
        <v>158.06589467493342</v>
      </c>
      <c r="AD400" s="60">
        <v>100.87267428832276</v>
      </c>
      <c r="AE400" s="61">
        <v>0.35023213728377461</v>
      </c>
      <c r="AF400" s="62">
        <v>7.0300336931408983E-2</v>
      </c>
      <c r="AG400" s="62">
        <v>0.42053247421518358</v>
      </c>
      <c r="AH400" s="63">
        <v>0.27993180035236565</v>
      </c>
      <c r="AI400">
        <v>2.0920036724156699</v>
      </c>
    </row>
    <row r="401" spans="17:35" x14ac:dyDescent="0.25">
      <c r="Q401" s="57"/>
      <c r="R401" s="57"/>
      <c r="Z401">
        <v>369</v>
      </c>
      <c r="AA401" s="58">
        <v>128.92034751906803</v>
      </c>
      <c r="AB401" s="59">
        <v>28.42463383669477</v>
      </c>
      <c r="AC401" s="59">
        <v>157.3449813557628</v>
      </c>
      <c r="AD401" s="60">
        <v>100.49571368237326</v>
      </c>
      <c r="AE401" s="61">
        <v>0.34876364756128714</v>
      </c>
      <c r="AF401" s="62">
        <v>6.99934007514737E-2</v>
      </c>
      <c r="AG401" s="62">
        <v>0.41875704831276084</v>
      </c>
      <c r="AH401" s="63">
        <v>0.27877024680981344</v>
      </c>
      <c r="AI401">
        <v>3.2659033922558183</v>
      </c>
    </row>
    <row r="402" spans="17:35" x14ac:dyDescent="0.25">
      <c r="Q402" s="57"/>
      <c r="R402" s="57"/>
      <c r="Z402">
        <v>370</v>
      </c>
      <c r="AA402" s="58">
        <v>128.41667034231315</v>
      </c>
      <c r="AB402" s="59">
        <v>28.299317242371533</v>
      </c>
      <c r="AC402" s="59">
        <v>156.71598758468468</v>
      </c>
      <c r="AD402" s="60">
        <v>100.11735309994162</v>
      </c>
      <c r="AE402" s="61">
        <v>0.34741554171923705</v>
      </c>
      <c r="AF402" s="62">
        <v>6.9788816313602592E-2</v>
      </c>
      <c r="AG402" s="62">
        <v>0.41720435803283962</v>
      </c>
      <c r="AH402" s="63">
        <v>0.27762672540563449</v>
      </c>
      <c r="AI402">
        <v>2.5196855784220902</v>
      </c>
    </row>
    <row r="403" spans="17:35" x14ac:dyDescent="0.25">
      <c r="Q403" s="57"/>
      <c r="R403" s="57"/>
      <c r="Z403">
        <v>371</v>
      </c>
      <c r="AA403" s="58">
        <v>127.88067045365101</v>
      </c>
      <c r="AB403" s="59">
        <v>28.107789543142161</v>
      </c>
      <c r="AC403" s="59">
        <v>155.98845999679315</v>
      </c>
      <c r="AD403" s="60">
        <v>99.772880910508846</v>
      </c>
      <c r="AE403" s="61">
        <v>0.34599908666753582</v>
      </c>
      <c r="AF403" s="62">
        <v>6.9506250403807313E-2</v>
      </c>
      <c r="AG403" s="62">
        <v>0.41550533707134313</v>
      </c>
      <c r="AH403" s="63">
        <v>0.2764928362637285</v>
      </c>
      <c r="AI403">
        <v>2.9256689839992842</v>
      </c>
    </row>
    <row r="404" spans="17:35" x14ac:dyDescent="0.25">
      <c r="Q404" s="57"/>
      <c r="R404" s="57"/>
      <c r="Z404">
        <v>372</v>
      </c>
      <c r="AA404" s="58">
        <v>127.38613560358893</v>
      </c>
      <c r="AB404" s="59">
        <v>27.9199623546906</v>
      </c>
      <c r="AC404" s="59">
        <v>155.30609795827954</v>
      </c>
      <c r="AD404" s="60">
        <v>99.466173248898329</v>
      </c>
      <c r="AE404" s="61">
        <v>0.34467124289184708</v>
      </c>
      <c r="AF404" s="62">
        <v>6.9091822225082908E-2</v>
      </c>
      <c r="AG404" s="62">
        <v>0.41376306511693001</v>
      </c>
      <c r="AH404" s="63">
        <v>0.27557942066676416</v>
      </c>
      <c r="AI404">
        <v>3.0154815754583155</v>
      </c>
    </row>
    <row r="405" spans="17:35" x14ac:dyDescent="0.25">
      <c r="Q405" s="57"/>
      <c r="R405" s="57"/>
      <c r="Z405">
        <v>373</v>
      </c>
      <c r="AA405" s="58">
        <v>126.89179913415286</v>
      </c>
      <c r="AB405" s="59">
        <v>27.757260355593314</v>
      </c>
      <c r="AC405" s="59">
        <v>154.64905948974618</v>
      </c>
      <c r="AD405" s="60">
        <v>99.134538778559545</v>
      </c>
      <c r="AE405" s="61">
        <v>0.3433312446661228</v>
      </c>
      <c r="AF405" s="62">
        <v>6.86921001936769E-2</v>
      </c>
      <c r="AG405" s="62">
        <v>0.41202334485979969</v>
      </c>
      <c r="AH405" s="63">
        <v>0.27463914447244592</v>
      </c>
      <c r="AI405">
        <v>4.6383621010798768</v>
      </c>
    </row>
    <row r="406" spans="17:35" x14ac:dyDescent="0.25">
      <c r="Q406" s="57"/>
      <c r="R406" s="57"/>
      <c r="Z406">
        <v>374</v>
      </c>
      <c r="AA406" s="58">
        <v>126.3215864843401</v>
      </c>
      <c r="AB406" s="59">
        <v>27.552710101823411</v>
      </c>
      <c r="AC406" s="59">
        <v>153.87429658616352</v>
      </c>
      <c r="AD406" s="60">
        <v>98.768876382516694</v>
      </c>
      <c r="AE406" s="61">
        <v>0.34180821079588969</v>
      </c>
      <c r="AF406" s="62">
        <v>6.8328657109464258E-2</v>
      </c>
      <c r="AG406" s="62">
        <v>0.41013686790535397</v>
      </c>
      <c r="AH406" s="63">
        <v>0.2734795536864254</v>
      </c>
      <c r="AI406">
        <v>6.4763405113014922</v>
      </c>
    </row>
    <row r="407" spans="17:35" x14ac:dyDescent="0.25">
      <c r="Q407" s="57"/>
      <c r="R407" s="57"/>
      <c r="Z407">
        <v>375</v>
      </c>
      <c r="AA407" s="58">
        <v>125.78340302756231</v>
      </c>
      <c r="AB407" s="59">
        <v>27.396398429657083</v>
      </c>
      <c r="AC407" s="59">
        <v>153.17980145721941</v>
      </c>
      <c r="AD407" s="60">
        <v>98.387004597905232</v>
      </c>
      <c r="AE407" s="61">
        <v>0.34036700348563942</v>
      </c>
      <c r="AF407" s="62">
        <v>6.8041132982503374E-2</v>
      </c>
      <c r="AG407" s="62">
        <v>0.40840813646814278</v>
      </c>
      <c r="AH407" s="63">
        <v>0.27232587050313606</v>
      </c>
      <c r="AI407">
        <v>6.2547267743573745</v>
      </c>
    </row>
    <row r="408" spans="17:35" x14ac:dyDescent="0.25">
      <c r="Q408" s="57"/>
      <c r="R408" s="57"/>
      <c r="Z408">
        <v>376</v>
      </c>
      <c r="AA408" s="58">
        <v>125.23441826861871</v>
      </c>
      <c r="AB408" s="59">
        <v>27.203193579907335</v>
      </c>
      <c r="AC408" s="59">
        <v>152.43761184852605</v>
      </c>
      <c r="AD408" s="60">
        <v>98.031224688711376</v>
      </c>
      <c r="AE408" s="61">
        <v>0.33889044031305882</v>
      </c>
      <c r="AF408" s="62">
        <v>6.7624502369016223E-2</v>
      </c>
      <c r="AG408" s="62">
        <v>0.40651494268207505</v>
      </c>
      <c r="AH408" s="63">
        <v>0.27126593794404258</v>
      </c>
      <c r="AI408">
        <v>6.4304823607898678</v>
      </c>
    </row>
    <row r="409" spans="17:35" x14ac:dyDescent="0.25">
      <c r="Q409" s="57"/>
      <c r="R409" s="57"/>
      <c r="Z409">
        <v>377</v>
      </c>
      <c r="AA409" s="58">
        <v>124.74353918035989</v>
      </c>
      <c r="AB409" s="59">
        <v>27.041484503638326</v>
      </c>
      <c r="AC409" s="59">
        <v>151.78502368399822</v>
      </c>
      <c r="AD409" s="60">
        <v>97.702054676721559</v>
      </c>
      <c r="AE409" s="61">
        <v>0.33756749759146115</v>
      </c>
      <c r="AF409" s="62">
        <v>6.7265540262220896E-2</v>
      </c>
      <c r="AG409" s="62">
        <v>0.40483303785368208</v>
      </c>
      <c r="AH409" s="63">
        <v>0.27030195732924023</v>
      </c>
      <c r="AI409">
        <v>8.1298767776836449</v>
      </c>
    </row>
    <row r="410" spans="17:35" x14ac:dyDescent="0.25">
      <c r="Q410" s="57"/>
      <c r="R410" s="57"/>
      <c r="Z410">
        <v>378</v>
      </c>
      <c r="AA410" s="58">
        <v>124.23141723083263</v>
      </c>
      <c r="AB410" s="59">
        <v>26.846843198346832</v>
      </c>
      <c r="AC410" s="59">
        <v>151.07826042917947</v>
      </c>
      <c r="AD410" s="60">
        <v>97.384574032485801</v>
      </c>
      <c r="AE410" s="61">
        <v>0.33619430909439668</v>
      </c>
      <c r="AF410" s="62">
        <v>6.6874285181699702E-2</v>
      </c>
      <c r="AG410" s="62">
        <v>0.40306859427609637</v>
      </c>
      <c r="AH410" s="63">
        <v>0.26932002391269699</v>
      </c>
      <c r="AI410">
        <v>8.4941665559743385</v>
      </c>
    </row>
    <row r="411" spans="17:35" x14ac:dyDescent="0.25">
      <c r="Q411" s="57"/>
      <c r="R411" s="57"/>
      <c r="Z411">
        <v>379</v>
      </c>
      <c r="AA411" s="58">
        <v>123.67326706565272</v>
      </c>
      <c r="AB411" s="59">
        <v>26.708685084698793</v>
      </c>
      <c r="AC411" s="59">
        <v>150.38195215035151</v>
      </c>
      <c r="AD411" s="60">
        <v>96.964581980953938</v>
      </c>
      <c r="AE411" s="61">
        <v>0.33468406190075689</v>
      </c>
      <c r="AF411" s="62">
        <v>6.6553912108332919E-2</v>
      </c>
      <c r="AG411" s="62">
        <v>0.40123797400908978</v>
      </c>
      <c r="AH411" s="63">
        <v>0.268130149792424</v>
      </c>
      <c r="AI411">
        <v>8.1219664237877627</v>
      </c>
    </row>
    <row r="412" spans="17:35" x14ac:dyDescent="0.25">
      <c r="Q412" s="57"/>
      <c r="R412" s="57"/>
      <c r="Z412">
        <v>380</v>
      </c>
      <c r="AA412" s="58">
        <v>123.08428513195753</v>
      </c>
      <c r="AB412" s="59">
        <v>26.533175608782575</v>
      </c>
      <c r="AC412" s="59">
        <v>149.61746074074011</v>
      </c>
      <c r="AD412" s="60">
        <v>96.551109523174958</v>
      </c>
      <c r="AE412" s="61">
        <v>0.3331057680600808</v>
      </c>
      <c r="AF412" s="62">
        <v>6.6214320122705866E-2</v>
      </c>
      <c r="AG412" s="62">
        <v>0.39932008818278664</v>
      </c>
      <c r="AH412" s="63">
        <v>0.26689144793737496</v>
      </c>
      <c r="AI412">
        <v>6.8691868852346278</v>
      </c>
    </row>
    <row r="413" spans="17:35" x14ac:dyDescent="0.25">
      <c r="Q413" s="57"/>
      <c r="R413" s="57"/>
      <c r="Z413">
        <v>381</v>
      </c>
      <c r="AA413" s="58">
        <v>122.56837568360771</v>
      </c>
      <c r="AB413" s="59">
        <v>26.363926423623706</v>
      </c>
      <c r="AC413" s="59">
        <v>148.93230210723141</v>
      </c>
      <c r="AD413" s="60">
        <v>96.204449259984003</v>
      </c>
      <c r="AE413" s="61">
        <v>0.33173154711836073</v>
      </c>
      <c r="AF413" s="62">
        <v>6.5933268552345992E-2</v>
      </c>
      <c r="AG413" s="62">
        <v>0.39766481567070672</v>
      </c>
      <c r="AH413" s="63">
        <v>0.26579827856601473</v>
      </c>
      <c r="AI413">
        <v>8.3940923967311303</v>
      </c>
    </row>
    <row r="414" spans="17:35" x14ac:dyDescent="0.25">
      <c r="Q414" s="57"/>
      <c r="R414" s="57"/>
      <c r="Z414">
        <v>382</v>
      </c>
      <c r="AA414" s="58">
        <v>122.04655545663387</v>
      </c>
      <c r="AB414" s="59">
        <v>26.157813042159987</v>
      </c>
      <c r="AC414" s="59">
        <v>148.20436849879385</v>
      </c>
      <c r="AD414" s="60">
        <v>95.888742414473882</v>
      </c>
      <c r="AE414" s="61">
        <v>0.33034724188106418</v>
      </c>
      <c r="AF414" s="62">
        <v>6.5585719890147082E-2</v>
      </c>
      <c r="AG414" s="62">
        <v>0.39593296177121129</v>
      </c>
      <c r="AH414" s="63">
        <v>0.26476152199091707</v>
      </c>
      <c r="AI414">
        <v>8.1619613214264817</v>
      </c>
    </row>
    <row r="415" spans="17:35" x14ac:dyDescent="0.25">
      <c r="Q415" s="57"/>
      <c r="R415" s="57"/>
      <c r="Z415">
        <v>383</v>
      </c>
      <c r="AA415" s="58">
        <v>121.51931487717279</v>
      </c>
      <c r="AB415" s="59">
        <v>25.950565068175141</v>
      </c>
      <c r="AC415" s="59">
        <v>147.46987994534794</v>
      </c>
      <c r="AD415" s="60">
        <v>95.568749808997651</v>
      </c>
      <c r="AE415" s="61">
        <v>0.3289332275998727</v>
      </c>
      <c r="AF415" s="62">
        <v>6.519842085503133E-2</v>
      </c>
      <c r="AG415" s="62">
        <v>0.394131648454904</v>
      </c>
      <c r="AH415" s="63">
        <v>0.2637348067448414</v>
      </c>
      <c r="AI415">
        <v>7.4606236487826756</v>
      </c>
    </row>
    <row r="416" spans="17:35" x14ac:dyDescent="0.25">
      <c r="Q416" s="57"/>
      <c r="R416" s="57"/>
      <c r="Z416">
        <v>384</v>
      </c>
      <c r="AA416" s="58">
        <v>120.95012302202321</v>
      </c>
      <c r="AB416" s="59">
        <v>25.799509555528207</v>
      </c>
      <c r="AC416" s="59">
        <v>146.74963257755141</v>
      </c>
      <c r="AD416" s="60">
        <v>95.150613466495003</v>
      </c>
      <c r="AE416" s="61">
        <v>0.32738843141661095</v>
      </c>
      <c r="AF416" s="62">
        <v>6.4844749583104502E-2</v>
      </c>
      <c r="AG416" s="62">
        <v>0.39223318099971544</v>
      </c>
      <c r="AH416" s="63">
        <v>0.26254368183350646</v>
      </c>
      <c r="AI416">
        <v>8.7925180674068013</v>
      </c>
    </row>
    <row r="417" spans="17:35" x14ac:dyDescent="0.25">
      <c r="Q417" s="57"/>
      <c r="R417" s="57"/>
      <c r="Z417">
        <v>385</v>
      </c>
      <c r="AA417" s="58">
        <v>120.44289885722903</v>
      </c>
      <c r="AB417" s="59">
        <v>25.678855358781622</v>
      </c>
      <c r="AC417" s="59">
        <v>146.12175421601066</v>
      </c>
      <c r="AD417" s="60">
        <v>94.764043498447407</v>
      </c>
      <c r="AE417" s="61">
        <v>0.32600975615131489</v>
      </c>
      <c r="AF417" s="62">
        <v>6.4546449526359545E-2</v>
      </c>
      <c r="AG417" s="62">
        <v>0.39055620567767446</v>
      </c>
      <c r="AH417" s="63">
        <v>0.26146330662495532</v>
      </c>
      <c r="AI417">
        <v>8.342812024219473</v>
      </c>
    </row>
    <row r="418" spans="17:35" x14ac:dyDescent="0.25">
      <c r="Q418" s="57"/>
      <c r="R418" s="57"/>
      <c r="Z418">
        <v>386</v>
      </c>
      <c r="AA418" s="58">
        <v>119.92455243958761</v>
      </c>
      <c r="AB418" s="59">
        <v>25.477554707065025</v>
      </c>
      <c r="AC418" s="59">
        <v>145.40210714665264</v>
      </c>
      <c r="AD418" s="60">
        <v>94.44699773252259</v>
      </c>
      <c r="AE418" s="61">
        <v>0.32461739331106115</v>
      </c>
      <c r="AF418" s="62">
        <v>6.4133156944770481E-2</v>
      </c>
      <c r="AG418" s="62">
        <v>0.38875055025583161</v>
      </c>
      <c r="AH418" s="63">
        <v>0.2604842363662907</v>
      </c>
      <c r="AI418">
        <v>7.0620311269361524</v>
      </c>
    </row>
    <row r="419" spans="17:35" x14ac:dyDescent="0.25">
      <c r="Q419" s="57"/>
      <c r="R419" s="57"/>
      <c r="Z419">
        <v>387</v>
      </c>
      <c r="AA419" s="58">
        <v>119.37311651760642</v>
      </c>
      <c r="AB419" s="59">
        <v>25.311916659792026</v>
      </c>
      <c r="AC419" s="59">
        <v>144.68503317739845</v>
      </c>
      <c r="AD419" s="60">
        <v>94.061199857814387</v>
      </c>
      <c r="AE419" s="61">
        <v>0.32312927325417712</v>
      </c>
      <c r="AF419" s="62">
        <v>6.3774947756157344E-2</v>
      </c>
      <c r="AG419" s="62">
        <v>0.38690422101033445</v>
      </c>
      <c r="AH419" s="63">
        <v>0.25935432549801979</v>
      </c>
      <c r="AI419">
        <v>6.6506522245469908</v>
      </c>
    </row>
    <row r="420" spans="17:35" x14ac:dyDescent="0.25">
      <c r="Q420" s="57"/>
      <c r="R420" s="57"/>
      <c r="Z420">
        <v>388</v>
      </c>
      <c r="AA420" s="58">
        <v>118.80196211781369</v>
      </c>
      <c r="AB420" s="59">
        <v>25.102703540688609</v>
      </c>
      <c r="AC420" s="59">
        <v>143.9046656585023</v>
      </c>
      <c r="AD420" s="60">
        <v>93.699258577125079</v>
      </c>
      <c r="AE420" s="61">
        <v>0.32159496356636008</v>
      </c>
      <c r="AF420" s="62">
        <v>6.3342365812322221E-2</v>
      </c>
      <c r="AG420" s="62">
        <v>0.3849373293786823</v>
      </c>
      <c r="AH420" s="63">
        <v>0.25825259775403786</v>
      </c>
      <c r="AI420">
        <v>7.6458168621599301</v>
      </c>
    </row>
    <row r="421" spans="17:35" x14ac:dyDescent="0.25">
      <c r="Q421" s="57"/>
      <c r="R421" s="57"/>
      <c r="Z421">
        <v>389</v>
      </c>
      <c r="AA421" s="58">
        <v>118.22610345844886</v>
      </c>
      <c r="AB421" s="59">
        <v>24.843133450637524</v>
      </c>
      <c r="AC421" s="59">
        <v>143.06923690908638</v>
      </c>
      <c r="AD421" s="60">
        <v>93.382970007811338</v>
      </c>
      <c r="AE421" s="61">
        <v>0.32003478781028766</v>
      </c>
      <c r="AF421" s="62">
        <v>6.2666698521274239E-2</v>
      </c>
      <c r="AG421" s="62">
        <v>0.38270148633156187</v>
      </c>
      <c r="AH421" s="63">
        <v>0.25736808928901345</v>
      </c>
      <c r="AI421">
        <v>8.1867135708217891</v>
      </c>
    </row>
    <row r="422" spans="17:35" x14ac:dyDescent="0.25">
      <c r="Q422" s="57"/>
      <c r="R422" s="57"/>
      <c r="Z422">
        <v>390</v>
      </c>
      <c r="AA422" s="58">
        <v>117.65185609043391</v>
      </c>
      <c r="AB422" s="59">
        <v>24.592257345387885</v>
      </c>
      <c r="AC422" s="59">
        <v>142.24411343582179</v>
      </c>
      <c r="AD422" s="60">
        <v>93.059598745046031</v>
      </c>
      <c r="AE422" s="61">
        <v>0.31847621252699215</v>
      </c>
      <c r="AF422" s="62">
        <v>6.2003096768219593E-2</v>
      </c>
      <c r="AG422" s="62">
        <v>0.38047930929521173</v>
      </c>
      <c r="AH422" s="63">
        <v>0.25647311575877257</v>
      </c>
      <c r="AI422">
        <v>7.4694998736712925</v>
      </c>
    </row>
    <row r="423" spans="17:35" x14ac:dyDescent="0.25">
      <c r="Q423" s="57"/>
      <c r="R423" s="57"/>
      <c r="Z423">
        <v>391</v>
      </c>
      <c r="AA423" s="58">
        <v>117.14744974656388</v>
      </c>
      <c r="AB423" s="59">
        <v>24.460879014910862</v>
      </c>
      <c r="AC423" s="59">
        <v>141.60832876147475</v>
      </c>
      <c r="AD423" s="60">
        <v>92.686570731653021</v>
      </c>
      <c r="AE423" s="61">
        <v>0.31710066579823093</v>
      </c>
      <c r="AF423" s="62">
        <v>6.1670692405203988E-2</v>
      </c>
      <c r="AG423" s="62">
        <v>0.37877135820343494</v>
      </c>
      <c r="AH423" s="63">
        <v>0.25542997339302692</v>
      </c>
      <c r="AI423">
        <v>7.9439011400711328</v>
      </c>
    </row>
    <row r="424" spans="17:35" x14ac:dyDescent="0.25">
      <c r="Q424" s="57"/>
      <c r="R424" s="57"/>
      <c r="Z424">
        <v>392</v>
      </c>
      <c r="AA424" s="58">
        <v>116.54513844836266</v>
      </c>
      <c r="AB424" s="59">
        <v>24.271965761523685</v>
      </c>
      <c r="AC424" s="59">
        <v>140.81710420988634</v>
      </c>
      <c r="AD424" s="60">
        <v>92.273172686838976</v>
      </c>
      <c r="AE424" s="61">
        <v>0.31547891474265932</v>
      </c>
      <c r="AF424" s="62">
        <v>6.1330531130338067E-2</v>
      </c>
      <c r="AG424" s="62">
        <v>0.37680944587299736</v>
      </c>
      <c r="AH424" s="63">
        <v>0.25414838361232128</v>
      </c>
      <c r="AI424">
        <v>7.2110483273171955</v>
      </c>
    </row>
    <row r="425" spans="17:35" x14ac:dyDescent="0.25">
      <c r="Q425" s="57"/>
      <c r="R425" s="57"/>
      <c r="Z425">
        <v>393</v>
      </c>
      <c r="AA425" s="58">
        <v>115.97785723807651</v>
      </c>
      <c r="AB425" s="59">
        <v>24.066985472435235</v>
      </c>
      <c r="AC425" s="59">
        <v>140.04484271051174</v>
      </c>
      <c r="AD425" s="60">
        <v>91.910871765641275</v>
      </c>
      <c r="AE425" s="61">
        <v>0.3139504577279244</v>
      </c>
      <c r="AF425" s="62">
        <v>6.086388548124412E-2</v>
      </c>
      <c r="AG425" s="62">
        <v>0.37481434320916851</v>
      </c>
      <c r="AH425" s="63">
        <v>0.2530865722466803</v>
      </c>
      <c r="AI425">
        <v>7.0424899046208456</v>
      </c>
    </row>
    <row r="426" spans="17:35" x14ac:dyDescent="0.25">
      <c r="Q426" s="57"/>
      <c r="R426" s="57"/>
      <c r="Z426">
        <v>394</v>
      </c>
      <c r="AA426" s="58">
        <v>115.45346347394745</v>
      </c>
      <c r="AB426" s="59">
        <v>23.853658889726141</v>
      </c>
      <c r="AC426" s="59">
        <v>139.30712236367359</v>
      </c>
      <c r="AD426" s="60">
        <v>91.599804584221317</v>
      </c>
      <c r="AE426" s="61">
        <v>0.31252357887512294</v>
      </c>
      <c r="AF426" s="62">
        <v>6.0292514434434286E-2</v>
      </c>
      <c r="AG426" s="62">
        <v>0.37281609330955723</v>
      </c>
      <c r="AH426" s="63">
        <v>0.25223106444068866</v>
      </c>
      <c r="AI426">
        <v>6.0696080020790681</v>
      </c>
    </row>
    <row r="427" spans="17:35" x14ac:dyDescent="0.25">
      <c r="Q427" s="57"/>
      <c r="R427" s="57"/>
      <c r="Z427">
        <v>395</v>
      </c>
      <c r="AA427" s="58">
        <v>114.90908515440897</v>
      </c>
      <c r="AB427" s="59">
        <v>23.647599565737821</v>
      </c>
      <c r="AC427" s="59">
        <v>138.55668472014679</v>
      </c>
      <c r="AD427" s="60">
        <v>91.26148558867115</v>
      </c>
      <c r="AE427" s="61">
        <v>0.31104271981493042</v>
      </c>
      <c r="AF427" s="62">
        <v>5.9800555182455473E-2</v>
      </c>
      <c r="AG427" s="62">
        <v>0.3708432749973859</v>
      </c>
      <c r="AH427" s="63">
        <v>0.25124216463247495</v>
      </c>
      <c r="AI427">
        <v>6.7976852239314152</v>
      </c>
    </row>
    <row r="428" spans="17:35" x14ac:dyDescent="0.25">
      <c r="Q428" s="57"/>
      <c r="R428" s="57"/>
      <c r="Z428">
        <v>396</v>
      </c>
      <c r="AA428" s="58">
        <v>114.48076520381152</v>
      </c>
      <c r="AB428" s="59">
        <v>23.425771950643632</v>
      </c>
      <c r="AC428" s="59">
        <v>137.90653715445515</v>
      </c>
      <c r="AD428" s="60">
        <v>91.054993253167879</v>
      </c>
      <c r="AE428" s="61">
        <v>0.30988103021856783</v>
      </c>
      <c r="AF428" s="62">
        <v>5.9250189662729671E-2</v>
      </c>
      <c r="AG428" s="62">
        <v>0.36913121988129749</v>
      </c>
      <c r="AH428" s="63">
        <v>0.25063084055583817</v>
      </c>
      <c r="AI428">
        <v>6.523504045792559</v>
      </c>
    </row>
    <row r="429" spans="17:35" x14ac:dyDescent="0.25">
      <c r="Q429" s="57"/>
      <c r="R429" s="57"/>
      <c r="Z429">
        <v>397</v>
      </c>
      <c r="AA429" s="58">
        <v>114.03490785051311</v>
      </c>
      <c r="AB429" s="59">
        <v>23.171320096144722</v>
      </c>
      <c r="AC429" s="59">
        <v>137.20622794665783</v>
      </c>
      <c r="AD429" s="60">
        <v>90.863587754368382</v>
      </c>
      <c r="AE429" s="61">
        <v>0.30866517785810837</v>
      </c>
      <c r="AF429" s="62">
        <v>5.8542138280086968E-2</v>
      </c>
      <c r="AG429" s="62">
        <v>0.36720731613819535</v>
      </c>
      <c r="AH429" s="63">
        <v>0.2501230395780214</v>
      </c>
      <c r="AI429">
        <v>5.7366526691484143</v>
      </c>
    </row>
    <row r="430" spans="17:35" x14ac:dyDescent="0.25">
      <c r="Q430" s="57"/>
      <c r="R430" s="57"/>
      <c r="Z430">
        <v>398</v>
      </c>
      <c r="AA430" s="58">
        <v>113.56180688255876</v>
      </c>
      <c r="AB430" s="59">
        <v>22.994537784926212</v>
      </c>
      <c r="AC430" s="59">
        <v>136.55634466748498</v>
      </c>
      <c r="AD430" s="60">
        <v>90.567269097632547</v>
      </c>
      <c r="AE430" s="61">
        <v>0.30737317076692766</v>
      </c>
      <c r="AF430" s="62">
        <v>5.8098970633860526E-2</v>
      </c>
      <c r="AG430" s="62">
        <v>0.36547214140078821</v>
      </c>
      <c r="AH430" s="63">
        <v>0.24927420013306714</v>
      </c>
      <c r="AI430">
        <v>4.130417716321122</v>
      </c>
    </row>
    <row r="431" spans="17:35" x14ac:dyDescent="0.25">
      <c r="Q431" s="57"/>
      <c r="R431" s="57"/>
      <c r="Z431">
        <v>399</v>
      </c>
      <c r="AA431" s="58">
        <v>113.10728655022631</v>
      </c>
      <c r="AB431" s="59">
        <v>22.828058933550682</v>
      </c>
      <c r="AC431" s="59">
        <v>135.93534548377698</v>
      </c>
      <c r="AD431" s="60">
        <v>90.279227616675627</v>
      </c>
      <c r="AE431" s="61">
        <v>0.30612395880180426</v>
      </c>
      <c r="AF431" s="62">
        <v>5.765915793581447E-2</v>
      </c>
      <c r="AG431" s="62">
        <v>0.36378311673761876</v>
      </c>
      <c r="AH431" s="63">
        <v>0.24846480086598979</v>
      </c>
      <c r="AI431">
        <v>3.0435552175487977</v>
      </c>
    </row>
    <row r="432" spans="17:35" x14ac:dyDescent="0.25">
      <c r="Q432" s="57"/>
      <c r="R432" s="57"/>
      <c r="Z432">
        <v>400</v>
      </c>
      <c r="AA432" s="58">
        <v>112.68250027360413</v>
      </c>
      <c r="AB432" s="59">
        <v>22.561453840451932</v>
      </c>
      <c r="AC432" s="59">
        <v>135.24395411405607</v>
      </c>
      <c r="AD432" s="60">
        <v>90.121046433152202</v>
      </c>
      <c r="AE432" s="61">
        <v>0.30497060171155593</v>
      </c>
      <c r="AF432" s="62">
        <v>5.7015515452452564E-2</v>
      </c>
      <c r="AG432" s="62">
        <v>0.36198611716400853</v>
      </c>
      <c r="AH432" s="63">
        <v>0.24795508625910337</v>
      </c>
      <c r="AI432">
        <v>2.6206591060878477</v>
      </c>
    </row>
    <row r="433" spans="17:35" x14ac:dyDescent="0.25">
      <c r="Q433" s="57"/>
      <c r="R433" s="57"/>
      <c r="Z433">
        <v>401</v>
      </c>
      <c r="AA433" s="58">
        <v>112.24868819926638</v>
      </c>
      <c r="AB433" s="59">
        <v>22.325719111150775</v>
      </c>
      <c r="AC433" s="59">
        <v>134.57440731041714</v>
      </c>
      <c r="AD433" s="60">
        <v>89.922969088115607</v>
      </c>
      <c r="AE433" s="61">
        <v>0.30376553332884898</v>
      </c>
      <c r="AF433" s="62">
        <v>5.6236138838804683E-2</v>
      </c>
      <c r="AG433" s="62">
        <v>0.36000167216765366</v>
      </c>
      <c r="AH433" s="63">
        <v>0.2475293944900443</v>
      </c>
      <c r="AI433">
        <v>6.5088217889115339E-3</v>
      </c>
    </row>
    <row r="434" spans="17:35" x14ac:dyDescent="0.25">
      <c r="Q434" s="57"/>
      <c r="R434" s="57"/>
      <c r="Z434">
        <v>402</v>
      </c>
      <c r="AA434" s="58">
        <v>111.82975556190593</v>
      </c>
      <c r="AB434" s="59">
        <v>22.108038268185865</v>
      </c>
      <c r="AC434" s="59">
        <v>133.93779383009178</v>
      </c>
      <c r="AD434" s="60">
        <v>89.721717293720062</v>
      </c>
      <c r="AE434" s="61">
        <v>0.30261336073342432</v>
      </c>
      <c r="AF434" s="62">
        <v>5.5618230319181304E-2</v>
      </c>
      <c r="AG434" s="62">
        <v>0.3582315910526056</v>
      </c>
      <c r="AH434" s="63">
        <v>0.24699513041424301</v>
      </c>
      <c r="AI434">
        <v>0</v>
      </c>
    </row>
    <row r="435" spans="17:35" x14ac:dyDescent="0.25">
      <c r="Q435" s="57"/>
      <c r="R435" s="57"/>
      <c r="Z435">
        <v>403</v>
      </c>
      <c r="AA435" s="58">
        <v>111.4684360912816</v>
      </c>
      <c r="AB435" s="59">
        <v>21.947075382318605</v>
      </c>
      <c r="AC435" s="59">
        <v>133.41551147360022</v>
      </c>
      <c r="AD435" s="60">
        <v>89.521360708963002</v>
      </c>
      <c r="AE435" s="61">
        <v>0.30161697739222976</v>
      </c>
      <c r="AF435" s="62">
        <v>5.516348999847287E-2</v>
      </c>
      <c r="AG435" s="62">
        <v>0.35678046739070263</v>
      </c>
      <c r="AH435" s="63">
        <v>0.24645348739375689</v>
      </c>
      <c r="AI435">
        <v>0</v>
      </c>
    </row>
    <row r="436" spans="17:35" x14ac:dyDescent="0.25">
      <c r="Q436" s="57"/>
      <c r="R436" s="57"/>
      <c r="Z436">
        <v>404</v>
      </c>
      <c r="AA436" s="58">
        <v>111.01899656574126</v>
      </c>
      <c r="AB436" s="59">
        <v>21.682298841835436</v>
      </c>
      <c r="AC436" s="59">
        <v>132.70129540757671</v>
      </c>
      <c r="AD436" s="60">
        <v>89.336697723905829</v>
      </c>
      <c r="AE436" s="61">
        <v>0.30037404826271324</v>
      </c>
      <c r="AF436" s="62">
        <v>5.4317743896894699E-2</v>
      </c>
      <c r="AG436" s="62">
        <v>0.35469179215960794</v>
      </c>
      <c r="AH436" s="63">
        <v>0.24605630436581855</v>
      </c>
      <c r="AI436">
        <v>0</v>
      </c>
    </row>
    <row r="437" spans="17:35" x14ac:dyDescent="0.25">
      <c r="Q437" s="57"/>
      <c r="R437" s="57"/>
      <c r="Z437">
        <v>405</v>
      </c>
      <c r="AA437" s="58">
        <v>110.60510214737677</v>
      </c>
      <c r="AB437" s="59">
        <v>21.431361102639698</v>
      </c>
      <c r="AC437" s="59">
        <v>132.03646325001648</v>
      </c>
      <c r="AD437" s="60">
        <v>89.173741044737071</v>
      </c>
      <c r="AE437" s="61">
        <v>0.29922587439047749</v>
      </c>
      <c r="AF437" s="62">
        <v>5.3469572410887567E-2</v>
      </c>
      <c r="AG437" s="62">
        <v>0.35269544680136505</v>
      </c>
      <c r="AH437" s="63">
        <v>0.24575630197958992</v>
      </c>
      <c r="AI437">
        <v>0</v>
      </c>
    </row>
    <row r="438" spans="17:35" x14ac:dyDescent="0.25">
      <c r="Q438" s="57"/>
      <c r="R438" s="57"/>
      <c r="Z438">
        <v>406</v>
      </c>
      <c r="AA438" s="58">
        <v>110.17903451494054</v>
      </c>
      <c r="AB438" s="59">
        <v>21.12692965972029</v>
      </c>
      <c r="AC438" s="59">
        <v>131.30596417466083</v>
      </c>
      <c r="AD438" s="60">
        <v>89.05210485522025</v>
      </c>
      <c r="AE438" s="61">
        <v>0.29806908638870522</v>
      </c>
      <c r="AF438" s="62">
        <v>5.2671232412519149E-2</v>
      </c>
      <c r="AG438" s="62">
        <v>0.35074031880122436</v>
      </c>
      <c r="AH438" s="63">
        <v>0.24539785397618608</v>
      </c>
      <c r="AI438">
        <v>0</v>
      </c>
    </row>
    <row r="439" spans="17:35" x14ac:dyDescent="0.25">
      <c r="Q439" s="57"/>
      <c r="R439" s="57"/>
      <c r="Z439">
        <v>407</v>
      </c>
      <c r="AA439" s="58">
        <v>109.75953412520727</v>
      </c>
      <c r="AB439" s="59">
        <v>20.949999769832566</v>
      </c>
      <c r="AC439" s="59">
        <v>130.70953389503984</v>
      </c>
      <c r="AD439" s="60">
        <v>88.809534355374694</v>
      </c>
      <c r="AE439" s="61">
        <v>0.29692037940871085</v>
      </c>
      <c r="AF439" s="62">
        <v>5.221301810847969E-2</v>
      </c>
      <c r="AG439" s="62">
        <v>0.34913339751719052</v>
      </c>
      <c r="AH439" s="63">
        <v>0.24470736130023116</v>
      </c>
      <c r="AI439">
        <v>0</v>
      </c>
    </row>
    <row r="440" spans="17:35" x14ac:dyDescent="0.25">
      <c r="Q440" s="57"/>
      <c r="R440" s="57"/>
      <c r="Z440">
        <v>408</v>
      </c>
      <c r="AA440" s="58">
        <v>109.2771266293903</v>
      </c>
      <c r="AB440" s="59">
        <v>20.692537516556722</v>
      </c>
      <c r="AC440" s="59">
        <v>129.96966414594701</v>
      </c>
      <c r="AD440" s="60">
        <v>88.584589112833569</v>
      </c>
      <c r="AE440" s="61">
        <v>0.29560514663310783</v>
      </c>
      <c r="AF440" s="62">
        <v>5.1512217393124046E-2</v>
      </c>
      <c r="AG440" s="62">
        <v>0.34711736402623189</v>
      </c>
      <c r="AH440" s="63">
        <v>0.24409292923998377</v>
      </c>
      <c r="AI440">
        <v>0</v>
      </c>
    </row>
    <row r="441" spans="17:35" x14ac:dyDescent="0.25">
      <c r="Q441" s="57"/>
      <c r="R441" s="57"/>
      <c r="Z441">
        <v>409</v>
      </c>
      <c r="AA441" s="58">
        <v>108.89422600800005</v>
      </c>
      <c r="AB441" s="59">
        <v>20.531273620574282</v>
      </c>
      <c r="AC441" s="59">
        <v>129.42549962857433</v>
      </c>
      <c r="AD441" s="60">
        <v>88.362952387425764</v>
      </c>
      <c r="AE441" s="61">
        <v>0.29452996682504357</v>
      </c>
      <c r="AF441" s="62">
        <v>5.0839051623892975E-2</v>
      </c>
      <c r="AG441" s="62">
        <v>0.34536901844893653</v>
      </c>
      <c r="AH441" s="63">
        <v>0.2436909152011506</v>
      </c>
      <c r="AI441">
        <v>0</v>
      </c>
    </row>
    <row r="442" spans="17:35" x14ac:dyDescent="0.25">
      <c r="Q442" s="57"/>
      <c r="R442" s="57"/>
      <c r="Z442">
        <v>410</v>
      </c>
      <c r="AA442" s="58">
        <v>108.41403142135078</v>
      </c>
      <c r="AB442" s="59">
        <v>20.276872994333264</v>
      </c>
      <c r="AC442" s="59">
        <v>128.69090441568406</v>
      </c>
      <c r="AD442" s="60">
        <v>88.137158427017525</v>
      </c>
      <c r="AE442" s="61">
        <v>0.29323649846832317</v>
      </c>
      <c r="AF442" s="62">
        <v>5.0243464292743546E-2</v>
      </c>
      <c r="AG442" s="62">
        <v>0.34347996276106674</v>
      </c>
      <c r="AH442" s="63">
        <v>0.24299303417557963</v>
      </c>
      <c r="AI442">
        <v>0</v>
      </c>
    </row>
    <row r="443" spans="17:35" x14ac:dyDescent="0.25">
      <c r="Q443" s="57"/>
      <c r="R443" s="57"/>
      <c r="Z443">
        <v>411</v>
      </c>
      <c r="AA443" s="58">
        <v>107.87000316481196</v>
      </c>
      <c r="AB443" s="59">
        <v>20.018968323751505</v>
      </c>
      <c r="AC443" s="59">
        <v>127.88897148856347</v>
      </c>
      <c r="AD443" s="60">
        <v>87.851034841060454</v>
      </c>
      <c r="AE443" s="61">
        <v>0.29176903954181505</v>
      </c>
      <c r="AF443" s="62">
        <v>4.9640206368595063E-2</v>
      </c>
      <c r="AG443" s="62">
        <v>0.34140924591041011</v>
      </c>
      <c r="AH443" s="63">
        <v>0.24212883317321998</v>
      </c>
      <c r="AI443">
        <v>0</v>
      </c>
    </row>
    <row r="444" spans="17:35" x14ac:dyDescent="0.25">
      <c r="Q444" s="57"/>
      <c r="R444" s="57"/>
      <c r="Z444">
        <v>412</v>
      </c>
      <c r="AA444" s="58">
        <v>107.38798154690265</v>
      </c>
      <c r="AB444" s="59">
        <v>19.757666080618783</v>
      </c>
      <c r="AC444" s="59">
        <v>127.14564762752144</v>
      </c>
      <c r="AD444" s="60">
        <v>87.630315466283861</v>
      </c>
      <c r="AE444" s="61">
        <v>0.29045232103992108</v>
      </c>
      <c r="AF444" s="62">
        <v>4.8846946519504018E-2</v>
      </c>
      <c r="AG444" s="62">
        <v>0.33929926755942508</v>
      </c>
      <c r="AH444" s="63">
        <v>0.24160537452041705</v>
      </c>
      <c r="AI444">
        <v>0</v>
      </c>
    </row>
    <row r="445" spans="17:35" x14ac:dyDescent="0.25">
      <c r="Q445" s="57"/>
      <c r="R445" s="57"/>
      <c r="Z445">
        <v>413</v>
      </c>
      <c r="AA445" s="58">
        <v>106.9701007857435</v>
      </c>
      <c r="AB445" s="59">
        <v>19.526333322677754</v>
      </c>
      <c r="AC445" s="59">
        <v>126.49643410842125</v>
      </c>
      <c r="AD445" s="60">
        <v>87.44376746306574</v>
      </c>
      <c r="AE445" s="61">
        <v>0.28932126058305002</v>
      </c>
      <c r="AF445" s="62">
        <v>4.8258682096322329E-2</v>
      </c>
      <c r="AG445" s="62">
        <v>0.33757994267937236</v>
      </c>
      <c r="AH445" s="63">
        <v>0.24106257848672769</v>
      </c>
      <c r="AI445">
        <v>0</v>
      </c>
    </row>
    <row r="446" spans="17:35" x14ac:dyDescent="0.25">
      <c r="Q446" s="57"/>
      <c r="R446" s="57"/>
      <c r="Z446">
        <v>414</v>
      </c>
      <c r="AA446" s="58">
        <v>106.56354900773671</v>
      </c>
      <c r="AB446" s="59">
        <v>19.296962194349874</v>
      </c>
      <c r="AC446" s="59">
        <v>125.86051120208658</v>
      </c>
      <c r="AD446" s="60">
        <v>87.266586813386837</v>
      </c>
      <c r="AE446" s="61">
        <v>0.28822641884041489</v>
      </c>
      <c r="AF446" s="62">
        <v>4.7707180791757363E-2</v>
      </c>
      <c r="AG446" s="62">
        <v>0.33593359963217223</v>
      </c>
      <c r="AH446" s="63">
        <v>0.24051923804865752</v>
      </c>
      <c r="AI446">
        <v>0</v>
      </c>
    </row>
    <row r="447" spans="17:35" x14ac:dyDescent="0.25">
      <c r="Q447" s="57"/>
      <c r="R447" s="57"/>
      <c r="Z447">
        <v>415</v>
      </c>
      <c r="AA447" s="58">
        <v>106.19335000269592</v>
      </c>
      <c r="AB447" s="59">
        <v>19.137128219083994</v>
      </c>
      <c r="AC447" s="59">
        <v>125.33047822177991</v>
      </c>
      <c r="AD447" s="60">
        <v>87.056221783611932</v>
      </c>
      <c r="AE447" s="61">
        <v>0.28721072406230014</v>
      </c>
      <c r="AF447" s="62">
        <v>4.7212674006963946E-2</v>
      </c>
      <c r="AG447" s="62">
        <v>0.33442339806926408</v>
      </c>
      <c r="AH447" s="63">
        <v>0.2399980500553362</v>
      </c>
      <c r="AI447">
        <v>1.0539800750158781</v>
      </c>
    </row>
    <row r="448" spans="17:35" x14ac:dyDescent="0.25">
      <c r="Q448" s="57"/>
      <c r="R448" s="57"/>
      <c r="Z448">
        <v>416</v>
      </c>
      <c r="AA448" s="58">
        <v>105.81483554722386</v>
      </c>
      <c r="AB448" s="59">
        <v>19.043541472705147</v>
      </c>
      <c r="AC448" s="59">
        <v>124.85837701992901</v>
      </c>
      <c r="AD448" s="60">
        <v>86.771294074518721</v>
      </c>
      <c r="AE448" s="61">
        <v>0.2861577903272588</v>
      </c>
      <c r="AF448" s="62">
        <v>4.6845910146017328E-2</v>
      </c>
      <c r="AG448" s="62">
        <v>0.3330037004732761</v>
      </c>
      <c r="AH448" s="63">
        <v>0.23931188018124147</v>
      </c>
      <c r="AI448">
        <v>7.7838331137911778</v>
      </c>
    </row>
    <row r="449" spans="17:35" x14ac:dyDescent="0.25">
      <c r="Q449" s="57"/>
      <c r="R449" s="57"/>
      <c r="Z449">
        <v>417</v>
      </c>
      <c r="AA449" s="58">
        <v>105.50510110917327</v>
      </c>
      <c r="AB449" s="59">
        <v>18.956073738449252</v>
      </c>
      <c r="AC449" s="59">
        <v>124.46117484762252</v>
      </c>
      <c r="AD449" s="60">
        <v>86.549027370724019</v>
      </c>
      <c r="AE449" s="61">
        <v>0.28530685291904412</v>
      </c>
      <c r="AF449" s="62">
        <v>4.6629295855653827E-2</v>
      </c>
      <c r="AG449" s="62">
        <v>0.33193614877469796</v>
      </c>
      <c r="AH449" s="63">
        <v>0.23867755706339028</v>
      </c>
      <c r="AI449">
        <v>7.7184134479214643</v>
      </c>
    </row>
    <row r="450" spans="17:35" x14ac:dyDescent="0.25">
      <c r="Q450" s="57"/>
      <c r="R450" s="57"/>
      <c r="Z450">
        <v>418</v>
      </c>
      <c r="AA450" s="58">
        <v>105.20980392189142</v>
      </c>
      <c r="AB450" s="59">
        <v>18.878994036279089</v>
      </c>
      <c r="AC450" s="59">
        <v>124.08879795817052</v>
      </c>
      <c r="AD450" s="60">
        <v>86.330809885612325</v>
      </c>
      <c r="AE450" s="61">
        <v>0.28449694074204829</v>
      </c>
      <c r="AF450" s="62">
        <v>4.6441591828863586E-2</v>
      </c>
      <c r="AG450" s="62">
        <v>0.33093853257091188</v>
      </c>
      <c r="AH450" s="63">
        <v>0.23805534891318469</v>
      </c>
      <c r="AI450">
        <v>6.004802413711003</v>
      </c>
    </row>
    <row r="451" spans="17:35" x14ac:dyDescent="0.25">
      <c r="Q451" s="57"/>
      <c r="R451" s="57"/>
      <c r="Z451">
        <v>419</v>
      </c>
      <c r="AA451" s="58">
        <v>104.81099419308686</v>
      </c>
      <c r="AB451" s="59">
        <v>18.727671887758483</v>
      </c>
      <c r="AC451" s="59">
        <v>123.53866608084533</v>
      </c>
      <c r="AD451" s="60">
        <v>86.08332230532838</v>
      </c>
      <c r="AE451" s="61">
        <v>0.28341532807509756</v>
      </c>
      <c r="AF451" s="62">
        <v>4.6095055590412222E-2</v>
      </c>
      <c r="AG451" s="62">
        <v>0.32951038366550978</v>
      </c>
      <c r="AH451" s="63">
        <v>0.23732027248468535</v>
      </c>
      <c r="AI451">
        <v>3.4970371588041664</v>
      </c>
    </row>
    <row r="452" spans="17:35" x14ac:dyDescent="0.25">
      <c r="Q452" s="57"/>
      <c r="R452" s="57"/>
      <c r="Z452">
        <v>420</v>
      </c>
      <c r="AA452" s="58">
        <v>104.47052039299395</v>
      </c>
      <c r="AB452" s="59">
        <v>18.562101733748971</v>
      </c>
      <c r="AC452" s="59">
        <v>123.03262212674292</v>
      </c>
      <c r="AD452" s="60">
        <v>85.908418659244973</v>
      </c>
      <c r="AE452" s="61">
        <v>0.2824992734809405</v>
      </c>
      <c r="AF452" s="62">
        <v>4.5740923413102208E-2</v>
      </c>
      <c r="AG452" s="62">
        <v>0.32824019689404271</v>
      </c>
      <c r="AH452" s="63">
        <v>0.2367583500678383</v>
      </c>
      <c r="AI452">
        <v>5.7145581922698723</v>
      </c>
    </row>
    <row r="453" spans="17:35" x14ac:dyDescent="0.25">
      <c r="Q453" s="57"/>
      <c r="R453" s="57"/>
      <c r="Z453">
        <v>421</v>
      </c>
      <c r="AA453" s="58">
        <v>104.12717334636858</v>
      </c>
      <c r="AB453" s="59">
        <v>18.39455242500674</v>
      </c>
      <c r="AC453" s="59">
        <v>122.52172577137532</v>
      </c>
      <c r="AD453" s="60">
        <v>85.732620921361843</v>
      </c>
      <c r="AE453" s="61">
        <v>0.28157151447546719</v>
      </c>
      <c r="AF453" s="62">
        <v>4.5327812291815629E-2</v>
      </c>
      <c r="AG453" s="62">
        <v>0.32689932676728284</v>
      </c>
      <c r="AH453" s="63">
        <v>0.23624370218365157</v>
      </c>
      <c r="AI453">
        <v>0.9501491010086115</v>
      </c>
    </row>
    <row r="454" spans="17:35" x14ac:dyDescent="0.25">
      <c r="Q454" s="57"/>
      <c r="R454" s="57"/>
      <c r="Z454">
        <v>422</v>
      </c>
      <c r="AA454" s="58">
        <v>103.69476533088481</v>
      </c>
      <c r="AB454" s="59">
        <v>18.238996898260808</v>
      </c>
      <c r="AC454" s="59">
        <v>121.93376222914561</v>
      </c>
      <c r="AD454" s="60">
        <v>85.455768432623998</v>
      </c>
      <c r="AE454" s="61">
        <v>0.28039647151660185</v>
      </c>
      <c r="AF454" s="62">
        <v>4.4940902967735695E-2</v>
      </c>
      <c r="AG454" s="62">
        <v>0.32533737448433753</v>
      </c>
      <c r="AH454" s="63">
        <v>0.23545556854886615</v>
      </c>
      <c r="AI454">
        <v>2.8255635708585602</v>
      </c>
    </row>
    <row r="455" spans="17:35" x14ac:dyDescent="0.25">
      <c r="Q455" s="57"/>
      <c r="R455" s="57"/>
      <c r="Z455">
        <v>423</v>
      </c>
      <c r="AA455" s="58">
        <v>103.29554835364176</v>
      </c>
      <c r="AB455" s="59">
        <v>18.170878834363744</v>
      </c>
      <c r="AC455" s="59">
        <v>121.46642718800551</v>
      </c>
      <c r="AD455" s="60">
        <v>85.124669519278015</v>
      </c>
      <c r="AE455" s="61">
        <v>0.27929703916370502</v>
      </c>
      <c r="AF455" s="62">
        <v>4.4708257968191036E-2</v>
      </c>
      <c r="AG455" s="62">
        <v>0.32400529713189608</v>
      </c>
      <c r="AH455" s="63">
        <v>0.23458878119551399</v>
      </c>
      <c r="AI455">
        <v>0.48671498011753794</v>
      </c>
    </row>
    <row r="456" spans="17:35" x14ac:dyDescent="0.25">
      <c r="Q456" s="57"/>
      <c r="R456" s="57"/>
      <c r="Z456">
        <v>424</v>
      </c>
      <c r="AA456" s="58">
        <v>102.9321642685458</v>
      </c>
      <c r="AB456" s="59">
        <v>18.034172182683569</v>
      </c>
      <c r="AC456" s="59">
        <v>120.96633645122938</v>
      </c>
      <c r="AD456" s="60">
        <v>84.897992085862228</v>
      </c>
      <c r="AE456" s="61">
        <v>0.27830363022622245</v>
      </c>
      <c r="AF456" s="62">
        <v>4.4320113483446798E-2</v>
      </c>
      <c r="AG456" s="62">
        <v>0.32262374370966923</v>
      </c>
      <c r="AH456" s="63">
        <v>0.23398351674277565</v>
      </c>
      <c r="AI456">
        <v>1.2193701783696536</v>
      </c>
    </row>
    <row r="457" spans="17:35" x14ac:dyDescent="0.25">
      <c r="Q457" s="57"/>
      <c r="R457" s="57"/>
      <c r="Z457">
        <v>425</v>
      </c>
      <c r="AA457" s="58">
        <v>102.56184029349554</v>
      </c>
      <c r="AB457" s="59">
        <v>17.869481069761676</v>
      </c>
      <c r="AC457" s="59">
        <v>120.43132136325721</v>
      </c>
      <c r="AD457" s="60">
        <v>84.69235922373386</v>
      </c>
      <c r="AE457" s="61">
        <v>0.27730748764566132</v>
      </c>
      <c r="AF457" s="62">
        <v>4.3935074805887403E-2</v>
      </c>
      <c r="AG457" s="62">
        <v>0.3212425624515487</v>
      </c>
      <c r="AH457" s="63">
        <v>0.23337241283977392</v>
      </c>
      <c r="AI457">
        <v>1.9520253766217692</v>
      </c>
    </row>
    <row r="458" spans="17:35" x14ac:dyDescent="0.25">
      <c r="Q458" s="57"/>
      <c r="R458" s="57"/>
      <c r="Z458">
        <v>426</v>
      </c>
      <c r="AA458" s="58">
        <v>102.21136401019818</v>
      </c>
      <c r="AB458" s="59">
        <v>17.71491586140549</v>
      </c>
      <c r="AC458" s="59">
        <v>119.92627987160367</v>
      </c>
      <c r="AD458" s="60">
        <v>84.496448148792695</v>
      </c>
      <c r="AE458" s="61">
        <v>0.27637347681388236</v>
      </c>
      <c r="AF458" s="62">
        <v>4.3657188309653344E-2</v>
      </c>
      <c r="AG458" s="62">
        <v>0.32003066512353573</v>
      </c>
      <c r="AH458" s="63">
        <v>0.23271628850422901</v>
      </c>
      <c r="AI458">
        <v>1.9877635535853961</v>
      </c>
    </row>
    <row r="459" spans="17:35" x14ac:dyDescent="0.25">
      <c r="Q459" s="57"/>
      <c r="R459" s="57"/>
      <c r="Z459">
        <v>427</v>
      </c>
      <c r="AA459" s="58">
        <v>101.92628598858506</v>
      </c>
      <c r="AB459" s="59">
        <v>17.583492476476714</v>
      </c>
      <c r="AC459" s="59">
        <v>119.50977846506177</v>
      </c>
      <c r="AD459" s="60">
        <v>84.342793512108358</v>
      </c>
      <c r="AE459" s="61">
        <v>0.27560501955885691</v>
      </c>
      <c r="AF459" s="62">
        <v>4.3381981657281701E-2</v>
      </c>
      <c r="AG459" s="62">
        <v>0.3189870012161386</v>
      </c>
      <c r="AH459" s="63">
        <v>0.23222303790157522</v>
      </c>
      <c r="AI459">
        <v>0.62892781064852188</v>
      </c>
    </row>
    <row r="460" spans="17:35" x14ac:dyDescent="0.25">
      <c r="Q460" s="57"/>
      <c r="R460" s="57"/>
      <c r="Z460">
        <v>428</v>
      </c>
      <c r="AA460" s="58">
        <v>101.62685241368945</v>
      </c>
      <c r="AB460" s="59">
        <v>17.523125589943234</v>
      </c>
      <c r="AC460" s="59">
        <v>119.14997800363268</v>
      </c>
      <c r="AD460" s="60">
        <v>84.103726823746214</v>
      </c>
      <c r="AE460" s="61">
        <v>0.27478881269877226</v>
      </c>
      <c r="AF460" s="62">
        <v>4.3282137111533094E-2</v>
      </c>
      <c r="AG460" s="62">
        <v>0.31807094981030537</v>
      </c>
      <c r="AH460" s="63">
        <v>0.23150667558723917</v>
      </c>
      <c r="AI460">
        <v>3.2587566103215342</v>
      </c>
    </row>
    <row r="461" spans="17:35" x14ac:dyDescent="0.25">
      <c r="Q461" s="57"/>
      <c r="R461" s="57"/>
      <c r="Z461">
        <v>429</v>
      </c>
      <c r="AA461" s="58">
        <v>101.24831566068349</v>
      </c>
      <c r="AB461" s="59">
        <v>17.397093029468031</v>
      </c>
      <c r="AC461" s="59">
        <v>118.64540869015153</v>
      </c>
      <c r="AD461" s="60">
        <v>83.85122263121545</v>
      </c>
      <c r="AE461" s="61">
        <v>0.27378182535519868</v>
      </c>
      <c r="AF461" s="62">
        <v>4.3158467040387734E-2</v>
      </c>
      <c r="AG461" s="62">
        <v>0.31694029239558641</v>
      </c>
      <c r="AH461" s="63">
        <v>0.23062335831481096</v>
      </c>
      <c r="AI461">
        <v>4.9248160177548632</v>
      </c>
    </row>
    <row r="462" spans="17:35" x14ac:dyDescent="0.25">
      <c r="Q462" s="57"/>
      <c r="R462" s="57"/>
      <c r="Z462">
        <v>430</v>
      </c>
      <c r="AA462" s="58">
        <v>100.89589639133631</v>
      </c>
      <c r="AB462" s="59">
        <v>17.289513748387741</v>
      </c>
      <c r="AC462" s="59">
        <v>118.18541013972404</v>
      </c>
      <c r="AD462" s="60">
        <v>83.606382642948574</v>
      </c>
      <c r="AE462" s="61">
        <v>0.27284479271644052</v>
      </c>
      <c r="AF462" s="62">
        <v>4.3030586801471205E-2</v>
      </c>
      <c r="AG462" s="62">
        <v>0.31587537951791173</v>
      </c>
      <c r="AH462" s="63">
        <v>0.22981420591496932</v>
      </c>
      <c r="AI462">
        <v>1.0621468264805736</v>
      </c>
    </row>
    <row r="463" spans="17:35" x14ac:dyDescent="0.25">
      <c r="Q463" s="57"/>
      <c r="R463" s="57"/>
      <c r="Z463">
        <v>431</v>
      </c>
      <c r="AA463" s="58">
        <v>100.52985150714862</v>
      </c>
      <c r="AB463" s="59">
        <v>17.184142182668538</v>
      </c>
      <c r="AC463" s="59">
        <v>117.71399368981716</v>
      </c>
      <c r="AD463" s="60">
        <v>83.345709324480083</v>
      </c>
      <c r="AE463" s="61">
        <v>0.2718550267640279</v>
      </c>
      <c r="AF463" s="62">
        <v>4.2790141981895895E-2</v>
      </c>
      <c r="AG463" s="62">
        <v>0.3146451687459238</v>
      </c>
      <c r="AH463" s="63">
        <v>0.22906488478213199</v>
      </c>
      <c r="AI463">
        <v>1.5348408721026827</v>
      </c>
    </row>
    <row r="464" spans="17:35" x14ac:dyDescent="0.25">
      <c r="Q464" s="57"/>
      <c r="R464" s="57"/>
      <c r="Z464">
        <v>432</v>
      </c>
      <c r="AA464" s="58">
        <v>100.15347091896371</v>
      </c>
      <c r="AB464" s="59">
        <v>17.097983198065403</v>
      </c>
      <c r="AC464" s="59">
        <v>117.25145411702911</v>
      </c>
      <c r="AD464" s="60">
        <v>83.055487720898299</v>
      </c>
      <c r="AE464" s="61">
        <v>0.27082346699896453</v>
      </c>
      <c r="AF464" s="62">
        <v>4.2488958403820776E-2</v>
      </c>
      <c r="AG464" s="62">
        <v>0.31331242540278531</v>
      </c>
      <c r="AH464" s="63">
        <v>0.22833450859514376</v>
      </c>
      <c r="AI464">
        <v>1.2161708347081239</v>
      </c>
    </row>
    <row r="465" spans="17:35" x14ac:dyDescent="0.25">
      <c r="Q465" s="57"/>
      <c r="R465" s="57"/>
      <c r="Z465">
        <v>433</v>
      </c>
      <c r="AA465" s="58">
        <v>99.79864312915781</v>
      </c>
      <c r="AB465" s="59">
        <v>16.96733921591894</v>
      </c>
      <c r="AC465" s="59">
        <v>116.76598234507675</v>
      </c>
      <c r="AD465" s="60">
        <v>82.83130391323887</v>
      </c>
      <c r="AE465" s="61">
        <v>0.26987503330132795</v>
      </c>
      <c r="AF465" s="62">
        <v>4.2245921794217767E-2</v>
      </c>
      <c r="AG465" s="62">
        <v>0.31212095509554572</v>
      </c>
      <c r="AH465" s="63">
        <v>0.22762911150711018</v>
      </c>
      <c r="AI465">
        <v>2.3545174884978737</v>
      </c>
    </row>
    <row r="466" spans="17:35" x14ac:dyDescent="0.25">
      <c r="Q466" s="57"/>
      <c r="R466" s="57"/>
      <c r="Z466">
        <v>434</v>
      </c>
      <c r="AA466" s="58">
        <v>99.505029865765934</v>
      </c>
      <c r="AB466" s="59">
        <v>16.929119534816412</v>
      </c>
      <c r="AC466" s="59">
        <v>116.43414940058234</v>
      </c>
      <c r="AD466" s="60">
        <v>82.575910330949526</v>
      </c>
      <c r="AE466" s="61">
        <v>0.26907866919133078</v>
      </c>
      <c r="AF466" s="62">
        <v>4.2187635287977539E-2</v>
      </c>
      <c r="AG466" s="62">
        <v>0.31126630447930831</v>
      </c>
      <c r="AH466" s="63">
        <v>0.22689103390335325</v>
      </c>
      <c r="AI466">
        <v>0.23521708813820563</v>
      </c>
    </row>
    <row r="467" spans="17:35" x14ac:dyDescent="0.25">
      <c r="Q467" s="57"/>
      <c r="R467" s="57"/>
      <c r="Z467">
        <v>435</v>
      </c>
      <c r="AA467" s="58">
        <v>99.132740079097672</v>
      </c>
      <c r="AB467" s="59">
        <v>16.871658602994465</v>
      </c>
      <c r="AC467" s="59">
        <v>116.00439868209213</v>
      </c>
      <c r="AD467" s="60">
        <v>82.261081476103215</v>
      </c>
      <c r="AE467" s="61">
        <v>0.26807678036354021</v>
      </c>
      <c r="AF467" s="62">
        <v>4.2141824144588363E-2</v>
      </c>
      <c r="AG467" s="62">
        <v>0.31021860450812855</v>
      </c>
      <c r="AH467" s="63">
        <v>0.22593495621895185</v>
      </c>
      <c r="AI467">
        <v>0.72595636561135046</v>
      </c>
    </row>
    <row r="468" spans="17:35" x14ac:dyDescent="0.25">
      <c r="Q468" s="57"/>
      <c r="R468" s="57"/>
      <c r="Z468">
        <v>436</v>
      </c>
      <c r="AA468" s="58">
        <v>98.757584568563701</v>
      </c>
      <c r="AB468" s="59">
        <v>16.813550662069932</v>
      </c>
      <c r="AC468" s="59">
        <v>115.57113523063363</v>
      </c>
      <c r="AD468" s="60">
        <v>81.944033906493772</v>
      </c>
      <c r="AE468" s="61">
        <v>0.26705444483475987</v>
      </c>
      <c r="AF468" s="62">
        <v>4.1978142315408189E-2</v>
      </c>
      <c r="AG468" s="62">
        <v>0.30903258715016807</v>
      </c>
      <c r="AH468" s="63">
        <v>0.22507630251935168</v>
      </c>
      <c r="AI468">
        <v>1.2210391577448232</v>
      </c>
    </row>
    <row r="469" spans="17:35" x14ac:dyDescent="0.25">
      <c r="Q469" s="57"/>
      <c r="R469" s="57"/>
      <c r="Z469">
        <v>437</v>
      </c>
      <c r="AA469" s="58">
        <v>98.368433605343057</v>
      </c>
      <c r="AB469" s="59">
        <v>16.683855210058564</v>
      </c>
      <c r="AC469" s="59">
        <v>115.05228881540162</v>
      </c>
      <c r="AD469" s="60">
        <v>81.68457839528449</v>
      </c>
      <c r="AE469" s="61">
        <v>0.26599687664005839</v>
      </c>
      <c r="AF469" s="62">
        <v>4.1582764923191622E-2</v>
      </c>
      <c r="AG469" s="62">
        <v>0.30757964156325002</v>
      </c>
      <c r="AH469" s="63">
        <v>0.22441411171686676</v>
      </c>
      <c r="AI469">
        <v>1.7161219498782958</v>
      </c>
    </row>
    <row r="470" spans="17:35" x14ac:dyDescent="0.25">
      <c r="Q470" s="57"/>
      <c r="R470" s="57"/>
      <c r="Z470">
        <v>438</v>
      </c>
      <c r="AA470" s="58">
        <v>97.966975469845465</v>
      </c>
      <c r="AB470" s="59">
        <v>16.538143368642682</v>
      </c>
      <c r="AC470" s="59">
        <v>114.50511883848814</v>
      </c>
      <c r="AD470" s="60">
        <v>81.428832101202786</v>
      </c>
      <c r="AE470" s="61">
        <v>0.26492580098702706</v>
      </c>
      <c r="AF470" s="62">
        <v>4.1302493637356462E-2</v>
      </c>
      <c r="AG470" s="62">
        <v>0.3062282946243835</v>
      </c>
      <c r="AH470" s="63">
        <v>0.22362330734967059</v>
      </c>
      <c r="AI470">
        <v>2.2112047420117684</v>
      </c>
    </row>
    <row r="471" spans="17:35" x14ac:dyDescent="0.25">
      <c r="Q471" s="57"/>
      <c r="R471" s="57"/>
      <c r="Z471">
        <v>439</v>
      </c>
      <c r="AA471" s="58">
        <v>97.66664205828198</v>
      </c>
      <c r="AB471" s="59">
        <v>16.490342871450093</v>
      </c>
      <c r="AC471" s="59">
        <v>114.15698492973208</v>
      </c>
      <c r="AD471" s="60">
        <v>81.176299186831884</v>
      </c>
      <c r="AE471" s="61">
        <v>0.2641123720544119</v>
      </c>
      <c r="AF471" s="62">
        <v>4.1186828339168542E-2</v>
      </c>
      <c r="AG471" s="62">
        <v>0.30529920039358044</v>
      </c>
      <c r="AH471" s="63">
        <v>0.22292554371524337</v>
      </c>
      <c r="AI471">
        <v>2.6503826022030679</v>
      </c>
    </row>
    <row r="472" spans="17:35" x14ac:dyDescent="0.25">
      <c r="Q472" s="57"/>
      <c r="R472" s="57"/>
      <c r="Z472">
        <v>440</v>
      </c>
      <c r="AA472" s="58">
        <v>97.319024033322435</v>
      </c>
      <c r="AB472" s="59">
        <v>16.462140695959924</v>
      </c>
      <c r="AC472" s="59">
        <v>113.78116472928235</v>
      </c>
      <c r="AD472" s="60">
        <v>80.856883337362518</v>
      </c>
      <c r="AE472" s="61">
        <v>0.26316687257614896</v>
      </c>
      <c r="AF472" s="62">
        <v>4.1108111388284845E-2</v>
      </c>
      <c r="AG472" s="62">
        <v>0.30427498396443381</v>
      </c>
      <c r="AH472" s="63">
        <v>0.22205876118786411</v>
      </c>
      <c r="AI472">
        <v>2.5729687835784318</v>
      </c>
    </row>
    <row r="473" spans="17:35" x14ac:dyDescent="0.25">
      <c r="Q473" s="57"/>
      <c r="R473" s="57"/>
      <c r="Z473">
        <v>441</v>
      </c>
      <c r="AA473" s="58">
        <v>96.886962426106336</v>
      </c>
      <c r="AB473" s="59">
        <v>16.406089737524574</v>
      </c>
      <c r="AC473" s="59">
        <v>113.2930521636309</v>
      </c>
      <c r="AD473" s="60">
        <v>80.480872688581769</v>
      </c>
      <c r="AE473" s="61">
        <v>0.26198816372058359</v>
      </c>
      <c r="AF473" s="62">
        <v>4.0902483232109092E-2</v>
      </c>
      <c r="AG473" s="62">
        <v>0.30289064695269269</v>
      </c>
      <c r="AH473" s="63">
        <v>0.22108568048847449</v>
      </c>
      <c r="AI473">
        <v>2.369995498977421</v>
      </c>
    </row>
    <row r="474" spans="17:35" x14ac:dyDescent="0.25">
      <c r="Q474" s="57"/>
      <c r="R474" s="57"/>
      <c r="Z474">
        <v>442</v>
      </c>
      <c r="AA474" s="58">
        <v>96.528575914629684</v>
      </c>
      <c r="AB474" s="59">
        <v>16.381428651022592</v>
      </c>
      <c r="AC474" s="59">
        <v>112.91000456565227</v>
      </c>
      <c r="AD474" s="60">
        <v>80.147147263607096</v>
      </c>
      <c r="AE474" s="61">
        <v>0.26099828823316451</v>
      </c>
      <c r="AF474" s="62">
        <v>4.0713412035787329E-2</v>
      </c>
      <c r="AG474" s="62">
        <v>0.30171170026895183</v>
      </c>
      <c r="AH474" s="63">
        <v>0.22028487619737719</v>
      </c>
      <c r="AI474">
        <v>2.1670222143764102</v>
      </c>
    </row>
    <row r="475" spans="17:35" x14ac:dyDescent="0.25">
      <c r="Q475" s="57"/>
      <c r="R475" s="57"/>
      <c r="Z475">
        <v>443</v>
      </c>
      <c r="AA475" s="58">
        <v>96.183608857399847</v>
      </c>
      <c r="AB475" s="59">
        <v>16.331977207555919</v>
      </c>
      <c r="AC475" s="59">
        <v>112.51558606495577</v>
      </c>
      <c r="AD475" s="60">
        <v>79.851631649843924</v>
      </c>
      <c r="AE475" s="61">
        <v>0.26006622648847211</v>
      </c>
      <c r="AF475" s="62">
        <v>4.0619690701841203E-2</v>
      </c>
      <c r="AG475" s="62">
        <v>0.30068591719031329</v>
      </c>
      <c r="AH475" s="63">
        <v>0.2194465357866309</v>
      </c>
      <c r="AI475">
        <v>1.9640489297753989</v>
      </c>
    </row>
    <row r="476" spans="17:35" x14ac:dyDescent="0.25">
      <c r="Q476" s="57"/>
      <c r="R476" s="57"/>
      <c r="Z476">
        <v>444</v>
      </c>
      <c r="AA476" s="58">
        <v>95.830406074451687</v>
      </c>
      <c r="AB476" s="59">
        <v>16.290337505341672</v>
      </c>
      <c r="AC476" s="59">
        <v>112.12074357979336</v>
      </c>
      <c r="AD476" s="60">
        <v>79.540068569110019</v>
      </c>
      <c r="AE476" s="61">
        <v>0.25911396125599129</v>
      </c>
      <c r="AF476" s="62">
        <v>4.053115769484613E-2</v>
      </c>
      <c r="AG476" s="62">
        <v>0.2996451189508374</v>
      </c>
      <c r="AH476" s="63">
        <v>0.21858280356114515</v>
      </c>
      <c r="AI476">
        <v>1.7610756451743881</v>
      </c>
    </row>
    <row r="477" spans="17:35" x14ac:dyDescent="0.25">
      <c r="Q477" s="57"/>
      <c r="R477" s="57"/>
      <c r="Z477">
        <v>445</v>
      </c>
      <c r="AA477" s="58">
        <v>95.441482881254061</v>
      </c>
      <c r="AB477" s="59">
        <v>16.226461631949856</v>
      </c>
      <c r="AC477" s="59">
        <v>111.66794451320392</v>
      </c>
      <c r="AD477" s="60">
        <v>79.215021249304201</v>
      </c>
      <c r="AE477" s="61">
        <v>0.25806375670998644</v>
      </c>
      <c r="AF477" s="62">
        <v>4.0348345474197675E-2</v>
      </c>
      <c r="AG477" s="62">
        <v>0.29841210218418412</v>
      </c>
      <c r="AH477" s="63">
        <v>0.21771541123578875</v>
      </c>
      <c r="AI477">
        <v>1.7509218294642459</v>
      </c>
    </row>
    <row r="478" spans="17:35" x14ac:dyDescent="0.25">
      <c r="Q478" s="57"/>
      <c r="R478" s="57"/>
      <c r="Z478">
        <v>446</v>
      </c>
      <c r="AA478" s="58">
        <v>95.036023326673515</v>
      </c>
      <c r="AB478" s="59">
        <v>16.114894893794943</v>
      </c>
      <c r="AC478" s="59">
        <v>111.15091822046845</v>
      </c>
      <c r="AD478" s="60">
        <v>78.921128432878575</v>
      </c>
      <c r="AE478" s="61">
        <v>0.25696538507172634</v>
      </c>
      <c r="AF478" s="62">
        <v>4.0027884434482089E-2</v>
      </c>
      <c r="AG478" s="62">
        <v>0.29699326950620841</v>
      </c>
      <c r="AH478" s="63">
        <v>0.21693750063724426</v>
      </c>
      <c r="AI478">
        <v>2.0220176580102658</v>
      </c>
    </row>
    <row r="479" spans="17:35" x14ac:dyDescent="0.25">
      <c r="Q479" s="57"/>
      <c r="R479" s="57"/>
      <c r="Z479">
        <v>447</v>
      </c>
      <c r="AA479" s="58">
        <v>94.703505231379665</v>
      </c>
      <c r="AB479" s="59">
        <v>16.079942541884332</v>
      </c>
      <c r="AC479" s="59">
        <v>110.783447773264</v>
      </c>
      <c r="AD479" s="60">
        <v>78.62356268949533</v>
      </c>
      <c r="AE479" s="61">
        <v>0.25605354477728964</v>
      </c>
      <c r="AF479" s="62">
        <v>3.986010592834692E-2</v>
      </c>
      <c r="AG479" s="62">
        <v>0.29591365070563658</v>
      </c>
      <c r="AH479" s="63">
        <v>0.21619343884894271</v>
      </c>
      <c r="AI479">
        <v>2.2955125420156621</v>
      </c>
    </row>
    <row r="480" spans="17:35" x14ac:dyDescent="0.25">
      <c r="Q480" s="57"/>
      <c r="R480" s="57"/>
      <c r="Z480">
        <v>448</v>
      </c>
      <c r="AA480" s="58">
        <v>94.362631664753849</v>
      </c>
      <c r="AB480" s="59">
        <v>16.015455276077063</v>
      </c>
      <c r="AC480" s="59">
        <v>110.37808694083091</v>
      </c>
      <c r="AD480" s="60">
        <v>78.347176388676786</v>
      </c>
      <c r="AE480" s="61">
        <v>0.2551316890432952</v>
      </c>
      <c r="AF480" s="62">
        <v>3.9680223564528806E-2</v>
      </c>
      <c r="AG480" s="62">
        <v>0.29481191260782402</v>
      </c>
      <c r="AH480" s="63">
        <v>0.2154514654787664</v>
      </c>
      <c r="AI480">
        <v>2.569007426021058</v>
      </c>
    </row>
    <row r="481" spans="17:35" x14ac:dyDescent="0.25">
      <c r="Q481" s="57"/>
      <c r="R481" s="57"/>
      <c r="Z481">
        <v>449</v>
      </c>
      <c r="AA481" s="58">
        <v>94.013294929206495</v>
      </c>
      <c r="AB481" s="59">
        <v>15.949468746278447</v>
      </c>
      <c r="AC481" s="59">
        <v>109.96276367548494</v>
      </c>
      <c r="AD481" s="60">
        <v>78.063826182928054</v>
      </c>
      <c r="AE481" s="61">
        <v>0.25417232868013373</v>
      </c>
      <c r="AF481" s="62">
        <v>3.935666359032889E-2</v>
      </c>
      <c r="AG481" s="62">
        <v>0.29352899227046264</v>
      </c>
      <c r="AH481" s="63">
        <v>0.21481566508980485</v>
      </c>
      <c r="AI481">
        <v>2.8425023100264539</v>
      </c>
    </row>
    <row r="482" spans="17:35" x14ac:dyDescent="0.25">
      <c r="Q482" s="57"/>
      <c r="R482" s="57"/>
      <c r="Z482">
        <v>450</v>
      </c>
      <c r="AA482" s="58">
        <v>93.677739878717432</v>
      </c>
      <c r="AB482" s="59">
        <v>15.927279379923105</v>
      </c>
      <c r="AC482" s="59">
        <v>109.60501925864054</v>
      </c>
      <c r="AD482" s="60">
        <v>77.750460498794325</v>
      </c>
      <c r="AE482" s="61">
        <v>0.25323748996788892</v>
      </c>
      <c r="AF482" s="62">
        <v>3.9070175288413E-2</v>
      </c>
      <c r="AG482" s="62">
        <v>0.29230766525630192</v>
      </c>
      <c r="AH482" s="63">
        <v>0.21416731467947592</v>
      </c>
      <c r="AI482">
        <v>3.1159971940318503</v>
      </c>
    </row>
    <row r="483" spans="17:35" x14ac:dyDescent="0.25">
      <c r="Q483" s="57"/>
      <c r="R483" s="57"/>
      <c r="Z483">
        <v>451</v>
      </c>
      <c r="AA483" s="58">
        <v>93.293771720370287</v>
      </c>
      <c r="AB483" s="59">
        <v>15.916445696956975</v>
      </c>
      <c r="AC483" s="59">
        <v>109.21021741732726</v>
      </c>
      <c r="AD483" s="60">
        <v>77.377326023413318</v>
      </c>
      <c r="AE483" s="61">
        <v>0.25218270091482115</v>
      </c>
      <c r="AF483" s="62">
        <v>3.894632800899428E-2</v>
      </c>
      <c r="AG483" s="62">
        <v>0.29112902892381542</v>
      </c>
      <c r="AH483" s="63">
        <v>0.21323637290582687</v>
      </c>
      <c r="AI483">
        <v>3.3894920780372462</v>
      </c>
    </row>
    <row r="484" spans="17:35" x14ac:dyDescent="0.25">
      <c r="Q484" s="57"/>
      <c r="R484" s="57"/>
      <c r="Z484">
        <v>452</v>
      </c>
      <c r="AA484" s="58">
        <v>92.896160448863967</v>
      </c>
      <c r="AB484" s="59">
        <v>15.876312918682705</v>
      </c>
      <c r="AC484" s="59">
        <v>108.77247336754667</v>
      </c>
      <c r="AD484" s="60">
        <v>77.019847530181266</v>
      </c>
      <c r="AE484" s="61">
        <v>0.25110939879810451</v>
      </c>
      <c r="AF484" s="62">
        <v>3.8879193019677835E-2</v>
      </c>
      <c r="AG484" s="62">
        <v>0.28998859181778236</v>
      </c>
      <c r="AH484" s="63">
        <v>0.21223020577842666</v>
      </c>
      <c r="AI484">
        <v>3.662986962042643</v>
      </c>
    </row>
    <row r="485" spans="17:35" x14ac:dyDescent="0.25">
      <c r="Q485" s="57"/>
      <c r="R485" s="57"/>
      <c r="Z485">
        <v>453</v>
      </c>
      <c r="AA485" s="58">
        <v>92.695755085507599</v>
      </c>
      <c r="AB485" s="59">
        <v>15.718967404394231</v>
      </c>
      <c r="AC485" s="59">
        <v>108.41472248990183</v>
      </c>
      <c r="AD485" s="60">
        <v>76.976787681113365</v>
      </c>
      <c r="AE485" s="61">
        <v>0.2505736068573417</v>
      </c>
      <c r="AF485" s="62">
        <v>3.8399326523400903E-2</v>
      </c>
      <c r="AG485" s="62">
        <v>0.28897293338074259</v>
      </c>
      <c r="AH485" s="63">
        <v>0.21217428033394081</v>
      </c>
      <c r="AI485">
        <v>3.9364818460480384</v>
      </c>
    </row>
    <row r="486" spans="17:35" x14ac:dyDescent="0.25">
      <c r="Q486" s="57"/>
      <c r="R486" s="57"/>
      <c r="Z486">
        <v>454</v>
      </c>
      <c r="AA486" s="58">
        <v>92.633717576656423</v>
      </c>
      <c r="AB486" s="59">
        <v>15.371418549825803</v>
      </c>
      <c r="AC486" s="59">
        <v>108.00513612648223</v>
      </c>
      <c r="AD486" s="60">
        <v>77.262299026830618</v>
      </c>
      <c r="AE486" s="61">
        <v>0.25043266181604307</v>
      </c>
      <c r="AF486" s="62">
        <v>3.7390628933372583E-2</v>
      </c>
      <c r="AG486" s="62">
        <v>0.28782329074941565</v>
      </c>
      <c r="AH486" s="63">
        <v>0.21304203288267048</v>
      </c>
      <c r="AI486">
        <v>1.1720675914097214</v>
      </c>
    </row>
    <row r="487" spans="17:35" x14ac:dyDescent="0.25">
      <c r="Q487" s="57"/>
      <c r="R487" s="57"/>
      <c r="Z487">
        <v>455</v>
      </c>
      <c r="AA487" s="58">
        <v>92.610438165869994</v>
      </c>
      <c r="AB487" s="59">
        <v>15.094418350634928</v>
      </c>
      <c r="AC487" s="59">
        <v>107.70485651650492</v>
      </c>
      <c r="AD487" s="60">
        <v>77.516019815235069</v>
      </c>
      <c r="AE487" s="61">
        <v>0.25041822991163637</v>
      </c>
      <c r="AF487" s="62">
        <v>3.6875492955256294E-2</v>
      </c>
      <c r="AG487" s="62">
        <v>0.28729372286689264</v>
      </c>
      <c r="AH487" s="63">
        <v>0.21354273695638007</v>
      </c>
      <c r="AI487">
        <v>0</v>
      </c>
    </row>
    <row r="488" spans="17:35" x14ac:dyDescent="0.25">
      <c r="Q488" s="57"/>
      <c r="R488" s="57"/>
      <c r="Z488">
        <v>456</v>
      </c>
      <c r="AA488" s="58">
        <v>92.574533532702162</v>
      </c>
      <c r="AB488" s="59">
        <v>14.788368519169573</v>
      </c>
      <c r="AC488" s="59">
        <v>107.36290205187174</v>
      </c>
      <c r="AD488" s="60">
        <v>77.786165013532582</v>
      </c>
      <c r="AE488" s="61">
        <v>0.25038845978689306</v>
      </c>
      <c r="AF488" s="62">
        <v>3.640556613311409E-2</v>
      </c>
      <c r="AG488" s="62">
        <v>0.28679402592000713</v>
      </c>
      <c r="AH488" s="63">
        <v>0.21398289365377898</v>
      </c>
      <c r="AI488">
        <v>0</v>
      </c>
    </row>
    <row r="489" spans="17:35" x14ac:dyDescent="0.25">
      <c r="Q489" s="57"/>
      <c r="R489" s="57"/>
      <c r="Z489">
        <v>457</v>
      </c>
      <c r="AA489" s="58">
        <v>92.581505083964771</v>
      </c>
      <c r="AB489" s="59">
        <v>14.359955089196713</v>
      </c>
      <c r="AC489" s="59">
        <v>106.94146017316149</v>
      </c>
      <c r="AD489" s="60">
        <v>78.221549994768054</v>
      </c>
      <c r="AE489" s="61">
        <v>0.25048628577899351</v>
      </c>
      <c r="AF489" s="62">
        <v>3.5624698475266954E-2</v>
      </c>
      <c r="AG489" s="62">
        <v>0.28611098425426046</v>
      </c>
      <c r="AH489" s="63">
        <v>0.21486158730372656</v>
      </c>
      <c r="AI489">
        <v>0</v>
      </c>
    </row>
    <row r="490" spans="17:35" x14ac:dyDescent="0.25">
      <c r="Q490" s="57"/>
      <c r="R490" s="57"/>
      <c r="Z490">
        <v>458</v>
      </c>
      <c r="AA490" s="58">
        <v>92.698522294869704</v>
      </c>
      <c r="AB490" s="59">
        <v>13.877609698061114</v>
      </c>
      <c r="AC490" s="59">
        <v>106.57613199293081</v>
      </c>
      <c r="AD490" s="60">
        <v>78.820912596808597</v>
      </c>
      <c r="AE490" s="61">
        <v>0.25088479836309641</v>
      </c>
      <c r="AF490" s="62">
        <v>3.4683201012202805E-2</v>
      </c>
      <c r="AG490" s="62">
        <v>0.2855679993752992</v>
      </c>
      <c r="AH490" s="63">
        <v>0.21620159735089362</v>
      </c>
      <c r="AI490">
        <v>0</v>
      </c>
    </row>
    <row r="491" spans="17:35" x14ac:dyDescent="0.25">
      <c r="Q491" s="57"/>
      <c r="R491" s="57"/>
      <c r="Z491">
        <v>459</v>
      </c>
      <c r="AA491" s="58">
        <v>92.924690628195989</v>
      </c>
      <c r="AB491" s="59">
        <v>13.278491133436825</v>
      </c>
      <c r="AC491" s="59">
        <v>106.20318176163282</v>
      </c>
      <c r="AD491" s="60">
        <v>79.646199494759159</v>
      </c>
      <c r="AE491" s="61">
        <v>0.25159565142702806</v>
      </c>
      <c r="AF491" s="62">
        <v>3.3485402240537789E-2</v>
      </c>
      <c r="AG491" s="62">
        <v>0.28508105366756586</v>
      </c>
      <c r="AH491" s="63">
        <v>0.21811024918649027</v>
      </c>
      <c r="AI491">
        <v>0</v>
      </c>
    </row>
    <row r="492" spans="17:35" x14ac:dyDescent="0.25">
      <c r="Q492" s="57"/>
      <c r="R492" s="57"/>
      <c r="Z492">
        <v>460</v>
      </c>
      <c r="AA492" s="58">
        <v>93.168815534009994</v>
      </c>
      <c r="AB492" s="59">
        <v>12.711236121457141</v>
      </c>
      <c r="AC492" s="59">
        <v>105.88005165546713</v>
      </c>
      <c r="AD492" s="60">
        <v>80.45757941255286</v>
      </c>
      <c r="AE492" s="61">
        <v>0.25235035172529435</v>
      </c>
      <c r="AF492" s="62">
        <v>3.2416447348017303E-2</v>
      </c>
      <c r="AG492" s="62">
        <v>0.28476679907331165</v>
      </c>
      <c r="AH492" s="63">
        <v>0.21993390437727706</v>
      </c>
      <c r="AI492">
        <v>0</v>
      </c>
    </row>
    <row r="493" spans="17:35" x14ac:dyDescent="0.25">
      <c r="Q493" s="57"/>
      <c r="R493" s="57"/>
      <c r="Z493">
        <v>461</v>
      </c>
      <c r="AA493" s="58">
        <v>93.506389178854036</v>
      </c>
      <c r="AB493" s="59">
        <v>12.040400654587685</v>
      </c>
      <c r="AC493" s="59">
        <v>105.54678983344172</v>
      </c>
      <c r="AD493" s="60">
        <v>81.465988524266351</v>
      </c>
      <c r="AE493" s="61">
        <v>0.25337601052035424</v>
      </c>
      <c r="AF493" s="62">
        <v>3.1217513904791747E-2</v>
      </c>
      <c r="AG493" s="62">
        <v>0.28459352442514602</v>
      </c>
      <c r="AH493" s="63">
        <v>0.2221584966155625</v>
      </c>
      <c r="AI493">
        <v>0</v>
      </c>
    </row>
    <row r="494" spans="17:35" x14ac:dyDescent="0.25">
      <c r="Q494" s="57"/>
      <c r="R494" s="57"/>
      <c r="Z494">
        <v>462</v>
      </c>
      <c r="AA494" s="58">
        <v>93.837246287495205</v>
      </c>
      <c r="AB494" s="59">
        <v>11.358978913735399</v>
      </c>
      <c r="AC494" s="59">
        <v>105.1962252012306</v>
      </c>
      <c r="AD494" s="60">
        <v>82.478267373759806</v>
      </c>
      <c r="AE494" s="61">
        <v>0.25437207251145177</v>
      </c>
      <c r="AF494" s="62">
        <v>2.9956832672484682E-2</v>
      </c>
      <c r="AG494" s="62">
        <v>0.28432890518393644</v>
      </c>
      <c r="AH494" s="63">
        <v>0.22441523983896711</v>
      </c>
      <c r="AI494">
        <v>0</v>
      </c>
    </row>
    <row r="495" spans="17:35" x14ac:dyDescent="0.25">
      <c r="Q495" s="57"/>
      <c r="R495" s="57"/>
      <c r="Z495">
        <v>463</v>
      </c>
      <c r="AA495" s="58">
        <v>94.212529392525241</v>
      </c>
      <c r="AB495" s="59">
        <v>10.721830378734889</v>
      </c>
      <c r="AC495" s="59">
        <v>104.93435977126013</v>
      </c>
      <c r="AD495" s="60">
        <v>83.490699013790348</v>
      </c>
      <c r="AE495" s="61">
        <v>0.25549887212841682</v>
      </c>
      <c r="AF495" s="62">
        <v>2.9073345409113334E-2</v>
      </c>
      <c r="AG495" s="62">
        <v>0.28457221753753015</v>
      </c>
      <c r="AH495" s="63">
        <v>0.22642552671930349</v>
      </c>
      <c r="AI495">
        <v>0</v>
      </c>
    </row>
    <row r="496" spans="17:35" x14ac:dyDescent="0.25">
      <c r="Q496" s="57"/>
      <c r="R496" s="57"/>
      <c r="Z496">
        <v>464</v>
      </c>
      <c r="AA496" s="58">
        <v>94.631873808698359</v>
      </c>
      <c r="AB496" s="59">
        <v>10.082704555670777</v>
      </c>
      <c r="AC496" s="59">
        <v>104.71457836436913</v>
      </c>
      <c r="AD496" s="60">
        <v>84.549169253027586</v>
      </c>
      <c r="AE496" s="61">
        <v>0.25674716252466889</v>
      </c>
      <c r="AF496" s="62">
        <v>2.8303372653914173E-2</v>
      </c>
      <c r="AG496" s="62">
        <v>0.28505053517858309</v>
      </c>
      <c r="AH496" s="63">
        <v>0.22844378987075473</v>
      </c>
      <c r="AI496">
        <v>0</v>
      </c>
    </row>
    <row r="497" spans="17:35" x14ac:dyDescent="0.25">
      <c r="Q497" s="57"/>
      <c r="R497" s="57"/>
      <c r="Z497">
        <v>465</v>
      </c>
      <c r="AA497" s="58">
        <v>95.008945715873651</v>
      </c>
      <c r="AB497" s="59">
        <v>9.4909466151068038</v>
      </c>
      <c r="AC497" s="59">
        <v>104.49989233098046</v>
      </c>
      <c r="AD497" s="60">
        <v>85.517999100766843</v>
      </c>
      <c r="AE497" s="61">
        <v>0.25786263475921672</v>
      </c>
      <c r="AF497" s="62">
        <v>2.7567316039404904E-2</v>
      </c>
      <c r="AG497" s="62">
        <v>0.28542995079862166</v>
      </c>
      <c r="AH497" s="63">
        <v>0.23029531871981182</v>
      </c>
      <c r="AI497">
        <v>0</v>
      </c>
    </row>
    <row r="498" spans="17:35" x14ac:dyDescent="0.25">
      <c r="Q498" s="57"/>
      <c r="R498" s="57"/>
      <c r="Z498">
        <v>466</v>
      </c>
      <c r="AA498" s="58">
        <v>95.348764248314538</v>
      </c>
      <c r="AB498" s="59">
        <v>8.9518855783447879</v>
      </c>
      <c r="AC498" s="59">
        <v>104.30064982665932</v>
      </c>
      <c r="AD498" s="60">
        <v>86.396878669969752</v>
      </c>
      <c r="AE498" s="61">
        <v>0.25887534733072115</v>
      </c>
      <c r="AF498" s="62">
        <v>2.705044077821674E-2</v>
      </c>
      <c r="AG498" s="62">
        <v>0.28592578810893787</v>
      </c>
      <c r="AH498" s="63">
        <v>0.2318249065525044</v>
      </c>
      <c r="AI498">
        <v>0</v>
      </c>
    </row>
    <row r="499" spans="17:35" x14ac:dyDescent="0.25">
      <c r="Q499" s="57"/>
      <c r="R499" s="57"/>
      <c r="Z499">
        <v>467</v>
      </c>
      <c r="AA499" s="58">
        <v>95.689627083124194</v>
      </c>
      <c r="AB499" s="59">
        <v>8.4370165605135252</v>
      </c>
      <c r="AC499" s="59">
        <v>104.12664364363772</v>
      </c>
      <c r="AD499" s="60">
        <v>87.252610522610667</v>
      </c>
      <c r="AE499" s="61">
        <v>0.25988147925881322</v>
      </c>
      <c r="AF499" s="62">
        <v>2.6587602599351303E-2</v>
      </c>
      <c r="AG499" s="62">
        <v>0.2864690818581645</v>
      </c>
      <c r="AH499" s="63">
        <v>0.23329387665946191</v>
      </c>
      <c r="AI499">
        <v>0</v>
      </c>
    </row>
    <row r="500" spans="17:35" x14ac:dyDescent="0.25">
      <c r="Q500" s="57"/>
      <c r="R500" s="57"/>
      <c r="Z500">
        <v>468</v>
      </c>
      <c r="AA500" s="58">
        <v>96.04058851640157</v>
      </c>
      <c r="AB500" s="59">
        <v>7.919174960103442</v>
      </c>
      <c r="AC500" s="59">
        <v>103.95976347650502</v>
      </c>
      <c r="AD500" s="60">
        <v>88.121413556298123</v>
      </c>
      <c r="AE500" s="61">
        <v>0.26091469522675764</v>
      </c>
      <c r="AF500" s="62">
        <v>2.6218150165232122E-2</v>
      </c>
      <c r="AG500" s="62">
        <v>0.28713284539198974</v>
      </c>
      <c r="AH500" s="63">
        <v>0.23469654506152551</v>
      </c>
      <c r="AI500">
        <v>0</v>
      </c>
    </row>
    <row r="501" spans="17:35" x14ac:dyDescent="0.25">
      <c r="Q501" s="57"/>
      <c r="R501" s="57"/>
      <c r="Z501">
        <v>469</v>
      </c>
      <c r="AA501" s="58">
        <v>96.310856556342458</v>
      </c>
      <c r="AB501" s="59">
        <v>7.3853118898870163</v>
      </c>
      <c r="AC501" s="59">
        <v>103.69616844622948</v>
      </c>
      <c r="AD501" s="60">
        <v>88.925544666455437</v>
      </c>
      <c r="AE501" s="61">
        <v>0.26175084115071784</v>
      </c>
      <c r="AF501" s="62">
        <v>2.6161267922988354E-2</v>
      </c>
      <c r="AG501" s="62">
        <v>0.28791210907370618</v>
      </c>
      <c r="AH501" s="63">
        <v>0.2355895732277295</v>
      </c>
      <c r="AI501">
        <v>0</v>
      </c>
    </row>
    <row r="502" spans="17:35" x14ac:dyDescent="0.25">
      <c r="Q502" s="57"/>
      <c r="R502" s="57"/>
      <c r="Z502">
        <v>470</v>
      </c>
      <c r="AA502" s="58">
        <v>96.579594314282858</v>
      </c>
      <c r="AB502" s="59">
        <v>6.8827971007164095</v>
      </c>
      <c r="AC502" s="59">
        <v>103.46239141499927</v>
      </c>
      <c r="AD502" s="60">
        <v>89.696797213566441</v>
      </c>
      <c r="AE502" s="61">
        <v>0.26257123812893635</v>
      </c>
      <c r="AF502" s="62">
        <v>2.6121401663311127E-2</v>
      </c>
      <c r="AG502" s="62">
        <v>0.28869263979224746</v>
      </c>
      <c r="AH502" s="63">
        <v>0.23644983646562523</v>
      </c>
      <c r="AI502">
        <v>0</v>
      </c>
    </row>
    <row r="503" spans="17:35" x14ac:dyDescent="0.25">
      <c r="Q503" s="57"/>
      <c r="R503" s="57"/>
      <c r="Z503">
        <v>471</v>
      </c>
      <c r="AA503" s="58">
        <v>96.801744388411052</v>
      </c>
      <c r="AB503" s="59">
        <v>6.482523484683326</v>
      </c>
      <c r="AC503" s="59">
        <v>103.28426787309438</v>
      </c>
      <c r="AD503" s="60">
        <v>90.319220903727725</v>
      </c>
      <c r="AE503" s="61">
        <v>0.26324598805933314</v>
      </c>
      <c r="AF503" s="62">
        <v>2.6161108605269216E-2</v>
      </c>
      <c r="AG503" s="62">
        <v>0.28940709666460235</v>
      </c>
      <c r="AH503" s="63">
        <v>0.23708487945406392</v>
      </c>
      <c r="AI503">
        <v>0</v>
      </c>
    </row>
    <row r="504" spans="17:35" x14ac:dyDescent="0.25">
      <c r="Q504" s="57"/>
      <c r="R504" s="57"/>
      <c r="Z504">
        <v>472</v>
      </c>
      <c r="AA504" s="58">
        <v>97.068341634774342</v>
      </c>
      <c r="AB504" s="59">
        <v>6.0979915671836213</v>
      </c>
      <c r="AC504" s="59">
        <v>103.16633320195797</v>
      </c>
      <c r="AD504" s="60">
        <v>90.970350067590715</v>
      </c>
      <c r="AE504" s="61">
        <v>0.26404363823911142</v>
      </c>
      <c r="AF504" s="62">
        <v>2.6317684633017265E-2</v>
      </c>
      <c r="AG504" s="62">
        <v>0.29036132287212868</v>
      </c>
      <c r="AH504" s="63">
        <v>0.23772595360609416</v>
      </c>
      <c r="AI504">
        <v>0</v>
      </c>
    </row>
    <row r="505" spans="17:35" x14ac:dyDescent="0.25">
      <c r="Q505" s="57"/>
      <c r="R505" s="57"/>
      <c r="Z505">
        <v>473</v>
      </c>
      <c r="AA505" s="58">
        <v>97.313129839936138</v>
      </c>
      <c r="AB505" s="59">
        <v>5.7590747768189532</v>
      </c>
      <c r="AC505" s="59">
        <v>103.07220461675509</v>
      </c>
      <c r="AD505" s="60">
        <v>91.55405506311719</v>
      </c>
      <c r="AE505" s="61">
        <v>0.26476210270238926</v>
      </c>
      <c r="AF505" s="62">
        <v>2.6361708492857905E-2</v>
      </c>
      <c r="AG505" s="62">
        <v>0.29112381119524716</v>
      </c>
      <c r="AH505" s="63">
        <v>0.23840039420953135</v>
      </c>
      <c r="AI505">
        <v>0</v>
      </c>
    </row>
    <row r="506" spans="17:35" x14ac:dyDescent="0.25">
      <c r="Q506" s="57"/>
      <c r="R506" s="57"/>
      <c r="Z506">
        <v>474</v>
      </c>
      <c r="AA506" s="58">
        <v>97.534238959003645</v>
      </c>
      <c r="AB506" s="59">
        <v>5.437384891168076</v>
      </c>
      <c r="AC506" s="59">
        <v>102.97162385017172</v>
      </c>
      <c r="AD506" s="60">
        <v>92.096854067835565</v>
      </c>
      <c r="AE506" s="61">
        <v>0.26540709500573212</v>
      </c>
      <c r="AF506" s="62">
        <v>2.6341285664809366E-2</v>
      </c>
      <c r="AG506" s="62">
        <v>0.29174838067054149</v>
      </c>
      <c r="AH506" s="63">
        <v>0.23906580934092275</v>
      </c>
      <c r="AI506">
        <v>0</v>
      </c>
    </row>
    <row r="507" spans="17:35" x14ac:dyDescent="0.25">
      <c r="Q507" s="57"/>
      <c r="R507" s="57"/>
      <c r="Z507">
        <v>475</v>
      </c>
      <c r="AA507" s="58">
        <v>97.717686443989592</v>
      </c>
      <c r="AB507" s="59">
        <v>5.193537347648812</v>
      </c>
      <c r="AC507" s="59">
        <v>102.91122379163841</v>
      </c>
      <c r="AD507" s="60">
        <v>92.524149096340778</v>
      </c>
      <c r="AE507" s="61">
        <v>0.26594576272776305</v>
      </c>
      <c r="AF507" s="62">
        <v>2.643545789421748E-2</v>
      </c>
      <c r="AG507" s="62">
        <v>0.29238122062198052</v>
      </c>
      <c r="AH507" s="63">
        <v>0.23951030483354557</v>
      </c>
      <c r="AI507">
        <v>0</v>
      </c>
    </row>
    <row r="508" spans="17:35" x14ac:dyDescent="0.25">
      <c r="Q508" s="57"/>
      <c r="R508" s="57"/>
      <c r="Z508">
        <v>476</v>
      </c>
      <c r="AA508" s="58">
        <v>97.956002253871972</v>
      </c>
      <c r="AB508" s="59">
        <v>4.8896799825380928</v>
      </c>
      <c r="AC508" s="59">
        <v>102.84568223641007</v>
      </c>
      <c r="AD508" s="60">
        <v>93.066322271333874</v>
      </c>
      <c r="AE508" s="61">
        <v>0.2666486105706472</v>
      </c>
      <c r="AF508" s="62">
        <v>2.6631754598185769E-2</v>
      </c>
      <c r="AG508" s="62">
        <v>0.29328036516883299</v>
      </c>
      <c r="AH508" s="63">
        <v>0.24001685597246145</v>
      </c>
      <c r="AI508">
        <v>0</v>
      </c>
    </row>
    <row r="509" spans="17:35" x14ac:dyDescent="0.25">
      <c r="Q509" s="57"/>
      <c r="R509" s="57"/>
      <c r="Z509">
        <v>477</v>
      </c>
      <c r="AA509" s="58">
        <v>98.139537216056723</v>
      </c>
      <c r="AB509" s="59">
        <v>4.6811273425627329</v>
      </c>
      <c r="AC509" s="59">
        <v>102.82066455861946</v>
      </c>
      <c r="AD509" s="60">
        <v>93.458409873493991</v>
      </c>
      <c r="AE509" s="61">
        <v>0.26717793788219552</v>
      </c>
      <c r="AF509" s="62">
        <v>2.6713912552365403E-2</v>
      </c>
      <c r="AG509" s="62">
        <v>0.2938918504345609</v>
      </c>
      <c r="AH509" s="63">
        <v>0.24046402532983011</v>
      </c>
      <c r="AI509">
        <v>0</v>
      </c>
    </row>
    <row r="510" spans="17:35" x14ac:dyDescent="0.25">
      <c r="Q510" s="57"/>
      <c r="R510" s="57"/>
      <c r="Z510">
        <v>478</v>
      </c>
      <c r="AA510" s="58">
        <v>98.32273122288008</v>
      </c>
      <c r="AB510" s="59">
        <v>4.4765601328569025</v>
      </c>
      <c r="AC510" s="59">
        <v>102.79929135573698</v>
      </c>
      <c r="AD510" s="60">
        <v>93.846171090023176</v>
      </c>
      <c r="AE510" s="61">
        <v>0.26770395419843951</v>
      </c>
      <c r="AF510" s="62">
        <v>2.6786798442703673E-2</v>
      </c>
      <c r="AG510" s="62">
        <v>0.29449075264114316</v>
      </c>
      <c r="AH510" s="63">
        <v>0.24091715575573583</v>
      </c>
      <c r="AI510">
        <v>0</v>
      </c>
    </row>
    <row r="511" spans="17:35" x14ac:dyDescent="0.25">
      <c r="Q511" s="57"/>
      <c r="R511" s="57"/>
      <c r="Z511">
        <v>479</v>
      </c>
      <c r="AA511" s="58">
        <v>98.483539197732341</v>
      </c>
      <c r="AB511" s="59">
        <v>4.2941795947453123</v>
      </c>
      <c r="AC511" s="59">
        <v>102.77771879247766</v>
      </c>
      <c r="AD511" s="60">
        <v>94.189359602987025</v>
      </c>
      <c r="AE511" s="61">
        <v>0.26816985482361932</v>
      </c>
      <c r="AF511" s="62">
        <v>2.6907810504788424E-2</v>
      </c>
      <c r="AG511" s="62">
        <v>0.29507766532840773</v>
      </c>
      <c r="AH511" s="63">
        <v>0.24126204431883091</v>
      </c>
      <c r="AI511">
        <v>0</v>
      </c>
    </row>
    <row r="512" spans="17:35" x14ac:dyDescent="0.25">
      <c r="Q512" s="57"/>
      <c r="R512" s="57"/>
      <c r="Z512">
        <v>480</v>
      </c>
      <c r="AA512" s="58">
        <v>98.649502894605007</v>
      </c>
      <c r="AB512" s="59">
        <v>4.1198247588635892</v>
      </c>
      <c r="AC512" s="59">
        <v>102.76932765346859</v>
      </c>
      <c r="AD512" s="60">
        <v>94.52967813574142</v>
      </c>
      <c r="AE512" s="61">
        <v>0.26865302280034908</v>
      </c>
      <c r="AF512" s="62">
        <v>2.7093336770876199E-2</v>
      </c>
      <c r="AG512" s="62">
        <v>0.2957463595712253</v>
      </c>
      <c r="AH512" s="63">
        <v>0.24155968602947289</v>
      </c>
      <c r="AI512">
        <v>0</v>
      </c>
    </row>
    <row r="513" spans="17:35" x14ac:dyDescent="0.25">
      <c r="Q513" s="57"/>
      <c r="R513" s="57"/>
      <c r="Z513">
        <v>481</v>
      </c>
      <c r="AA513" s="58">
        <v>98.843737518924385</v>
      </c>
      <c r="AB513" s="59">
        <v>3.9263642932604097</v>
      </c>
      <c r="AC513" s="59">
        <v>102.77010181218479</v>
      </c>
      <c r="AD513" s="60">
        <v>94.917373225663979</v>
      </c>
      <c r="AE513" s="61">
        <v>0.26922284021385096</v>
      </c>
      <c r="AF513" s="62">
        <v>2.7382528151791607E-2</v>
      </c>
      <c r="AG513" s="62">
        <v>0.29660536836564255</v>
      </c>
      <c r="AH513" s="63">
        <v>0.24184031206205936</v>
      </c>
      <c r="AI513">
        <v>0</v>
      </c>
    </row>
    <row r="514" spans="17:35" x14ac:dyDescent="0.25">
      <c r="Q514" s="57"/>
      <c r="R514" s="57"/>
      <c r="Z514">
        <v>482</v>
      </c>
      <c r="AA514" s="58">
        <v>98.973860562078286</v>
      </c>
      <c r="AB514" s="59">
        <v>3.7994408757126679</v>
      </c>
      <c r="AC514" s="59">
        <v>102.77330143779095</v>
      </c>
      <c r="AD514" s="60">
        <v>95.174419686365624</v>
      </c>
      <c r="AE514" s="61">
        <v>0.26960634458367339</v>
      </c>
      <c r="AF514" s="62">
        <v>2.7615472745881525E-2</v>
      </c>
      <c r="AG514" s="62">
        <v>0.29722181732955488</v>
      </c>
      <c r="AH514" s="63">
        <v>0.24199087183779186</v>
      </c>
      <c r="AI514">
        <v>0</v>
      </c>
    </row>
    <row r="515" spans="17:35" x14ac:dyDescent="0.25">
      <c r="Q515" s="57"/>
      <c r="R515" s="57"/>
      <c r="Z515">
        <v>483</v>
      </c>
      <c r="AA515" s="58">
        <v>99.078273958826301</v>
      </c>
      <c r="AB515" s="59">
        <v>3.6860038274438627</v>
      </c>
      <c r="AC515" s="59">
        <v>102.76427778627017</v>
      </c>
      <c r="AD515" s="60">
        <v>95.392270131382432</v>
      </c>
      <c r="AE515" s="61">
        <v>0.26992137350663387</v>
      </c>
      <c r="AF515" s="62">
        <v>2.7878189570000014E-2</v>
      </c>
      <c r="AG515" s="62">
        <v>0.29779956307663386</v>
      </c>
      <c r="AH515" s="63">
        <v>0.24204318393663385</v>
      </c>
      <c r="AI515">
        <v>0</v>
      </c>
    </row>
    <row r="516" spans="17:35" x14ac:dyDescent="0.25">
      <c r="Q516" s="57"/>
      <c r="R516" s="57"/>
      <c r="Z516">
        <v>484</v>
      </c>
      <c r="AA516" s="58">
        <v>99.201133772084077</v>
      </c>
      <c r="AB516" s="59">
        <v>3.5554133837332516</v>
      </c>
      <c r="AC516" s="59">
        <v>102.75654715581733</v>
      </c>
      <c r="AD516" s="60">
        <v>95.645720388350824</v>
      </c>
      <c r="AE516" s="61">
        <v>0.2702928076704183</v>
      </c>
      <c r="AF516" s="62">
        <v>2.8192762091300432E-2</v>
      </c>
      <c r="AG516" s="62">
        <v>0.29848556976171875</v>
      </c>
      <c r="AH516" s="63">
        <v>0.24210004557911788</v>
      </c>
      <c r="AI516">
        <v>0</v>
      </c>
    </row>
    <row r="517" spans="17:35" x14ac:dyDescent="0.25">
      <c r="Q517" s="57"/>
      <c r="R517" s="57"/>
      <c r="Z517">
        <v>485</v>
      </c>
      <c r="AA517" s="58">
        <v>99.263299143868494</v>
      </c>
      <c r="AB517" s="59">
        <v>3.4751043383995768</v>
      </c>
      <c r="AC517" s="59">
        <v>102.73840348226807</v>
      </c>
      <c r="AD517" s="60">
        <v>95.788194805468919</v>
      </c>
      <c r="AE517" s="61">
        <v>0.27048173606999149</v>
      </c>
      <c r="AF517" s="62">
        <v>2.8356592867228289E-2</v>
      </c>
      <c r="AG517" s="62">
        <v>0.29883832893721979</v>
      </c>
      <c r="AH517" s="63">
        <v>0.24212514320276318</v>
      </c>
      <c r="AI517">
        <v>0</v>
      </c>
    </row>
    <row r="518" spans="17:35" x14ac:dyDescent="0.25">
      <c r="Q518" s="57"/>
      <c r="R518" s="57"/>
      <c r="Z518">
        <v>486</v>
      </c>
      <c r="AA518" s="58">
        <v>99.325731979760732</v>
      </c>
      <c r="AB518" s="59">
        <v>3.4033289757010508</v>
      </c>
      <c r="AC518" s="59">
        <v>102.72906095546179</v>
      </c>
      <c r="AD518" s="60">
        <v>95.922403004059674</v>
      </c>
      <c r="AE518" s="61">
        <v>0.27065821002521878</v>
      </c>
      <c r="AF518" s="62">
        <v>2.8381323829361486E-2</v>
      </c>
      <c r="AG518" s="62">
        <v>0.29903953385458026</v>
      </c>
      <c r="AH518" s="63">
        <v>0.2422768861958573</v>
      </c>
      <c r="AI518">
        <v>0</v>
      </c>
    </row>
    <row r="519" spans="17:35" x14ac:dyDescent="0.25">
      <c r="Q519" s="57"/>
      <c r="R519" s="57"/>
      <c r="Z519">
        <v>487</v>
      </c>
      <c r="AA519" s="58">
        <v>99.350222816203697</v>
      </c>
      <c r="AB519" s="59">
        <v>3.3208307530488015</v>
      </c>
      <c r="AC519" s="59">
        <v>102.67105356925249</v>
      </c>
      <c r="AD519" s="60">
        <v>96.029392063154901</v>
      </c>
      <c r="AE519" s="61">
        <v>0.27073701155173463</v>
      </c>
      <c r="AF519" s="62">
        <v>2.8455671160876668E-2</v>
      </c>
      <c r="AG519" s="62">
        <v>0.29919268271261129</v>
      </c>
      <c r="AH519" s="63">
        <v>0.24228134039085797</v>
      </c>
      <c r="AI519">
        <v>0</v>
      </c>
    </row>
    <row r="520" spans="17:35" x14ac:dyDescent="0.25">
      <c r="Q520" s="57"/>
      <c r="R520" s="57"/>
      <c r="Z520">
        <v>488</v>
      </c>
      <c r="AA520" s="58">
        <v>99.312397242203019</v>
      </c>
      <c r="AB520" s="59">
        <v>3.2555749908785945</v>
      </c>
      <c r="AC520" s="59">
        <v>102.56797223308162</v>
      </c>
      <c r="AD520" s="60">
        <v>96.056822251324419</v>
      </c>
      <c r="AE520" s="61">
        <v>0.27065129167809482</v>
      </c>
      <c r="AF520" s="62">
        <v>2.8592376920789739E-2</v>
      </c>
      <c r="AG520" s="62">
        <v>0.29924366859888457</v>
      </c>
      <c r="AH520" s="63">
        <v>0.24205891475730507</v>
      </c>
      <c r="AI520">
        <v>0</v>
      </c>
    </row>
    <row r="521" spans="17:35" x14ac:dyDescent="0.25">
      <c r="Q521" s="57"/>
      <c r="R521" s="57"/>
      <c r="Z521">
        <v>489</v>
      </c>
      <c r="AA521" s="58">
        <v>99.268141049822319</v>
      </c>
      <c r="AB521" s="59">
        <v>3.2025900331333164</v>
      </c>
      <c r="AC521" s="59">
        <v>102.47073108295564</v>
      </c>
      <c r="AD521" s="60">
        <v>96.065551016689</v>
      </c>
      <c r="AE521" s="61">
        <v>0.27054717229279263</v>
      </c>
      <c r="AF521" s="62">
        <v>2.8728212302449319E-2</v>
      </c>
      <c r="AG521" s="62">
        <v>0.29927538459524194</v>
      </c>
      <c r="AH521" s="63">
        <v>0.24181895999034331</v>
      </c>
      <c r="AI521">
        <v>0</v>
      </c>
    </row>
    <row r="522" spans="17:35" x14ac:dyDescent="0.25">
      <c r="Q522" s="57"/>
      <c r="R522" s="57"/>
      <c r="Z522">
        <v>490</v>
      </c>
      <c r="AA522" s="58">
        <v>99.212205134747578</v>
      </c>
      <c r="AB522" s="59">
        <v>3.1644703044849001</v>
      </c>
      <c r="AC522" s="59">
        <v>102.37667543923247</v>
      </c>
      <c r="AD522" s="60">
        <v>96.047734830262684</v>
      </c>
      <c r="AE522" s="61">
        <v>0.27041196939963413</v>
      </c>
      <c r="AF522" s="62">
        <v>2.8883224040789454E-2</v>
      </c>
      <c r="AG522" s="62">
        <v>0.2992951934404236</v>
      </c>
      <c r="AH522" s="63">
        <v>0.24152874535884467</v>
      </c>
      <c r="AI522">
        <v>0</v>
      </c>
    </row>
    <row r="523" spans="17:35" x14ac:dyDescent="0.25">
      <c r="Q523" s="57"/>
      <c r="R523" s="57"/>
      <c r="Z523">
        <v>491</v>
      </c>
      <c r="AA523" s="58">
        <v>99.147378329676158</v>
      </c>
      <c r="AB523" s="59">
        <v>3.1496698774968439</v>
      </c>
      <c r="AC523" s="59">
        <v>102.29704820717301</v>
      </c>
      <c r="AD523" s="60">
        <v>95.99770845217931</v>
      </c>
      <c r="AE523" s="61">
        <v>0.27025297726042347</v>
      </c>
      <c r="AF523" s="62">
        <v>2.9059741013822221E-2</v>
      </c>
      <c r="AG523" s="62">
        <v>0.29931271827424566</v>
      </c>
      <c r="AH523" s="63">
        <v>0.24119323624660124</v>
      </c>
      <c r="AI523">
        <v>0</v>
      </c>
    </row>
    <row r="524" spans="17:35" x14ac:dyDescent="0.25">
      <c r="Q524" s="57"/>
      <c r="R524" s="57"/>
      <c r="Z524">
        <v>492</v>
      </c>
      <c r="AA524" s="58">
        <v>99.082455851328575</v>
      </c>
      <c r="AB524" s="59">
        <v>3.1435473570660513</v>
      </c>
      <c r="AC524" s="59">
        <v>102.22600320839463</v>
      </c>
      <c r="AD524" s="60">
        <v>95.93890849426252</v>
      </c>
      <c r="AE524" s="61">
        <v>0.27009348578512871</v>
      </c>
      <c r="AF524" s="62">
        <v>2.923927780807475E-2</v>
      </c>
      <c r="AG524" s="62">
        <v>0.29933276359320343</v>
      </c>
      <c r="AH524" s="63">
        <v>0.24085420797705395</v>
      </c>
      <c r="AI524">
        <v>0</v>
      </c>
    </row>
    <row r="525" spans="17:35" x14ac:dyDescent="0.25">
      <c r="Q525" s="57"/>
      <c r="R525" s="57"/>
      <c r="Z525">
        <v>493</v>
      </c>
      <c r="AA525" s="58">
        <v>99.020295273980523</v>
      </c>
      <c r="AB525" s="59">
        <v>3.1422317606562413</v>
      </c>
      <c r="AC525" s="59">
        <v>102.16252703463677</v>
      </c>
      <c r="AD525" s="60">
        <v>95.878063513324278</v>
      </c>
      <c r="AE525" s="61">
        <v>0.26993465522911941</v>
      </c>
      <c r="AF525" s="62">
        <v>2.9345677542018212E-2</v>
      </c>
      <c r="AG525" s="62">
        <v>0.29928033277113764</v>
      </c>
      <c r="AH525" s="63">
        <v>0.24058897768710119</v>
      </c>
      <c r="AI525">
        <v>0</v>
      </c>
    </row>
    <row r="526" spans="17:35" x14ac:dyDescent="0.25">
      <c r="Q526" s="57"/>
      <c r="R526" s="57"/>
      <c r="Z526">
        <v>494</v>
      </c>
      <c r="AA526" s="58">
        <v>98.962549636257094</v>
      </c>
      <c r="AB526" s="59">
        <v>3.1504577376043659</v>
      </c>
      <c r="AC526" s="59">
        <v>102.11300737386146</v>
      </c>
      <c r="AD526" s="60">
        <v>95.812091898652724</v>
      </c>
      <c r="AE526" s="61">
        <v>0.26978420348981808</v>
      </c>
      <c r="AF526" s="62">
        <v>2.9419136084005478E-2</v>
      </c>
      <c r="AG526" s="62">
        <v>0.29920333957382356</v>
      </c>
      <c r="AH526" s="63">
        <v>0.24036506740581259</v>
      </c>
      <c r="AI526">
        <v>0</v>
      </c>
    </row>
    <row r="527" spans="17:35" x14ac:dyDescent="0.25">
      <c r="Q527" s="57"/>
      <c r="R527" s="57"/>
      <c r="Z527">
        <v>495</v>
      </c>
      <c r="AA527" s="58">
        <v>98.905419733158951</v>
      </c>
      <c r="AB527" s="59">
        <v>3.1783862096483833</v>
      </c>
      <c r="AC527" s="59">
        <v>102.08380594280733</v>
      </c>
      <c r="AD527" s="60">
        <v>95.72703352351057</v>
      </c>
      <c r="AE527" s="61">
        <v>0.26963424377246964</v>
      </c>
      <c r="AF527" s="62">
        <v>2.9495557662472797E-2</v>
      </c>
      <c r="AG527" s="62">
        <v>0.29912980143494244</v>
      </c>
      <c r="AH527" s="63">
        <v>0.24013868610999684</v>
      </c>
      <c r="AI527">
        <v>0</v>
      </c>
    </row>
    <row r="528" spans="17:35" x14ac:dyDescent="0.25">
      <c r="Q528" s="57"/>
      <c r="R528" s="57"/>
      <c r="Z528">
        <v>496</v>
      </c>
      <c r="AA528" s="58">
        <v>98.827835718807208</v>
      </c>
      <c r="AB528" s="59">
        <v>3.2460172248124262</v>
      </c>
      <c r="AC528" s="59">
        <v>102.07385294361963</v>
      </c>
      <c r="AD528" s="60">
        <v>95.581818493994788</v>
      </c>
      <c r="AE528" s="61">
        <v>0.26942267524898511</v>
      </c>
      <c r="AF528" s="62">
        <v>2.9544806886365852E-2</v>
      </c>
      <c r="AG528" s="62">
        <v>0.29896748213535096</v>
      </c>
      <c r="AH528" s="63">
        <v>0.23987786836261926</v>
      </c>
      <c r="AI528">
        <v>0</v>
      </c>
    </row>
    <row r="529" spans="17:35" x14ac:dyDescent="0.25">
      <c r="Q529" s="57"/>
      <c r="R529" s="57"/>
      <c r="Z529">
        <v>497</v>
      </c>
      <c r="AA529" s="58">
        <v>98.737910193735232</v>
      </c>
      <c r="AB529" s="59">
        <v>3.3281523942490954</v>
      </c>
      <c r="AC529" s="59">
        <v>102.06606258798433</v>
      </c>
      <c r="AD529" s="60">
        <v>95.40975779948613</v>
      </c>
      <c r="AE529" s="61">
        <v>0.26917785097000496</v>
      </c>
      <c r="AF529" s="62">
        <v>2.9608868075717124E-2</v>
      </c>
      <c r="AG529" s="62">
        <v>0.29878671904572207</v>
      </c>
      <c r="AH529" s="63">
        <v>0.23956898289428785</v>
      </c>
      <c r="AI529">
        <v>0</v>
      </c>
    </row>
    <row r="530" spans="17:35" x14ac:dyDescent="0.25">
      <c r="Q530" s="57"/>
      <c r="R530" s="57"/>
      <c r="Z530">
        <v>498</v>
      </c>
      <c r="AA530" s="58">
        <v>98.635307852085816</v>
      </c>
      <c r="AB530" s="59">
        <v>3.3891561983646921</v>
      </c>
      <c r="AC530" s="59">
        <v>102.0244640504505</v>
      </c>
      <c r="AD530" s="60">
        <v>95.246151653721128</v>
      </c>
      <c r="AE530" s="61">
        <v>0.26890219587600966</v>
      </c>
      <c r="AF530" s="62">
        <v>2.9692272154582464E-2</v>
      </c>
      <c r="AG530" s="62">
        <v>0.29859446803059214</v>
      </c>
      <c r="AH530" s="63">
        <v>0.23920992372142719</v>
      </c>
      <c r="AI530">
        <v>0</v>
      </c>
    </row>
    <row r="531" spans="17:35" x14ac:dyDescent="0.25">
      <c r="Q531" s="57"/>
      <c r="R531" s="57"/>
      <c r="Z531">
        <v>499</v>
      </c>
      <c r="AA531" s="58">
        <v>98.529064416464038</v>
      </c>
      <c r="AB531" s="59">
        <v>3.4539028778022556</v>
      </c>
      <c r="AC531" s="59">
        <v>101.98296729426629</v>
      </c>
      <c r="AD531" s="60">
        <v>95.075161538661789</v>
      </c>
      <c r="AE531" s="61">
        <v>0.26861542908849062</v>
      </c>
      <c r="AF531" s="62">
        <v>2.9767858476045732E-2</v>
      </c>
      <c r="AG531" s="62">
        <v>0.29838328756453636</v>
      </c>
      <c r="AH531" s="63">
        <v>0.23884757061244488</v>
      </c>
      <c r="AI531">
        <v>0</v>
      </c>
    </row>
    <row r="532" spans="17:35" x14ac:dyDescent="0.25">
      <c r="Q532" s="57"/>
      <c r="R532" s="57"/>
      <c r="Z532">
        <v>500</v>
      </c>
      <c r="AA532" s="58">
        <v>98.413180908325899</v>
      </c>
      <c r="AB532" s="59">
        <v>3.5295123909066985</v>
      </c>
      <c r="AC532" s="59">
        <v>101.9426932992326</v>
      </c>
      <c r="AD532" s="60">
        <v>94.883668517419196</v>
      </c>
      <c r="AE532" s="61">
        <v>0.26830002982661572</v>
      </c>
      <c r="AF532" s="62">
        <v>2.9830554755432302E-2</v>
      </c>
      <c r="AG532" s="62">
        <v>0.298130584582048</v>
      </c>
      <c r="AH532" s="63">
        <v>0.23846947507118341</v>
      </c>
      <c r="AI532">
        <v>0</v>
      </c>
    </row>
    <row r="533" spans="17:35" x14ac:dyDescent="0.25">
      <c r="Q533" s="57"/>
      <c r="R533" s="57"/>
      <c r="Z533">
        <v>501</v>
      </c>
      <c r="AA533" s="58">
        <v>98.269613310182123</v>
      </c>
      <c r="AB533" s="59">
        <v>3.5582435075577599</v>
      </c>
      <c r="AC533" s="59">
        <v>101.82785681773989</v>
      </c>
      <c r="AD533" s="60">
        <v>94.711369802624361</v>
      </c>
      <c r="AE533" s="61">
        <v>0.26791411903401535</v>
      </c>
      <c r="AF533" s="62">
        <v>2.9904261218021994E-2</v>
      </c>
      <c r="AG533" s="62">
        <v>0.29781838025203733</v>
      </c>
      <c r="AH533" s="63">
        <v>0.23800985781599335</v>
      </c>
      <c r="AI533">
        <v>0</v>
      </c>
    </row>
    <row r="534" spans="17:35" x14ac:dyDescent="0.25">
      <c r="Q534" s="57"/>
      <c r="R534" s="57"/>
      <c r="Z534">
        <v>502</v>
      </c>
      <c r="AA534" s="58">
        <v>98.090665020440312</v>
      </c>
      <c r="AB534" s="59">
        <v>3.578460265568427</v>
      </c>
      <c r="AC534" s="59">
        <v>101.66912528600874</v>
      </c>
      <c r="AD534" s="60">
        <v>94.512204754871888</v>
      </c>
      <c r="AE534" s="61">
        <v>0.26744036762839113</v>
      </c>
      <c r="AF534" s="62">
        <v>3.0052487603607896E-2</v>
      </c>
      <c r="AG534" s="62">
        <v>0.29749285523199903</v>
      </c>
      <c r="AH534" s="63">
        <v>0.23738788002478323</v>
      </c>
      <c r="AI534">
        <v>0</v>
      </c>
    </row>
    <row r="535" spans="17:35" x14ac:dyDescent="0.25">
      <c r="Q535" s="57"/>
      <c r="R535" s="57"/>
      <c r="Z535">
        <v>503</v>
      </c>
      <c r="AA535" s="58">
        <v>97.842137519782696</v>
      </c>
      <c r="AB535" s="59">
        <v>3.6658928357856166</v>
      </c>
      <c r="AC535" s="59">
        <v>101.50803035556831</v>
      </c>
      <c r="AD535" s="60">
        <v>94.176244683997083</v>
      </c>
      <c r="AE535" s="61">
        <v>0.26678646512980086</v>
      </c>
      <c r="AF535" s="62">
        <v>3.034242184306615E-2</v>
      </c>
      <c r="AG535" s="62">
        <v>0.29712888697286699</v>
      </c>
      <c r="AH535" s="63">
        <v>0.23644404328673471</v>
      </c>
      <c r="AI535">
        <v>0</v>
      </c>
    </row>
    <row r="536" spans="17:35" x14ac:dyDescent="0.25">
      <c r="Q536" s="57"/>
      <c r="R536" s="57"/>
      <c r="Z536">
        <v>504</v>
      </c>
      <c r="AA536" s="58">
        <v>97.557221036238275</v>
      </c>
      <c r="AB536" s="59">
        <v>3.7561105587831074</v>
      </c>
      <c r="AC536" s="59">
        <v>101.31333159502138</v>
      </c>
      <c r="AD536" s="60">
        <v>93.801110477455168</v>
      </c>
      <c r="AE536" s="61">
        <v>0.26603871342877261</v>
      </c>
      <c r="AF536" s="62">
        <v>3.0681605966951291E-2</v>
      </c>
      <c r="AG536" s="62">
        <v>0.29672031939572391</v>
      </c>
      <c r="AH536" s="63">
        <v>0.23535710746182131</v>
      </c>
      <c r="AI536">
        <v>0</v>
      </c>
    </row>
    <row r="537" spans="17:35" x14ac:dyDescent="0.25">
      <c r="Q537" s="57"/>
      <c r="R537" s="57"/>
      <c r="Z537">
        <v>505</v>
      </c>
      <c r="AA537" s="58">
        <v>97.273364868631404</v>
      </c>
      <c r="AB537" s="59">
        <v>3.8268454491894679</v>
      </c>
      <c r="AC537" s="59">
        <v>101.10021031782087</v>
      </c>
      <c r="AD537" s="60">
        <v>93.446519419441941</v>
      </c>
      <c r="AE537" s="61">
        <v>0.26528865185606093</v>
      </c>
      <c r="AF537" s="62">
        <v>3.0952845941481993E-2</v>
      </c>
      <c r="AG537" s="62">
        <v>0.29624149779754294</v>
      </c>
      <c r="AH537" s="63">
        <v>0.23433580591457895</v>
      </c>
      <c r="AI537">
        <v>0</v>
      </c>
    </row>
    <row r="538" spans="17:35" x14ac:dyDescent="0.25">
      <c r="Q538" s="57"/>
      <c r="R538" s="57"/>
      <c r="Z538">
        <v>506</v>
      </c>
      <c r="AA538" s="58">
        <v>96.914560034044712</v>
      </c>
      <c r="AB538" s="59">
        <v>3.8375785636088184</v>
      </c>
      <c r="AC538" s="59">
        <v>100.75213859765353</v>
      </c>
      <c r="AD538" s="60">
        <v>93.076981470435896</v>
      </c>
      <c r="AE538" s="61">
        <v>0.26433996743396415</v>
      </c>
      <c r="AF538" s="62">
        <v>3.1200343059970579E-2</v>
      </c>
      <c r="AG538" s="62">
        <v>0.29554031049393475</v>
      </c>
      <c r="AH538" s="63">
        <v>0.23313962437399358</v>
      </c>
      <c r="AI538">
        <v>0</v>
      </c>
    </row>
    <row r="539" spans="17:35" x14ac:dyDescent="0.25">
      <c r="Q539" s="57"/>
      <c r="R539" s="57"/>
      <c r="Z539">
        <v>507</v>
      </c>
      <c r="AA539" s="58">
        <v>96.606744106062578</v>
      </c>
      <c r="AB539" s="59">
        <v>3.9598109285707892</v>
      </c>
      <c r="AC539" s="59">
        <v>100.56655503463337</v>
      </c>
      <c r="AD539" s="60">
        <v>92.646933177491789</v>
      </c>
      <c r="AE539" s="61">
        <v>0.26351880207819262</v>
      </c>
      <c r="AF539" s="62">
        <v>3.1436108783332833E-2</v>
      </c>
      <c r="AG539" s="62">
        <v>0.29495491086152548</v>
      </c>
      <c r="AH539" s="63">
        <v>0.23208269329485978</v>
      </c>
      <c r="AI539">
        <v>0</v>
      </c>
    </row>
    <row r="540" spans="17:35" x14ac:dyDescent="0.25">
      <c r="Q540" s="57"/>
      <c r="R540" s="57"/>
      <c r="Z540">
        <v>508</v>
      </c>
      <c r="AA540" s="58">
        <v>96.264083784069783</v>
      </c>
      <c r="AB540" s="59">
        <v>4.107890157430889</v>
      </c>
      <c r="AC540" s="59">
        <v>100.37197394150067</v>
      </c>
      <c r="AD540" s="60">
        <v>92.156193626638895</v>
      </c>
      <c r="AE540" s="61">
        <v>0.26260757716615796</v>
      </c>
      <c r="AF540" s="62">
        <v>3.1739095163237176E-2</v>
      </c>
      <c r="AG540" s="62">
        <v>0.29434667232939515</v>
      </c>
      <c r="AH540" s="63">
        <v>0.23086848200292079</v>
      </c>
      <c r="AI540">
        <v>0</v>
      </c>
    </row>
    <row r="541" spans="17:35" x14ac:dyDescent="0.25">
      <c r="Q541" s="57"/>
      <c r="R541" s="57"/>
      <c r="Z541">
        <v>509</v>
      </c>
      <c r="AA541" s="58">
        <v>95.905556441568265</v>
      </c>
      <c r="AB541" s="59">
        <v>4.2576808610023367</v>
      </c>
      <c r="AC541" s="59">
        <v>100.16323730257061</v>
      </c>
      <c r="AD541" s="60">
        <v>91.647875580565923</v>
      </c>
      <c r="AE541" s="61">
        <v>0.26165372025528089</v>
      </c>
      <c r="AF541" s="62">
        <v>3.2050737132651198E-2</v>
      </c>
      <c r="AG541" s="62">
        <v>0.29370445738793211</v>
      </c>
      <c r="AH541" s="63">
        <v>0.22960298312262969</v>
      </c>
      <c r="AI541">
        <v>0</v>
      </c>
    </row>
    <row r="542" spans="17:35" x14ac:dyDescent="0.25">
      <c r="Q542" s="57"/>
      <c r="R542" s="57"/>
      <c r="Z542">
        <v>510</v>
      </c>
      <c r="AA542" s="58">
        <v>95.502580524736643</v>
      </c>
      <c r="AB542" s="59">
        <v>4.4572986687969358</v>
      </c>
      <c r="AC542" s="59">
        <v>99.959879193533581</v>
      </c>
      <c r="AD542" s="60">
        <v>91.045281855939706</v>
      </c>
      <c r="AE542" s="61">
        <v>0.26057339640130511</v>
      </c>
      <c r="AF542" s="62">
        <v>3.2366528630444064E-2</v>
      </c>
      <c r="AG542" s="62">
        <v>0.29293992503174915</v>
      </c>
      <c r="AH542" s="63">
        <v>0.22820686777086105</v>
      </c>
      <c r="AI542">
        <v>0</v>
      </c>
    </row>
    <row r="543" spans="17:35" x14ac:dyDescent="0.25">
      <c r="Q543" s="57"/>
      <c r="R543" s="57"/>
      <c r="Z543">
        <v>511</v>
      </c>
      <c r="AA543" s="58">
        <v>95.16880413769394</v>
      </c>
      <c r="AB543" s="59">
        <v>4.6376139508186176</v>
      </c>
      <c r="AC543" s="59">
        <v>99.806418088512558</v>
      </c>
      <c r="AD543" s="60">
        <v>90.531190186875321</v>
      </c>
      <c r="AE543" s="61">
        <v>0.25968335716576257</v>
      </c>
      <c r="AF543" s="62">
        <v>3.2683862928903795E-2</v>
      </c>
      <c r="AG543" s="62">
        <v>0.29236722009466637</v>
      </c>
      <c r="AH543" s="63">
        <v>0.22699949423685878</v>
      </c>
      <c r="AI543">
        <v>0</v>
      </c>
    </row>
    <row r="544" spans="17:35" x14ac:dyDescent="0.25">
      <c r="Q544" s="57"/>
      <c r="R544" s="57"/>
      <c r="Z544">
        <v>512</v>
      </c>
      <c r="AA544" s="58">
        <v>94.877835543657213</v>
      </c>
      <c r="AB544" s="59">
        <v>4.8000235996734606</v>
      </c>
      <c r="AC544" s="59">
        <v>99.677859143330679</v>
      </c>
      <c r="AD544" s="60">
        <v>90.077811943983747</v>
      </c>
      <c r="AE544" s="61">
        <v>0.25890844225685972</v>
      </c>
      <c r="AF544" s="62">
        <v>3.2978598414117981E-2</v>
      </c>
      <c r="AG544" s="62">
        <v>0.2918870406709777</v>
      </c>
      <c r="AH544" s="63">
        <v>0.22592984384274173</v>
      </c>
      <c r="AI544">
        <v>0</v>
      </c>
    </row>
    <row r="545" spans="17:35" x14ac:dyDescent="0.25">
      <c r="Q545" s="57"/>
      <c r="R545" s="57"/>
      <c r="Z545">
        <v>513</v>
      </c>
      <c r="AA545" s="58">
        <v>94.490615552653082</v>
      </c>
      <c r="AB545" s="59">
        <v>5.0294883198323097</v>
      </c>
      <c r="AC545" s="59">
        <v>99.520103872485393</v>
      </c>
      <c r="AD545" s="60">
        <v>89.461127232820772</v>
      </c>
      <c r="AE545" s="61">
        <v>0.25787843636589952</v>
      </c>
      <c r="AF545" s="62">
        <v>3.340638663658746E-2</v>
      </c>
      <c r="AG545" s="62">
        <v>0.29128482300248698</v>
      </c>
      <c r="AH545" s="63">
        <v>0.22447204972931206</v>
      </c>
      <c r="AI545">
        <v>0</v>
      </c>
    </row>
    <row r="546" spans="17:35" x14ac:dyDescent="0.25">
      <c r="Q546" s="57"/>
      <c r="R546" s="57"/>
      <c r="Z546">
        <v>514</v>
      </c>
      <c r="AA546" s="58">
        <v>94.103432550902752</v>
      </c>
      <c r="AB546" s="59">
        <v>5.263255985409323</v>
      </c>
      <c r="AC546" s="59">
        <v>99.366688536312068</v>
      </c>
      <c r="AD546" s="60">
        <v>88.840176565493437</v>
      </c>
      <c r="AE546" s="61">
        <v>0.25683956894319732</v>
      </c>
      <c r="AF546" s="62">
        <v>3.3773854744306289E-2</v>
      </c>
      <c r="AG546" s="62">
        <v>0.29061342368750359</v>
      </c>
      <c r="AH546" s="63">
        <v>0.22306571419889104</v>
      </c>
      <c r="AI546">
        <v>0</v>
      </c>
    </row>
    <row r="547" spans="17:35" x14ac:dyDescent="0.25">
      <c r="Q547" s="57"/>
      <c r="R547" s="57"/>
      <c r="Z547">
        <v>515</v>
      </c>
      <c r="AA547" s="58">
        <v>93.804786177693629</v>
      </c>
      <c r="AB547" s="59">
        <v>5.4549420091362535</v>
      </c>
      <c r="AC547" s="59">
        <v>99.259728186829875</v>
      </c>
      <c r="AD547" s="60">
        <v>88.349844168557382</v>
      </c>
      <c r="AE547" s="61">
        <v>0.25603120994245926</v>
      </c>
      <c r="AF547" s="62">
        <v>3.4016453670368381E-2</v>
      </c>
      <c r="AG547" s="62">
        <v>0.29004766361282763</v>
      </c>
      <c r="AH547" s="63">
        <v>0.22201475627209089</v>
      </c>
      <c r="AI547">
        <v>0</v>
      </c>
    </row>
    <row r="548" spans="17:35" x14ac:dyDescent="0.25">
      <c r="Q548" s="57"/>
      <c r="R548" s="57"/>
      <c r="Z548">
        <v>516</v>
      </c>
      <c r="AA548" s="58">
        <v>93.524834994546268</v>
      </c>
      <c r="AB548" s="59">
        <v>5.6174453479901514</v>
      </c>
      <c r="AC548" s="59">
        <v>99.142280342536424</v>
      </c>
      <c r="AD548" s="60">
        <v>87.907389646556112</v>
      </c>
      <c r="AE548" s="61">
        <v>0.25528048037881129</v>
      </c>
      <c r="AF548" s="62">
        <v>3.4283031004836949E-2</v>
      </c>
      <c r="AG548" s="62">
        <v>0.28956351138364822</v>
      </c>
      <c r="AH548" s="63">
        <v>0.22099744937397434</v>
      </c>
      <c r="AI548">
        <v>0</v>
      </c>
    </row>
    <row r="549" spans="17:35" x14ac:dyDescent="0.25">
      <c r="Q549" s="57"/>
      <c r="R549" s="57"/>
      <c r="Z549">
        <v>517</v>
      </c>
      <c r="AA549" s="58">
        <v>93.16647808583258</v>
      </c>
      <c r="AB549" s="59">
        <v>5.8500539492145052</v>
      </c>
      <c r="AC549" s="59">
        <v>99.016532035047078</v>
      </c>
      <c r="AD549" s="60">
        <v>87.316424136618082</v>
      </c>
      <c r="AE549" s="61">
        <v>0.25432753741229719</v>
      </c>
      <c r="AF549" s="62">
        <v>3.4722728180812214E-2</v>
      </c>
      <c r="AG549" s="62">
        <v>0.28905026559310942</v>
      </c>
      <c r="AH549" s="63">
        <v>0.21960480923148498</v>
      </c>
      <c r="AI549">
        <v>0</v>
      </c>
    </row>
    <row r="550" spans="17:35" x14ac:dyDescent="0.25">
      <c r="Q550" s="57"/>
      <c r="R550" s="57"/>
      <c r="Z550">
        <v>518</v>
      </c>
      <c r="AA550" s="58">
        <v>92.778649839865523</v>
      </c>
      <c r="AB550" s="59">
        <v>6.0972403262174844</v>
      </c>
      <c r="AC550" s="59">
        <v>98.875890166083011</v>
      </c>
      <c r="AD550" s="60">
        <v>86.681409513648035</v>
      </c>
      <c r="AE550" s="61">
        <v>0.25328839664171171</v>
      </c>
      <c r="AF550" s="62">
        <v>3.5143804696684412E-2</v>
      </c>
      <c r="AG550" s="62">
        <v>0.28843220133839614</v>
      </c>
      <c r="AH550" s="63">
        <v>0.21814459194502731</v>
      </c>
      <c r="AI550">
        <v>0</v>
      </c>
    </row>
    <row r="551" spans="17:35" x14ac:dyDescent="0.25">
      <c r="Q551" s="57"/>
      <c r="R551" s="57"/>
      <c r="Z551">
        <v>519</v>
      </c>
      <c r="AA551" s="58">
        <v>92.529756867655195</v>
      </c>
      <c r="AB551" s="59">
        <v>6.2153567460796424</v>
      </c>
      <c r="AC551" s="59">
        <v>98.745113613734844</v>
      </c>
      <c r="AD551" s="60">
        <v>86.314400121575545</v>
      </c>
      <c r="AE551" s="61">
        <v>0.25261712413347731</v>
      </c>
      <c r="AF551" s="62">
        <v>3.5330715753922118E-2</v>
      </c>
      <c r="AG551" s="62">
        <v>0.28794783988739941</v>
      </c>
      <c r="AH551" s="63">
        <v>0.21728640837955521</v>
      </c>
      <c r="AI551">
        <v>0</v>
      </c>
    </row>
    <row r="552" spans="17:35" x14ac:dyDescent="0.25">
      <c r="Q552" s="57"/>
      <c r="R552" s="57"/>
      <c r="Z552">
        <v>520</v>
      </c>
      <c r="AA552" s="58">
        <v>92.350339729854298</v>
      </c>
      <c r="AB552" s="59">
        <v>6.2993945937928881</v>
      </c>
      <c r="AC552" s="59">
        <v>98.649734323647181</v>
      </c>
      <c r="AD552" s="60">
        <v>86.050945136061415</v>
      </c>
      <c r="AE552" s="61">
        <v>0.25212941492589419</v>
      </c>
      <c r="AF552" s="62">
        <v>3.5433813667156019E-2</v>
      </c>
      <c r="AG552" s="62">
        <v>0.28756322859305022</v>
      </c>
      <c r="AH552" s="63">
        <v>0.21669560125873816</v>
      </c>
      <c r="AI552">
        <v>0</v>
      </c>
    </row>
    <row r="553" spans="17:35" x14ac:dyDescent="0.25">
      <c r="Q553" s="57"/>
      <c r="R553" s="57"/>
      <c r="Z553">
        <v>521</v>
      </c>
      <c r="AA553" s="58">
        <v>92.144313569559628</v>
      </c>
      <c r="AB553" s="59">
        <v>6.4702351598009056</v>
      </c>
      <c r="AC553" s="59">
        <v>98.614548729360536</v>
      </c>
      <c r="AD553" s="60">
        <v>85.674078409758721</v>
      </c>
      <c r="AE553" s="61">
        <v>0.25156646591939374</v>
      </c>
      <c r="AF553" s="62">
        <v>3.5628495066421143E-2</v>
      </c>
      <c r="AG553" s="62">
        <v>0.28719496098581487</v>
      </c>
      <c r="AH553" s="63">
        <v>0.21593797085297262</v>
      </c>
      <c r="AI553">
        <v>0</v>
      </c>
    </row>
    <row r="554" spans="17:35" x14ac:dyDescent="0.25">
      <c r="Q554" s="57"/>
      <c r="R554" s="57"/>
      <c r="Z554">
        <v>522</v>
      </c>
      <c r="AA554" s="58">
        <v>91.952982882848687</v>
      </c>
      <c r="AB554" s="59">
        <v>6.6239179910269259</v>
      </c>
      <c r="AC554" s="59">
        <v>98.576900873875616</v>
      </c>
      <c r="AD554" s="60">
        <v>85.329064891821758</v>
      </c>
      <c r="AE554" s="61">
        <v>0.25103674725448505</v>
      </c>
      <c r="AF554" s="62">
        <v>3.5759315715414609E-2</v>
      </c>
      <c r="AG554" s="62">
        <v>0.28679606296989968</v>
      </c>
      <c r="AH554" s="63">
        <v>0.21527743153907045</v>
      </c>
      <c r="AI554">
        <v>0</v>
      </c>
    </row>
    <row r="555" spans="17:35" x14ac:dyDescent="0.25">
      <c r="Q555" s="57"/>
      <c r="R555" s="57"/>
      <c r="Z555">
        <v>523</v>
      </c>
      <c r="AA555" s="58">
        <v>91.809842776137728</v>
      </c>
      <c r="AB555" s="59">
        <v>6.7354278833921839</v>
      </c>
      <c r="AC555" s="59">
        <v>98.545270659529905</v>
      </c>
      <c r="AD555" s="60">
        <v>85.074414892745551</v>
      </c>
      <c r="AE555" s="61">
        <v>0.25064086246037437</v>
      </c>
      <c r="AF555" s="62">
        <v>3.5852925765339681E-2</v>
      </c>
      <c r="AG555" s="62">
        <v>0.28649378822571403</v>
      </c>
      <c r="AH555" s="63">
        <v>0.21478793669503468</v>
      </c>
      <c r="AI555">
        <v>0</v>
      </c>
    </row>
    <row r="556" spans="17:35" x14ac:dyDescent="0.25">
      <c r="Q556" s="57"/>
      <c r="R556" s="57"/>
      <c r="Z556">
        <v>524</v>
      </c>
      <c r="AA556" s="58">
        <v>91.628164572331869</v>
      </c>
      <c r="AB556" s="59">
        <v>6.9046733121942809</v>
      </c>
      <c r="AC556" s="59">
        <v>98.532837884526145</v>
      </c>
      <c r="AD556" s="60">
        <v>84.723491260137592</v>
      </c>
      <c r="AE556" s="61">
        <v>0.25013909941320395</v>
      </c>
      <c r="AF556" s="62">
        <v>3.6023223822764176E-2</v>
      </c>
      <c r="AG556" s="62">
        <v>0.28616232323596813</v>
      </c>
      <c r="AH556" s="63">
        <v>0.21411587559043976</v>
      </c>
      <c r="AI556">
        <v>0</v>
      </c>
    </row>
    <row r="557" spans="17:35" x14ac:dyDescent="0.25">
      <c r="Q557" s="57"/>
      <c r="R557" s="57"/>
      <c r="Z557">
        <v>525</v>
      </c>
      <c r="AA557" s="58">
        <v>91.41158981593361</v>
      </c>
      <c r="AB557" s="59">
        <v>7.1309636128537965</v>
      </c>
      <c r="AC557" s="59">
        <v>98.5425534287874</v>
      </c>
      <c r="AD557" s="60">
        <v>84.280626203079819</v>
      </c>
      <c r="AE557" s="61">
        <v>0.24954179488046876</v>
      </c>
      <c r="AF557" s="62">
        <v>3.6274463923306535E-2</v>
      </c>
      <c r="AG557" s="62">
        <v>0.28581625880377531</v>
      </c>
      <c r="AH557" s="63">
        <v>0.21326733095716222</v>
      </c>
      <c r="AI557">
        <v>0</v>
      </c>
    </row>
    <row r="558" spans="17:35" x14ac:dyDescent="0.25">
      <c r="Q558" s="57"/>
      <c r="R558" s="57"/>
      <c r="Z558">
        <v>526</v>
      </c>
      <c r="AA558" s="58">
        <v>91.220503079402519</v>
      </c>
      <c r="AB558" s="59">
        <v>7.2779125719521121</v>
      </c>
      <c r="AC558" s="59">
        <v>98.498415651354634</v>
      </c>
      <c r="AD558" s="60">
        <v>83.942590507450404</v>
      </c>
      <c r="AE558" s="61">
        <v>0.24901315531247839</v>
      </c>
      <c r="AF558" s="62">
        <v>3.6390530946772505E-2</v>
      </c>
      <c r="AG558" s="62">
        <v>0.28540368625925089</v>
      </c>
      <c r="AH558" s="63">
        <v>0.21262262436570589</v>
      </c>
      <c r="AI558">
        <v>0</v>
      </c>
    </row>
    <row r="559" spans="17:35" x14ac:dyDescent="0.25">
      <c r="Q559" s="57"/>
      <c r="R559" s="57"/>
      <c r="Z559">
        <v>527</v>
      </c>
      <c r="AA559" s="58">
        <v>91.05679562499698</v>
      </c>
      <c r="AB559" s="59">
        <v>7.3526591221515138</v>
      </c>
      <c r="AC559" s="59">
        <v>98.409454747148487</v>
      </c>
      <c r="AD559" s="60">
        <v>83.704136502845472</v>
      </c>
      <c r="AE559" s="61">
        <v>0.24854170642172244</v>
      </c>
      <c r="AF559" s="62">
        <v>3.6245307328258251E-2</v>
      </c>
      <c r="AG559" s="62">
        <v>0.28478701374998067</v>
      </c>
      <c r="AH559" s="63">
        <v>0.21229639909346418</v>
      </c>
      <c r="AI559">
        <v>0</v>
      </c>
    </row>
    <row r="560" spans="17:35" x14ac:dyDescent="0.25">
      <c r="Q560" s="57"/>
      <c r="R560" s="57"/>
      <c r="Z560">
        <v>528</v>
      </c>
      <c r="AA560" s="58">
        <v>90.86187468097809</v>
      </c>
      <c r="AB560" s="59">
        <v>7.4695451856074531</v>
      </c>
      <c r="AC560" s="59">
        <v>98.331419866585549</v>
      </c>
      <c r="AD560" s="60">
        <v>83.392329495370632</v>
      </c>
      <c r="AE560" s="61">
        <v>0.24797567890921116</v>
      </c>
      <c r="AF560" s="62">
        <v>3.6096321218643174E-2</v>
      </c>
      <c r="AG560" s="62">
        <v>0.28407200012785433</v>
      </c>
      <c r="AH560" s="63">
        <v>0.21187935769056798</v>
      </c>
      <c r="AI560">
        <v>0</v>
      </c>
    </row>
    <row r="561" spans="17:35" x14ac:dyDescent="0.25">
      <c r="Q561" s="57"/>
      <c r="R561" s="57"/>
      <c r="Z561">
        <v>529</v>
      </c>
      <c r="AA561" s="58">
        <v>90.58446446640562</v>
      </c>
      <c r="AB561" s="59">
        <v>7.6485675323432476</v>
      </c>
      <c r="AC561" s="59">
        <v>98.233031998748871</v>
      </c>
      <c r="AD561" s="60">
        <v>82.93589693406237</v>
      </c>
      <c r="AE561" s="61">
        <v>0.24719490363190899</v>
      </c>
      <c r="AF561" s="62">
        <v>3.6116526289467002E-2</v>
      </c>
      <c r="AG561" s="62">
        <v>0.28331142992137598</v>
      </c>
      <c r="AH561" s="63">
        <v>0.211078377342442</v>
      </c>
      <c r="AI561">
        <v>0</v>
      </c>
    </row>
    <row r="562" spans="17:35" x14ac:dyDescent="0.25">
      <c r="Q562" s="57"/>
      <c r="R562" s="57"/>
      <c r="Z562">
        <v>530</v>
      </c>
      <c r="AA562" s="58">
        <v>90.30095412670245</v>
      </c>
      <c r="AB562" s="59">
        <v>7.8214262007450506</v>
      </c>
      <c r="AC562" s="59">
        <v>98.122380327447502</v>
      </c>
      <c r="AD562" s="60">
        <v>82.479527925957399</v>
      </c>
      <c r="AE562" s="61">
        <v>0.246406785197955</v>
      </c>
      <c r="AF562" s="62">
        <v>3.6190354233486911E-2</v>
      </c>
      <c r="AG562" s="62">
        <v>0.28259713943144193</v>
      </c>
      <c r="AH562" s="63">
        <v>0.2102164309644681</v>
      </c>
      <c r="AI562">
        <v>0</v>
      </c>
    </row>
    <row r="563" spans="17:35" x14ac:dyDescent="0.25">
      <c r="Q563" s="57"/>
      <c r="R563" s="57"/>
      <c r="Z563">
        <v>531</v>
      </c>
      <c r="AA563" s="58">
        <v>90.102686402401275</v>
      </c>
      <c r="AB563" s="59">
        <v>7.9396492933327858</v>
      </c>
      <c r="AC563" s="59">
        <v>98.042335695734067</v>
      </c>
      <c r="AD563" s="60">
        <v>82.163037109068483</v>
      </c>
      <c r="AE563" s="61">
        <v>0.24584516562153799</v>
      </c>
      <c r="AF563" s="62">
        <v>3.6147110750941118E-2</v>
      </c>
      <c r="AG563" s="62">
        <v>0.28199227637247909</v>
      </c>
      <c r="AH563" s="63">
        <v>0.20969805487059687</v>
      </c>
      <c r="AI563">
        <v>0</v>
      </c>
    </row>
    <row r="564" spans="17:35" x14ac:dyDescent="0.25">
      <c r="Q564" s="57"/>
      <c r="R564" s="57"/>
      <c r="Z564">
        <v>532</v>
      </c>
      <c r="AA564" s="58">
        <v>89.940274973748288</v>
      </c>
      <c r="AB564" s="59">
        <v>8.0431721911536069</v>
      </c>
      <c r="AC564" s="59">
        <v>97.983447164901889</v>
      </c>
      <c r="AD564" s="60">
        <v>81.897102782594686</v>
      </c>
      <c r="AE564" s="61">
        <v>0.24537870643375878</v>
      </c>
      <c r="AF564" s="62">
        <v>3.6089823603618204E-2</v>
      </c>
      <c r="AG564" s="62">
        <v>0.28146853003737698</v>
      </c>
      <c r="AH564" s="63">
        <v>0.20928888283014058</v>
      </c>
      <c r="AI564">
        <v>0</v>
      </c>
    </row>
    <row r="565" spans="17:35" x14ac:dyDescent="0.25">
      <c r="Q565" s="57"/>
      <c r="R565" s="57"/>
      <c r="Z565">
        <v>533</v>
      </c>
      <c r="AA565" s="58">
        <v>89.763158104918261</v>
      </c>
      <c r="AB565" s="59">
        <v>8.1748038260334575</v>
      </c>
      <c r="AC565" s="59">
        <v>97.937961930951715</v>
      </c>
      <c r="AD565" s="60">
        <v>81.588354278884808</v>
      </c>
      <c r="AE565" s="61">
        <v>0.24486855415388498</v>
      </c>
      <c r="AF565" s="62">
        <v>3.6061258790695494E-2</v>
      </c>
      <c r="AG565" s="62">
        <v>0.28092981294458047</v>
      </c>
      <c r="AH565" s="63">
        <v>0.20880729536318948</v>
      </c>
      <c r="AI565">
        <v>0</v>
      </c>
    </row>
    <row r="566" spans="17:35" x14ac:dyDescent="0.25">
      <c r="Q566" s="57"/>
      <c r="R566" s="57"/>
      <c r="Z566">
        <v>534</v>
      </c>
      <c r="AA566" s="58">
        <v>89.575375913374899</v>
      </c>
      <c r="AB566" s="59">
        <v>8.3137737796160778</v>
      </c>
      <c r="AC566" s="59">
        <v>97.889149692990969</v>
      </c>
      <c r="AD566" s="60">
        <v>81.261602133758828</v>
      </c>
      <c r="AE566" s="61">
        <v>0.24433945086496292</v>
      </c>
      <c r="AF566" s="62">
        <v>3.6109402646268496E-2</v>
      </c>
      <c r="AG566" s="62">
        <v>0.28044885351123139</v>
      </c>
      <c r="AH566" s="63">
        <v>0.20823004821869442</v>
      </c>
      <c r="AI566">
        <v>0</v>
      </c>
    </row>
    <row r="567" spans="17:35" x14ac:dyDescent="0.25">
      <c r="Q567" s="57"/>
      <c r="R567" s="57"/>
      <c r="Z567">
        <v>535</v>
      </c>
      <c r="AA567" s="58">
        <v>89.360784832224283</v>
      </c>
      <c r="AB567" s="59">
        <v>8.4386019063739806</v>
      </c>
      <c r="AC567" s="59">
        <v>97.799386738598258</v>
      </c>
      <c r="AD567" s="60">
        <v>80.922182925850308</v>
      </c>
      <c r="AE567" s="61">
        <v>0.24373602914554218</v>
      </c>
      <c r="AF567" s="62">
        <v>3.6115602876716696E-2</v>
      </c>
      <c r="AG567" s="62">
        <v>0.27985163202225888</v>
      </c>
      <c r="AH567" s="63">
        <v>0.20762042626882549</v>
      </c>
      <c r="AI567">
        <v>9.0405777887957825E-2</v>
      </c>
    </row>
    <row r="568" spans="17:35" x14ac:dyDescent="0.25">
      <c r="Q568" s="57"/>
      <c r="R568" s="57"/>
      <c r="Z568">
        <v>536</v>
      </c>
      <c r="AA568" s="58">
        <v>89.088352510012712</v>
      </c>
      <c r="AB568" s="59">
        <v>8.4866848014316432</v>
      </c>
      <c r="AC568" s="59">
        <v>97.575037311444362</v>
      </c>
      <c r="AD568" s="60">
        <v>80.601667708581061</v>
      </c>
      <c r="AE568" s="61">
        <v>0.24297131420343551</v>
      </c>
      <c r="AF568" s="62">
        <v>3.5958926409979518E-2</v>
      </c>
      <c r="AG568" s="62">
        <v>0.27893024061341504</v>
      </c>
      <c r="AH568" s="63">
        <v>0.20701238779345599</v>
      </c>
      <c r="AI568">
        <v>1.0311430605831737</v>
      </c>
    </row>
    <row r="569" spans="17:35" x14ac:dyDescent="0.25">
      <c r="Q569" s="57"/>
      <c r="R569" s="57"/>
      <c r="Z569">
        <v>537</v>
      </c>
      <c r="AA569" s="58">
        <v>88.90467275107288</v>
      </c>
      <c r="AB569" s="59">
        <v>8.5807692181957851</v>
      </c>
      <c r="AC569" s="59">
        <v>97.485441969268663</v>
      </c>
      <c r="AD569" s="60">
        <v>80.323903532877097</v>
      </c>
      <c r="AE569" s="61">
        <v>0.24244164427169065</v>
      </c>
      <c r="AF569" s="62">
        <v>3.5843668250879465E-2</v>
      </c>
      <c r="AG569" s="62">
        <v>0.27828531252257011</v>
      </c>
      <c r="AH569" s="63">
        <v>0.2065979760208112</v>
      </c>
      <c r="AI569">
        <v>2.181352201874375</v>
      </c>
    </row>
    <row r="570" spans="17:35" x14ac:dyDescent="0.25">
      <c r="Q570" s="57"/>
      <c r="R570" s="57"/>
      <c r="Z570">
        <v>538</v>
      </c>
      <c r="AA570" s="58">
        <v>88.72278205823676</v>
      </c>
      <c r="AB570" s="59">
        <v>8.7120669096392369</v>
      </c>
      <c r="AC570" s="59">
        <v>97.434848967875993</v>
      </c>
      <c r="AD570" s="60">
        <v>80.010715148597527</v>
      </c>
      <c r="AE570" s="61">
        <v>0.24192955329770868</v>
      </c>
      <c r="AF570" s="62">
        <v>3.5901044366020915E-2</v>
      </c>
      <c r="AG570" s="62">
        <v>0.27783059766372958</v>
      </c>
      <c r="AH570" s="63">
        <v>0.20602850893168778</v>
      </c>
      <c r="AI570">
        <v>3.3315613431655757</v>
      </c>
    </row>
    <row r="571" spans="17:35" x14ac:dyDescent="0.25">
      <c r="Q571" s="57"/>
      <c r="R571" s="57"/>
      <c r="Z571">
        <v>539</v>
      </c>
      <c r="AA571" s="58">
        <v>88.517029352209747</v>
      </c>
      <c r="AB571" s="59">
        <v>8.8636448401924692</v>
      </c>
      <c r="AC571" s="59">
        <v>97.380674192402211</v>
      </c>
      <c r="AD571" s="60">
        <v>79.653384512017283</v>
      </c>
      <c r="AE571" s="61">
        <v>0.24135491434825659</v>
      </c>
      <c r="AF571" s="62">
        <v>3.6016821060482464E-2</v>
      </c>
      <c r="AG571" s="62">
        <v>0.27737173540873905</v>
      </c>
      <c r="AH571" s="63">
        <v>0.20533809328777414</v>
      </c>
      <c r="AI571">
        <v>4.4817704844567769</v>
      </c>
    </row>
    <row r="572" spans="17:35" x14ac:dyDescent="0.25">
      <c r="Q572" s="57"/>
      <c r="R572" s="57"/>
      <c r="Z572">
        <v>540</v>
      </c>
      <c r="AA572" s="58">
        <v>88.30302934368224</v>
      </c>
      <c r="AB572" s="59">
        <v>9.010189361051534</v>
      </c>
      <c r="AC572" s="59">
        <v>97.313218704733771</v>
      </c>
      <c r="AD572" s="60">
        <v>79.29283998263071</v>
      </c>
      <c r="AE572" s="61">
        <v>0.24075215977337272</v>
      </c>
      <c r="AF572" s="62">
        <v>3.6094554756082427E-2</v>
      </c>
      <c r="AG572" s="62">
        <v>0.27684671452945514</v>
      </c>
      <c r="AH572" s="63">
        <v>0.2046576050172903</v>
      </c>
      <c r="AI572">
        <v>5.6319796257479782</v>
      </c>
    </row>
    <row r="573" spans="17:35" x14ac:dyDescent="0.25">
      <c r="Q573" s="57"/>
      <c r="R573" s="57"/>
      <c r="Z573">
        <v>541</v>
      </c>
      <c r="AA573" s="58">
        <v>88.094055447789188</v>
      </c>
      <c r="AB573" s="59">
        <v>9.1268153583412488</v>
      </c>
      <c r="AC573" s="59">
        <v>97.220870806130435</v>
      </c>
      <c r="AD573" s="60">
        <v>78.967240089447941</v>
      </c>
      <c r="AE573" s="61">
        <v>0.24015697703453356</v>
      </c>
      <c r="AF573" s="62">
        <v>3.6056295294252472E-2</v>
      </c>
      <c r="AG573" s="62">
        <v>0.27621327232878601</v>
      </c>
      <c r="AH573" s="63">
        <v>0.20410068174028109</v>
      </c>
      <c r="AI573">
        <v>6.8017659798103542</v>
      </c>
    </row>
    <row r="574" spans="17:35" x14ac:dyDescent="0.25">
      <c r="Q574" s="57"/>
      <c r="R574" s="57"/>
      <c r="Z574">
        <v>542</v>
      </c>
      <c r="AA574" s="58">
        <v>87.90618754932477</v>
      </c>
      <c r="AB574" s="59">
        <v>9.2078233576674098</v>
      </c>
      <c r="AC574" s="59">
        <v>97.114010906992178</v>
      </c>
      <c r="AD574" s="60">
        <v>78.698364191657362</v>
      </c>
      <c r="AE574" s="61">
        <v>0.23962044856726059</v>
      </c>
      <c r="AF574" s="62">
        <v>3.5956970241250358E-2</v>
      </c>
      <c r="AG574" s="62">
        <v>0.27557741880851094</v>
      </c>
      <c r="AH574" s="63">
        <v>0.20366347832601023</v>
      </c>
      <c r="AI574">
        <v>8.7933600063314845</v>
      </c>
    </row>
    <row r="575" spans="17:35" x14ac:dyDescent="0.25">
      <c r="Q575" s="57"/>
      <c r="R575" s="57"/>
      <c r="Z575">
        <v>543</v>
      </c>
      <c r="AA575" s="58">
        <v>87.688758146363043</v>
      </c>
      <c r="AB575" s="59">
        <v>9.3216949761793124</v>
      </c>
      <c r="AC575" s="59">
        <v>97.010453122542359</v>
      </c>
      <c r="AD575" s="60">
        <v>78.367063170183727</v>
      </c>
      <c r="AE575" s="61">
        <v>0.23900590095789831</v>
      </c>
      <c r="AF575" s="62">
        <v>3.5939930632916138E-2</v>
      </c>
      <c r="AG575" s="62">
        <v>0.27494583159081443</v>
      </c>
      <c r="AH575" s="63">
        <v>0.20306597032498216</v>
      </c>
      <c r="AI575">
        <v>7.6284265664086375</v>
      </c>
    </row>
    <row r="576" spans="17:35" x14ac:dyDescent="0.25">
      <c r="Q576" s="57"/>
      <c r="R576" s="57"/>
      <c r="Z576">
        <v>544</v>
      </c>
      <c r="AA576" s="58">
        <v>87.427583088644781</v>
      </c>
      <c r="AB576" s="59">
        <v>9.4850171107550576</v>
      </c>
      <c r="AC576" s="59">
        <v>96.912600199399833</v>
      </c>
      <c r="AD576" s="60">
        <v>77.942565977889728</v>
      </c>
      <c r="AE576" s="61">
        <v>0.23826920094273316</v>
      </c>
      <c r="AF576" s="62">
        <v>3.6012042974259709E-2</v>
      </c>
      <c r="AG576" s="62">
        <v>0.27428124391699288</v>
      </c>
      <c r="AH576" s="63">
        <v>0.20225715796847343</v>
      </c>
      <c r="AI576">
        <v>1.8048393999400167</v>
      </c>
    </row>
    <row r="577" spans="17:35" x14ac:dyDescent="0.25">
      <c r="Q577" s="57"/>
      <c r="R577" s="57"/>
      <c r="Z577">
        <v>545</v>
      </c>
      <c r="AA577" s="58">
        <v>87.140037769270904</v>
      </c>
      <c r="AB577" s="59">
        <v>9.6811984112272835</v>
      </c>
      <c r="AC577" s="59">
        <v>96.82123618049819</v>
      </c>
      <c r="AD577" s="60">
        <v>77.458839358043619</v>
      </c>
      <c r="AE577" s="61">
        <v>0.23747149585135985</v>
      </c>
      <c r="AF577" s="62">
        <v>3.6238626983103268E-2</v>
      </c>
      <c r="AG577" s="62">
        <v>0.27371012283446311</v>
      </c>
      <c r="AH577" s="63">
        <v>0.20123286886825659</v>
      </c>
      <c r="AI577">
        <v>0</v>
      </c>
    </row>
    <row r="578" spans="17:35" x14ac:dyDescent="0.25">
      <c r="Q578" s="57"/>
      <c r="R578" s="57"/>
      <c r="Z578">
        <v>546</v>
      </c>
      <c r="AA578" s="58">
        <v>86.892836077692451</v>
      </c>
      <c r="AB578" s="59">
        <v>9.8068325430695182</v>
      </c>
      <c r="AC578" s="59">
        <v>96.699668620761969</v>
      </c>
      <c r="AD578" s="60">
        <v>77.086003534622932</v>
      </c>
      <c r="AE578" s="61">
        <v>0.23677967296087157</v>
      </c>
      <c r="AF578" s="62">
        <v>3.6299750559748732E-2</v>
      </c>
      <c r="AG578" s="62">
        <v>0.27307942352062031</v>
      </c>
      <c r="AH578" s="63">
        <v>0.20047992240112283</v>
      </c>
      <c r="AI578">
        <v>0</v>
      </c>
    </row>
    <row r="579" spans="17:35" x14ac:dyDescent="0.25">
      <c r="Q579" s="57"/>
      <c r="R579" s="57"/>
      <c r="Z579">
        <v>547</v>
      </c>
      <c r="AA579" s="58">
        <v>86.688165653970373</v>
      </c>
      <c r="AB579" s="59">
        <v>9.8533518416878465</v>
      </c>
      <c r="AC579" s="59">
        <v>96.541517495658212</v>
      </c>
      <c r="AD579" s="60">
        <v>76.834813812282533</v>
      </c>
      <c r="AE579" s="61">
        <v>0.23619723278535168</v>
      </c>
      <c r="AF579" s="62">
        <v>3.6134665557996798E-2</v>
      </c>
      <c r="AG579" s="62">
        <v>0.27233189834334848</v>
      </c>
      <c r="AH579" s="63">
        <v>0.20006256722735488</v>
      </c>
      <c r="AI579">
        <v>0</v>
      </c>
    </row>
    <row r="580" spans="17:35" x14ac:dyDescent="0.25">
      <c r="Q580" s="57"/>
      <c r="R580" s="57"/>
      <c r="Z580">
        <v>548</v>
      </c>
      <c r="AA580" s="58">
        <v>86.487794043617114</v>
      </c>
      <c r="AB580" s="59">
        <v>9.896354629681241</v>
      </c>
      <c r="AC580" s="59">
        <v>96.384148673298355</v>
      </c>
      <c r="AD580" s="60">
        <v>76.591439413935873</v>
      </c>
      <c r="AE580" s="61">
        <v>0.23563488195166302</v>
      </c>
      <c r="AF580" s="62">
        <v>3.6036478928988779E-2</v>
      </c>
      <c r="AG580" s="62">
        <v>0.2716713608806518</v>
      </c>
      <c r="AH580" s="63">
        <v>0.19959840302267423</v>
      </c>
      <c r="AI580">
        <v>0</v>
      </c>
    </row>
    <row r="581" spans="17:35" x14ac:dyDescent="0.25">
      <c r="Q581" s="57"/>
      <c r="R581" s="57"/>
      <c r="Z581">
        <v>549</v>
      </c>
      <c r="AA581" s="58">
        <v>86.258459671788884</v>
      </c>
      <c r="AB581" s="59">
        <v>9.9290585770183437</v>
      </c>
      <c r="AC581" s="59">
        <v>96.187518248807223</v>
      </c>
      <c r="AD581" s="60">
        <v>76.329401094770546</v>
      </c>
      <c r="AE581" s="61">
        <v>0.23500090468678766</v>
      </c>
      <c r="AF581" s="62">
        <v>3.5975893966187146E-2</v>
      </c>
      <c r="AG581" s="62">
        <v>0.2709767986529748</v>
      </c>
      <c r="AH581" s="63">
        <v>0.19902501072060053</v>
      </c>
      <c r="AI581">
        <v>0</v>
      </c>
    </row>
    <row r="582" spans="17:35" x14ac:dyDescent="0.25">
      <c r="Q582" s="57"/>
      <c r="R582" s="57"/>
      <c r="Z582">
        <v>550</v>
      </c>
      <c r="AA582" s="58">
        <v>85.969753990265474</v>
      </c>
      <c r="AB582" s="59">
        <v>10.003260527032335</v>
      </c>
      <c r="AC582" s="59">
        <v>95.973014517297813</v>
      </c>
      <c r="AD582" s="60">
        <v>75.966493463233135</v>
      </c>
      <c r="AE582" s="61">
        <v>0.23421181282803097</v>
      </c>
      <c r="AF582" s="62">
        <v>3.6039896819887215E-2</v>
      </c>
      <c r="AG582" s="62">
        <v>0.27025170964791817</v>
      </c>
      <c r="AH582" s="63">
        <v>0.19817191600814377</v>
      </c>
      <c r="AI582">
        <v>0</v>
      </c>
    </row>
    <row r="583" spans="17:35" x14ac:dyDescent="0.25">
      <c r="Q583" s="57"/>
      <c r="R583" s="57"/>
      <c r="Z583">
        <v>551</v>
      </c>
      <c r="AA583" s="58">
        <v>85.656051611962184</v>
      </c>
      <c r="AB583" s="59">
        <v>10.084999115948989</v>
      </c>
      <c r="AC583" s="59">
        <v>95.741050727911173</v>
      </c>
      <c r="AD583" s="60">
        <v>75.571052496013195</v>
      </c>
      <c r="AE583" s="61">
        <v>0.23336520641295647</v>
      </c>
      <c r="AF583" s="62">
        <v>3.6214829200909515E-2</v>
      </c>
      <c r="AG583" s="62">
        <v>0.26958003561386601</v>
      </c>
      <c r="AH583" s="63">
        <v>0.19715037721204695</v>
      </c>
      <c r="AI583">
        <v>0</v>
      </c>
    </row>
    <row r="584" spans="17:35" x14ac:dyDescent="0.25">
      <c r="Q584" s="57"/>
      <c r="R584" s="57"/>
      <c r="Z584">
        <v>552</v>
      </c>
      <c r="AA584" s="58">
        <v>85.415807037210925</v>
      </c>
      <c r="AB584" s="59">
        <v>10.160280301400711</v>
      </c>
      <c r="AC584" s="59">
        <v>95.576087338611643</v>
      </c>
      <c r="AD584" s="60">
        <v>75.255526735810207</v>
      </c>
      <c r="AE584" s="61">
        <v>0.23270958675911016</v>
      </c>
      <c r="AF584" s="62">
        <v>3.6317548348318712E-2</v>
      </c>
      <c r="AG584" s="62">
        <v>0.26902713510742887</v>
      </c>
      <c r="AH584" s="63">
        <v>0.19639203841079145</v>
      </c>
      <c r="AI584">
        <v>0</v>
      </c>
    </row>
    <row r="585" spans="17:35" x14ac:dyDescent="0.25">
      <c r="Q585" s="57"/>
      <c r="R585" s="57"/>
      <c r="Z585">
        <v>553</v>
      </c>
      <c r="AA585" s="58">
        <v>85.199003617900217</v>
      </c>
      <c r="AB585" s="59">
        <v>10.18001585407823</v>
      </c>
      <c r="AC585" s="59">
        <v>95.379019471978452</v>
      </c>
      <c r="AD585" s="60">
        <v>75.018987763821983</v>
      </c>
      <c r="AE585" s="61">
        <v>0.23210910124953144</v>
      </c>
      <c r="AF585" s="62">
        <v>3.6234424699438786E-2</v>
      </c>
      <c r="AG585" s="62">
        <v>0.26834352594897021</v>
      </c>
      <c r="AH585" s="63">
        <v>0.19587467655009266</v>
      </c>
      <c r="AI585">
        <v>0</v>
      </c>
    </row>
    <row r="586" spans="17:35" x14ac:dyDescent="0.25">
      <c r="Q586" s="57"/>
      <c r="R586" s="57"/>
      <c r="Z586">
        <v>554</v>
      </c>
      <c r="AA586" s="58">
        <v>85.012040620361191</v>
      </c>
      <c r="AB586" s="59">
        <v>10.175092835889048</v>
      </c>
      <c r="AC586" s="59">
        <v>95.187133456250237</v>
      </c>
      <c r="AD586" s="60">
        <v>74.836947784472144</v>
      </c>
      <c r="AE586" s="61">
        <v>0.23159343210012343</v>
      </c>
      <c r="AF586" s="62">
        <v>3.6100912726369214E-2</v>
      </c>
      <c r="AG586" s="62">
        <v>0.26769434482649263</v>
      </c>
      <c r="AH586" s="63">
        <v>0.19549251937375423</v>
      </c>
      <c r="AI586">
        <v>0</v>
      </c>
    </row>
    <row r="587" spans="17:35" x14ac:dyDescent="0.25">
      <c r="Q587" s="57"/>
      <c r="R587" s="57"/>
      <c r="Z587">
        <v>555</v>
      </c>
      <c r="AA587" s="58">
        <v>84.71053087811093</v>
      </c>
      <c r="AB587" s="59">
        <v>10.058364008733085</v>
      </c>
      <c r="AC587" s="59">
        <v>94.768894886844009</v>
      </c>
      <c r="AD587" s="60">
        <v>74.652166869377851</v>
      </c>
      <c r="AE587" s="61">
        <v>0.23078780497007897</v>
      </c>
      <c r="AF587" s="62">
        <v>3.5904112424578589E-2</v>
      </c>
      <c r="AG587" s="62">
        <v>0.26669191739465758</v>
      </c>
      <c r="AH587" s="63">
        <v>0.19488369254550039</v>
      </c>
      <c r="AI587">
        <v>0</v>
      </c>
    </row>
    <row r="588" spans="17:35" x14ac:dyDescent="0.25">
      <c r="Q588" s="57"/>
      <c r="R588" s="57"/>
      <c r="Z588">
        <v>556</v>
      </c>
      <c r="AA588" s="58">
        <v>84.342867966625462</v>
      </c>
      <c r="AB588" s="59">
        <v>9.9226551963455201</v>
      </c>
      <c r="AC588" s="59">
        <v>94.265523162970979</v>
      </c>
      <c r="AD588" s="60">
        <v>74.420212770279946</v>
      </c>
      <c r="AE588" s="61">
        <v>0.22980439723290447</v>
      </c>
      <c r="AF588" s="62">
        <v>3.5676365632250885E-2</v>
      </c>
      <c r="AG588" s="62">
        <v>0.26548076286515537</v>
      </c>
      <c r="AH588" s="63">
        <v>0.19412803160065359</v>
      </c>
      <c r="AI588">
        <v>0</v>
      </c>
    </row>
    <row r="589" spans="17:35" x14ac:dyDescent="0.25">
      <c r="Q589" s="57"/>
      <c r="R589" s="57"/>
      <c r="Z589">
        <v>557</v>
      </c>
      <c r="AA589" s="58">
        <v>84.031470235500862</v>
      </c>
      <c r="AB589" s="59">
        <v>9.7487375505707163</v>
      </c>
      <c r="AC589" s="59">
        <v>93.780207786071571</v>
      </c>
      <c r="AD589" s="60">
        <v>74.282732684930153</v>
      </c>
      <c r="AE589" s="61">
        <v>0.22896917119011703</v>
      </c>
      <c r="AF589" s="62">
        <v>3.5351336961481475E-2</v>
      </c>
      <c r="AG589" s="62">
        <v>0.26432050815159852</v>
      </c>
      <c r="AH589" s="63">
        <v>0.19361783422863554</v>
      </c>
      <c r="AI589">
        <v>0</v>
      </c>
    </row>
    <row r="590" spans="17:35" x14ac:dyDescent="0.25">
      <c r="Q590" s="57"/>
      <c r="R590" s="57"/>
      <c r="Z590">
        <v>558</v>
      </c>
      <c r="AA590" s="58">
        <v>83.939553877338255</v>
      </c>
      <c r="AB590" s="59">
        <v>9.5439545550113429</v>
      </c>
      <c r="AC590" s="59">
        <v>93.483508432349595</v>
      </c>
      <c r="AD590" s="60">
        <v>74.395599322326916</v>
      </c>
      <c r="AE590" s="61">
        <v>0.22871899604337184</v>
      </c>
      <c r="AF590" s="62">
        <v>3.4916250217443975E-2</v>
      </c>
      <c r="AG590" s="62">
        <v>0.2636352462608158</v>
      </c>
      <c r="AH590" s="63">
        <v>0.19380274582592788</v>
      </c>
      <c r="AI590">
        <v>0</v>
      </c>
    </row>
    <row r="591" spans="17:35" x14ac:dyDescent="0.25">
      <c r="Q591" s="57"/>
      <c r="R591" s="57"/>
      <c r="Z591">
        <v>559</v>
      </c>
      <c r="AA591" s="58">
        <v>83.965118020605118</v>
      </c>
      <c r="AB591" s="59">
        <v>9.3295818291832031</v>
      </c>
      <c r="AC591" s="59">
        <v>93.294699849788316</v>
      </c>
      <c r="AD591" s="60">
        <v>74.63553619142192</v>
      </c>
      <c r="AE591" s="61">
        <v>0.22878635174982975</v>
      </c>
      <c r="AF591" s="62">
        <v>3.4455585833871712E-2</v>
      </c>
      <c r="AG591" s="62">
        <v>0.26324193758370146</v>
      </c>
      <c r="AH591" s="63">
        <v>0.19433076591595805</v>
      </c>
      <c r="AI591">
        <v>0</v>
      </c>
    </row>
    <row r="592" spans="17:35" x14ac:dyDescent="0.25">
      <c r="Q592" s="57"/>
      <c r="R592" s="57"/>
      <c r="Z592">
        <v>560</v>
      </c>
      <c r="AA592" s="58">
        <v>84.029167886135482</v>
      </c>
      <c r="AB592" s="59">
        <v>9.082218613720892</v>
      </c>
      <c r="AC592" s="59">
        <v>93.11138649985638</v>
      </c>
      <c r="AD592" s="60">
        <v>74.946949272414585</v>
      </c>
      <c r="AE592" s="61">
        <v>0.22895930463633316</v>
      </c>
      <c r="AF592" s="62">
        <v>3.393497379309883E-2</v>
      </c>
      <c r="AG592" s="62">
        <v>0.26289427842943197</v>
      </c>
      <c r="AH592" s="63">
        <v>0.19502433084323434</v>
      </c>
      <c r="AI592">
        <v>0</v>
      </c>
    </row>
    <row r="593" spans="17:35" x14ac:dyDescent="0.25">
      <c r="Q593" s="57"/>
      <c r="R593" s="57"/>
      <c r="Z593">
        <v>561</v>
      </c>
      <c r="AA593" s="58">
        <v>84.109350255929328</v>
      </c>
      <c r="AB593" s="59">
        <v>8.8118928210547889</v>
      </c>
      <c r="AC593" s="59">
        <v>92.921243076984112</v>
      </c>
      <c r="AD593" s="60">
        <v>75.297457434874545</v>
      </c>
      <c r="AE593" s="61">
        <v>0.22917607252250907</v>
      </c>
      <c r="AF593" s="62">
        <v>3.3379106084350997E-2</v>
      </c>
      <c r="AG593" s="62">
        <v>0.26255517860686006</v>
      </c>
      <c r="AH593" s="63">
        <v>0.19579696643815808</v>
      </c>
      <c r="AI593">
        <v>0</v>
      </c>
    </row>
    <row r="594" spans="17:35" x14ac:dyDescent="0.25">
      <c r="Q594" s="57"/>
      <c r="R594" s="57"/>
      <c r="Z594">
        <v>562</v>
      </c>
      <c r="AA594" s="58">
        <v>84.178343843499448</v>
      </c>
      <c r="AB594" s="59">
        <v>8.5325385394304938</v>
      </c>
      <c r="AC594" s="59">
        <v>92.710882382929938</v>
      </c>
      <c r="AD594" s="60">
        <v>75.645805304068958</v>
      </c>
      <c r="AE594" s="61">
        <v>0.22936604785406603</v>
      </c>
      <c r="AF594" s="62">
        <v>3.284491045865507E-2</v>
      </c>
      <c r="AG594" s="62">
        <v>0.26221095831272112</v>
      </c>
      <c r="AH594" s="63">
        <v>0.19652113739541097</v>
      </c>
      <c r="AI594">
        <v>0</v>
      </c>
    </row>
    <row r="595" spans="17:35" x14ac:dyDescent="0.25">
      <c r="Q595" s="57"/>
      <c r="R595" s="57"/>
      <c r="Z595">
        <v>563</v>
      </c>
      <c r="AA595" s="58">
        <v>84.317283045540222</v>
      </c>
      <c r="AB595" s="59">
        <v>8.2024561244256677</v>
      </c>
      <c r="AC595" s="59">
        <v>92.519739169965888</v>
      </c>
      <c r="AD595" s="60">
        <v>76.114826921114556</v>
      </c>
      <c r="AE595" s="61">
        <v>0.22974993088299511</v>
      </c>
      <c r="AF595" s="62">
        <v>3.2254225390630269E-2</v>
      </c>
      <c r="AG595" s="62">
        <v>0.26200415627362539</v>
      </c>
      <c r="AH595" s="63">
        <v>0.19749570549236484</v>
      </c>
      <c r="AI595">
        <v>0</v>
      </c>
    </row>
    <row r="596" spans="17:35" x14ac:dyDescent="0.25">
      <c r="Q596" s="57"/>
      <c r="R596" s="57"/>
      <c r="Z596">
        <v>564</v>
      </c>
      <c r="AA596" s="58">
        <v>84.546134741290544</v>
      </c>
      <c r="AB596" s="59">
        <v>7.8809325934099865</v>
      </c>
      <c r="AC596" s="59">
        <v>92.427067334700524</v>
      </c>
      <c r="AD596" s="60">
        <v>76.665202147880564</v>
      </c>
      <c r="AE596" s="61">
        <v>0.23040372548988511</v>
      </c>
      <c r="AF596" s="62">
        <v>3.1950100198555306E-2</v>
      </c>
      <c r="AG596" s="62">
        <v>0.2623538256884404</v>
      </c>
      <c r="AH596" s="63">
        <v>0.19845362529132982</v>
      </c>
      <c r="AI596">
        <v>0</v>
      </c>
    </row>
    <row r="597" spans="17:35" x14ac:dyDescent="0.25">
      <c r="Q597" s="57"/>
      <c r="R597" s="57"/>
      <c r="Z597">
        <v>565</v>
      </c>
      <c r="AA597" s="58">
        <v>84.737270497176183</v>
      </c>
      <c r="AB597" s="59">
        <v>7.6181058996030613</v>
      </c>
      <c r="AC597" s="59">
        <v>92.355376396779249</v>
      </c>
      <c r="AD597" s="60">
        <v>77.119164597573118</v>
      </c>
      <c r="AE597" s="61">
        <v>0.23092987299914414</v>
      </c>
      <c r="AF597" s="62">
        <v>3.153807703071479E-2</v>
      </c>
      <c r="AG597" s="62">
        <v>0.2624679500298589</v>
      </c>
      <c r="AH597" s="63">
        <v>0.19939179596842935</v>
      </c>
      <c r="AI597">
        <v>0</v>
      </c>
    </row>
    <row r="598" spans="17:35" x14ac:dyDescent="0.25">
      <c r="Q598" s="57"/>
      <c r="R598" s="57"/>
      <c r="Z598">
        <v>566</v>
      </c>
      <c r="AA598" s="58">
        <v>84.909643552239416</v>
      </c>
      <c r="AB598" s="59">
        <v>7.4110903966785102</v>
      </c>
      <c r="AC598" s="59">
        <v>92.320733948917933</v>
      </c>
      <c r="AD598" s="60">
        <v>77.498553155560899</v>
      </c>
      <c r="AE598" s="61">
        <v>0.23140473632795044</v>
      </c>
      <c r="AF598" s="62">
        <v>3.1232738601119418E-2</v>
      </c>
      <c r="AG598" s="62">
        <v>0.26263747492906986</v>
      </c>
      <c r="AH598" s="63">
        <v>0.20017199772683103</v>
      </c>
      <c r="AI598">
        <v>0</v>
      </c>
    </row>
    <row r="599" spans="17:35" x14ac:dyDescent="0.25">
      <c r="Q599" s="57"/>
      <c r="R599" s="57"/>
      <c r="Z599">
        <v>567</v>
      </c>
      <c r="AA599" s="58">
        <v>85.160114162219912</v>
      </c>
      <c r="AB599" s="59">
        <v>7.1403130058695039</v>
      </c>
      <c r="AC599" s="59">
        <v>92.300427168089413</v>
      </c>
      <c r="AD599" s="60">
        <v>78.019801156350411</v>
      </c>
      <c r="AE599" s="61">
        <v>0.23210841338375177</v>
      </c>
      <c r="AF599" s="62">
        <v>3.0991592303813587E-2</v>
      </c>
      <c r="AG599" s="62">
        <v>0.26310000568756536</v>
      </c>
      <c r="AH599" s="63">
        <v>0.20111682107993817</v>
      </c>
      <c r="AI599">
        <v>0</v>
      </c>
    </row>
    <row r="600" spans="17:35" x14ac:dyDescent="0.25">
      <c r="Q600" s="57"/>
      <c r="R600" s="57"/>
      <c r="Z600">
        <v>568</v>
      </c>
      <c r="AA600" s="58">
        <v>85.388353204726101</v>
      </c>
      <c r="AB600" s="59">
        <v>6.9035150040141193</v>
      </c>
      <c r="AC600" s="59">
        <v>92.291868208740226</v>
      </c>
      <c r="AD600" s="60">
        <v>78.484838200711977</v>
      </c>
      <c r="AE600" s="61">
        <v>0.23275087798554431</v>
      </c>
      <c r="AF600" s="62">
        <v>3.0829319376279023E-2</v>
      </c>
      <c r="AG600" s="62">
        <v>0.26358019736182331</v>
      </c>
      <c r="AH600" s="63">
        <v>0.20192155860926528</v>
      </c>
      <c r="AI600">
        <v>0</v>
      </c>
    </row>
    <row r="601" spans="17:35" x14ac:dyDescent="0.25">
      <c r="Q601" s="57"/>
      <c r="R601" s="57"/>
      <c r="Z601">
        <v>569</v>
      </c>
      <c r="AA601" s="58">
        <v>85.616910849167141</v>
      </c>
      <c r="AB601" s="59">
        <v>6.668326708262903</v>
      </c>
      <c r="AC601" s="59">
        <v>92.285237557430037</v>
      </c>
      <c r="AD601" s="60">
        <v>78.948584140904245</v>
      </c>
      <c r="AE601" s="61">
        <v>0.23338394787416247</v>
      </c>
      <c r="AF601" s="62">
        <v>3.0571424323768321E-2</v>
      </c>
      <c r="AG601" s="62">
        <v>0.2639553721979308</v>
      </c>
      <c r="AH601" s="63">
        <v>0.20281252355039414</v>
      </c>
      <c r="AI601">
        <v>0</v>
      </c>
    </row>
    <row r="602" spans="17:35" x14ac:dyDescent="0.25">
      <c r="Q602" s="57"/>
      <c r="R602" s="57"/>
      <c r="Z602">
        <v>570</v>
      </c>
      <c r="AA602" s="58">
        <v>85.853805966992397</v>
      </c>
      <c r="AB602" s="59">
        <v>6.4312880557111738</v>
      </c>
      <c r="AC602" s="59">
        <v>92.285094022703575</v>
      </c>
      <c r="AD602" s="60">
        <v>79.422517911281219</v>
      </c>
      <c r="AE602" s="61">
        <v>0.23404087953271768</v>
      </c>
      <c r="AF602" s="62">
        <v>3.0317104947299781E-2</v>
      </c>
      <c r="AG602" s="62">
        <v>0.26435798448001746</v>
      </c>
      <c r="AH602" s="63">
        <v>0.2037237745854179</v>
      </c>
      <c r="AI602">
        <v>0</v>
      </c>
    </row>
    <row r="603" spans="17:35" x14ac:dyDescent="0.25">
      <c r="Q603" s="57"/>
      <c r="R603" s="57"/>
      <c r="Z603">
        <v>571</v>
      </c>
      <c r="AA603" s="58">
        <v>86.029127977185851</v>
      </c>
      <c r="AB603" s="59">
        <v>6.2814091346167382</v>
      </c>
      <c r="AC603" s="59">
        <v>92.310537111802589</v>
      </c>
      <c r="AD603" s="60">
        <v>79.747718842569114</v>
      </c>
      <c r="AE603" s="61">
        <v>0.23452449408506612</v>
      </c>
      <c r="AF603" s="62">
        <v>3.0161254952920897E-2</v>
      </c>
      <c r="AG603" s="62">
        <v>0.26468574903798703</v>
      </c>
      <c r="AH603" s="63">
        <v>0.20436323913214521</v>
      </c>
      <c r="AI603">
        <v>0</v>
      </c>
    </row>
    <row r="604" spans="17:35" x14ac:dyDescent="0.25">
      <c r="Q604" s="57"/>
      <c r="R604" s="57"/>
      <c r="Z604">
        <v>572</v>
      </c>
      <c r="AA604" s="58">
        <v>86.239750934175035</v>
      </c>
      <c r="AB604" s="59">
        <v>6.1144298718150223</v>
      </c>
      <c r="AC604" s="59">
        <v>92.354180805990055</v>
      </c>
      <c r="AD604" s="60">
        <v>80.125321062360015</v>
      </c>
      <c r="AE604" s="61">
        <v>0.2351094981501374</v>
      </c>
      <c r="AF604" s="62">
        <v>3.002308790099387E-2</v>
      </c>
      <c r="AG604" s="62">
        <v>0.26513258605113127</v>
      </c>
      <c r="AH604" s="63">
        <v>0.20508641024914354</v>
      </c>
      <c r="AI604">
        <v>0</v>
      </c>
    </row>
    <row r="605" spans="17:35" x14ac:dyDescent="0.25">
      <c r="Q605" s="57"/>
      <c r="R605" s="57"/>
      <c r="Z605">
        <v>573</v>
      </c>
      <c r="AA605" s="58">
        <v>86.466440681537208</v>
      </c>
      <c r="AB605" s="59">
        <v>5.9348362567477659</v>
      </c>
      <c r="AC605" s="59">
        <v>92.40127693828498</v>
      </c>
      <c r="AD605" s="60">
        <v>80.531604424789435</v>
      </c>
      <c r="AE605" s="61">
        <v>0.23573163258348925</v>
      </c>
      <c r="AF605" s="62">
        <v>2.9823000983339103E-2</v>
      </c>
      <c r="AG605" s="62">
        <v>0.26555463356682835</v>
      </c>
      <c r="AH605" s="63">
        <v>0.20590863160015016</v>
      </c>
      <c r="AI605">
        <v>0</v>
      </c>
    </row>
    <row r="606" spans="17:35" x14ac:dyDescent="0.25">
      <c r="Q606" s="57"/>
      <c r="R606" s="57"/>
      <c r="Z606">
        <v>574</v>
      </c>
      <c r="AA606" s="58">
        <v>86.689270930290263</v>
      </c>
      <c r="AB606" s="59">
        <v>5.7716758078794879</v>
      </c>
      <c r="AC606" s="59">
        <v>92.460946738169753</v>
      </c>
      <c r="AD606" s="60">
        <v>80.917595122410773</v>
      </c>
      <c r="AE606" s="61">
        <v>0.23633837587743031</v>
      </c>
      <c r="AF606" s="62">
        <v>2.9614032423077228E-2</v>
      </c>
      <c r="AG606" s="62">
        <v>0.26595240830050754</v>
      </c>
      <c r="AH606" s="63">
        <v>0.20672434345435309</v>
      </c>
      <c r="AI606">
        <v>0</v>
      </c>
    </row>
    <row r="607" spans="17:35" x14ac:dyDescent="0.25">
      <c r="Q607" s="57"/>
      <c r="R607" s="57"/>
      <c r="Z607">
        <v>575</v>
      </c>
      <c r="AA607" s="58">
        <v>86.93444085117973</v>
      </c>
      <c r="AB607" s="59">
        <v>5.6092103071909607</v>
      </c>
      <c r="AC607" s="59">
        <v>92.543651158370693</v>
      </c>
      <c r="AD607" s="60">
        <v>81.325230543988766</v>
      </c>
      <c r="AE607" s="61">
        <v>0.23701330467201909</v>
      </c>
      <c r="AF607" s="62">
        <v>2.9469415077006046E-2</v>
      </c>
      <c r="AG607" s="62">
        <v>0.26648271974902515</v>
      </c>
      <c r="AH607" s="63">
        <v>0.20754388959501305</v>
      </c>
      <c r="AI607">
        <v>0</v>
      </c>
    </row>
    <row r="608" spans="17:35" x14ac:dyDescent="0.25">
      <c r="Q608" s="57"/>
      <c r="R608" s="57"/>
      <c r="Z608">
        <v>576</v>
      </c>
      <c r="AA608" s="58">
        <v>87.179825657785457</v>
      </c>
      <c r="AB608" s="59">
        <v>5.476679254307391</v>
      </c>
      <c r="AC608" s="59">
        <v>92.656504912092842</v>
      </c>
      <c r="AD608" s="60">
        <v>81.703146403478073</v>
      </c>
      <c r="AE608" s="61">
        <v>0.2376914394403625</v>
      </c>
      <c r="AF608" s="62">
        <v>2.9391955400150098E-2</v>
      </c>
      <c r="AG608" s="62">
        <v>0.26708339484051258</v>
      </c>
      <c r="AH608" s="63">
        <v>0.2082994840402124</v>
      </c>
      <c r="AI608">
        <v>0</v>
      </c>
    </row>
    <row r="609" spans="17:35" x14ac:dyDescent="0.25">
      <c r="Q609" s="57"/>
      <c r="R609" s="57"/>
      <c r="Z609">
        <v>577</v>
      </c>
      <c r="AA609" s="58">
        <v>87.406649821248379</v>
      </c>
      <c r="AB609" s="59">
        <v>5.3509882341526325</v>
      </c>
      <c r="AC609" s="59">
        <v>92.757638055401017</v>
      </c>
      <c r="AD609" s="60">
        <v>82.055661587095742</v>
      </c>
      <c r="AE609" s="61">
        <v>0.23831011724078929</v>
      </c>
      <c r="AF609" s="62">
        <v>2.9255601698667994E-2</v>
      </c>
      <c r="AG609" s="62">
        <v>0.2675657189394573</v>
      </c>
      <c r="AH609" s="63">
        <v>0.20905451554212129</v>
      </c>
      <c r="AI609">
        <v>0</v>
      </c>
    </row>
    <row r="610" spans="17:35" x14ac:dyDescent="0.25">
      <c r="Q610" s="57"/>
      <c r="R610" s="57"/>
      <c r="Z610">
        <v>578</v>
      </c>
      <c r="AA610" s="58">
        <v>87.638182947635229</v>
      </c>
      <c r="AB610" s="59">
        <v>5.22294592176869</v>
      </c>
      <c r="AC610" s="59">
        <v>92.861128869403913</v>
      </c>
      <c r="AD610" s="60">
        <v>82.415237025866546</v>
      </c>
      <c r="AE610" s="61">
        <v>0.23894189547658304</v>
      </c>
      <c r="AF610" s="62">
        <v>2.9134492471844103E-2</v>
      </c>
      <c r="AG610" s="62">
        <v>0.26807638794842714</v>
      </c>
      <c r="AH610" s="63">
        <v>0.20980740300473893</v>
      </c>
      <c r="AI610">
        <v>0</v>
      </c>
    </row>
    <row r="611" spans="17:35" x14ac:dyDescent="0.25">
      <c r="Q611" s="57"/>
      <c r="Z611">
        <v>579</v>
      </c>
      <c r="AA611" s="58">
        <v>87.878865191524582</v>
      </c>
      <c r="AB611" s="59">
        <v>5.1278262465246156</v>
      </c>
      <c r="AC611" s="59">
        <v>93.006691438049202</v>
      </c>
      <c r="AD611" s="60">
        <v>82.751038944999962</v>
      </c>
      <c r="AE611" s="61">
        <v>0.23961139299424594</v>
      </c>
      <c r="AF611" s="62">
        <v>2.9188121210599407E-2</v>
      </c>
      <c r="AG611" s="62">
        <v>0.26879951420484532</v>
      </c>
      <c r="AH611" s="63">
        <v>0.21042327178364653</v>
      </c>
      <c r="AI611">
        <v>0</v>
      </c>
    </row>
    <row r="612" spans="17:35" x14ac:dyDescent="0.25">
      <c r="Q612" s="57"/>
      <c r="R612" s="57"/>
      <c r="Z612">
        <v>580</v>
      </c>
      <c r="AA612" s="58">
        <v>88.116335074378568</v>
      </c>
      <c r="AB612" s="59">
        <v>5.049179960814544</v>
      </c>
      <c r="AC612" s="59">
        <v>93.16551503519311</v>
      </c>
      <c r="AD612" s="60">
        <v>83.067155113564027</v>
      </c>
      <c r="AE612" s="61">
        <v>0.24027506912387001</v>
      </c>
      <c r="AF612" s="62">
        <v>2.929553480040523E-2</v>
      </c>
      <c r="AG612" s="62">
        <v>0.26957060392427523</v>
      </c>
      <c r="AH612" s="63">
        <v>0.21097953432346478</v>
      </c>
      <c r="AI612">
        <v>0</v>
      </c>
    </row>
    <row r="613" spans="17:35" x14ac:dyDescent="0.25">
      <c r="Q613" s="57"/>
      <c r="R613" s="57"/>
      <c r="Z613">
        <v>581</v>
      </c>
      <c r="AA613" s="58">
        <v>88.291902482328808</v>
      </c>
      <c r="AB613" s="59">
        <v>4.9753663508441095</v>
      </c>
      <c r="AC613" s="59">
        <v>93.26726883317292</v>
      </c>
      <c r="AD613" s="60">
        <v>83.316536131484696</v>
      </c>
      <c r="AE613" s="61">
        <v>0.24075049940717277</v>
      </c>
      <c r="AF613" s="62">
        <v>2.9200114742953198E-2</v>
      </c>
      <c r="AG613" s="62">
        <v>0.269950614150126</v>
      </c>
      <c r="AH613" s="63">
        <v>0.21155038466421958</v>
      </c>
      <c r="AI613">
        <v>0</v>
      </c>
    </row>
    <row r="614" spans="17:35" x14ac:dyDescent="0.25">
      <c r="Q614" s="57"/>
      <c r="R614" s="57"/>
      <c r="Z614">
        <v>582</v>
      </c>
      <c r="AA614" s="58">
        <v>88.483020407199945</v>
      </c>
      <c r="AB614" s="59">
        <v>4.8974980827920014</v>
      </c>
      <c r="AC614" s="59">
        <v>93.380518489991942</v>
      </c>
      <c r="AD614" s="60">
        <v>83.585522324407947</v>
      </c>
      <c r="AE614" s="61">
        <v>0.2412750645897421</v>
      </c>
      <c r="AF614" s="62">
        <v>2.9179087718505758E-2</v>
      </c>
      <c r="AG614" s="62">
        <v>0.27045415230824787</v>
      </c>
      <c r="AH614" s="63">
        <v>0.21209597687123635</v>
      </c>
      <c r="AI614">
        <v>0</v>
      </c>
    </row>
    <row r="615" spans="17:35" x14ac:dyDescent="0.25">
      <c r="Q615" s="57"/>
      <c r="R615" s="57"/>
      <c r="Z615">
        <v>583</v>
      </c>
      <c r="AA615" s="58">
        <v>88.734973988428521</v>
      </c>
      <c r="AB615" s="59">
        <v>4.8026648233821385</v>
      </c>
      <c r="AC615" s="59">
        <v>93.537638811810666</v>
      </c>
      <c r="AD615" s="60">
        <v>83.932309165046377</v>
      </c>
      <c r="AE615" s="61">
        <v>0.24199018320045759</v>
      </c>
      <c r="AF615" s="62">
        <v>2.9415444692398283E-2</v>
      </c>
      <c r="AG615" s="62">
        <v>0.27140562789285588</v>
      </c>
      <c r="AH615" s="63">
        <v>0.2125747385080593</v>
      </c>
      <c r="AI615">
        <v>0</v>
      </c>
    </row>
    <row r="616" spans="17:35" x14ac:dyDescent="0.25">
      <c r="Q616" s="57"/>
      <c r="R616" s="57"/>
      <c r="Z616">
        <v>584</v>
      </c>
      <c r="AA616" s="58">
        <v>88.929063316203823</v>
      </c>
      <c r="AB616" s="59">
        <v>4.7257037901752597</v>
      </c>
      <c r="AC616" s="59">
        <v>93.654767106379083</v>
      </c>
      <c r="AD616" s="60">
        <v>84.203359526028564</v>
      </c>
      <c r="AE616" s="61">
        <v>0.24253572958407346</v>
      </c>
      <c r="AF616" s="62">
        <v>2.9531633870995416E-2</v>
      </c>
      <c r="AG616" s="62">
        <v>0.27206736345506888</v>
      </c>
      <c r="AH616" s="63">
        <v>0.21300409571307805</v>
      </c>
      <c r="AI616">
        <v>0</v>
      </c>
    </row>
    <row r="617" spans="17:35" x14ac:dyDescent="0.25">
      <c r="Q617" s="57"/>
      <c r="R617" s="57"/>
      <c r="Z617">
        <v>585</v>
      </c>
      <c r="AA617" s="58">
        <v>89.006236263190104</v>
      </c>
      <c r="AB617" s="59">
        <v>4.7449045103593219</v>
      </c>
      <c r="AC617" s="59">
        <v>93.751140773549423</v>
      </c>
      <c r="AD617" s="60">
        <v>84.261331752830785</v>
      </c>
      <c r="AE617" s="61">
        <v>0.24271018468033925</v>
      </c>
      <c r="AF617" s="62">
        <v>2.918088773454678E-2</v>
      </c>
      <c r="AG617" s="62">
        <v>0.27189107241488603</v>
      </c>
      <c r="AH617" s="63">
        <v>0.21352929694579248</v>
      </c>
      <c r="AI617">
        <v>0</v>
      </c>
    </row>
    <row r="618" spans="17:35" x14ac:dyDescent="0.25">
      <c r="Q618" s="57"/>
      <c r="R618" s="57"/>
      <c r="Z618">
        <v>586</v>
      </c>
      <c r="AA618" s="58">
        <v>89.208049385078638</v>
      </c>
      <c r="AB618" s="59">
        <v>4.7187357471316602</v>
      </c>
      <c r="AC618" s="59">
        <v>93.926785132210298</v>
      </c>
      <c r="AD618" s="60">
        <v>84.489313637946978</v>
      </c>
      <c r="AE618" s="61">
        <v>0.24323232208760229</v>
      </c>
      <c r="AF618" s="62">
        <v>2.8898675747127171E-2</v>
      </c>
      <c r="AG618" s="62">
        <v>0.27213099783472944</v>
      </c>
      <c r="AH618" s="63">
        <v>0.21433364634047511</v>
      </c>
      <c r="AI618">
        <v>0</v>
      </c>
    </row>
    <row r="619" spans="17:35" x14ac:dyDescent="0.25">
      <c r="Q619" s="57"/>
      <c r="R619" s="57"/>
      <c r="Z619">
        <v>587</v>
      </c>
      <c r="AA619" s="58">
        <v>89.34791240086679</v>
      </c>
      <c r="AB619" s="59">
        <v>4.6656597006266471</v>
      </c>
      <c r="AC619" s="59">
        <v>94.013572101493438</v>
      </c>
      <c r="AD619" s="60">
        <v>84.682252700240142</v>
      </c>
      <c r="AE619" s="61">
        <v>0.24361948348505444</v>
      </c>
      <c r="AF619" s="62">
        <v>2.8925548732761045E-2</v>
      </c>
      <c r="AG619" s="62">
        <v>0.27254503221781551</v>
      </c>
      <c r="AH619" s="63">
        <v>0.2146939347522934</v>
      </c>
      <c r="AI619">
        <v>0</v>
      </c>
    </row>
    <row r="620" spans="17:35" x14ac:dyDescent="0.25">
      <c r="Q620" s="57"/>
      <c r="R620" s="57"/>
      <c r="Z620">
        <v>588</v>
      </c>
      <c r="AA620" s="58">
        <v>89.497126419036917</v>
      </c>
      <c r="AB620" s="59">
        <v>4.6066868338033329</v>
      </c>
      <c r="AC620" s="59">
        <v>94.103813252840254</v>
      </c>
      <c r="AD620" s="60">
        <v>84.89043958523358</v>
      </c>
      <c r="AE620" s="61">
        <v>0.24403647426583677</v>
      </c>
      <c r="AF620" s="62">
        <v>2.8987722207698907E-2</v>
      </c>
      <c r="AG620" s="62">
        <v>0.27302419647353571</v>
      </c>
      <c r="AH620" s="63">
        <v>0.21504875205813787</v>
      </c>
      <c r="AI620">
        <v>0</v>
      </c>
    </row>
    <row r="621" spans="17:35" x14ac:dyDescent="0.25">
      <c r="Q621" s="57"/>
      <c r="R621" s="57"/>
      <c r="Z621">
        <v>589</v>
      </c>
      <c r="AA621" s="58">
        <v>89.597860392629855</v>
      </c>
      <c r="AB621" s="59">
        <v>4.5231738876688548</v>
      </c>
      <c r="AC621" s="59">
        <v>94.121034280298716</v>
      </c>
      <c r="AD621" s="60">
        <v>85.074686504960994</v>
      </c>
      <c r="AE621" s="61">
        <v>0.24432748845138944</v>
      </c>
      <c r="AF621" s="62">
        <v>2.9080939399838249E-2</v>
      </c>
      <c r="AG621" s="62">
        <v>0.27340842785122771</v>
      </c>
      <c r="AH621" s="63">
        <v>0.21524654905155119</v>
      </c>
      <c r="AI621">
        <v>0</v>
      </c>
    </row>
    <row r="622" spans="17:35" x14ac:dyDescent="0.25">
      <c r="Q622" s="57"/>
      <c r="R622" s="57"/>
      <c r="Z622">
        <v>590</v>
      </c>
      <c r="AA622" s="58">
        <v>89.742626763609735</v>
      </c>
      <c r="AB622" s="59">
        <v>4.4715681027763221</v>
      </c>
      <c r="AC622" s="59">
        <v>94.214194866386052</v>
      </c>
      <c r="AD622" s="60">
        <v>85.271058660833418</v>
      </c>
      <c r="AE622" s="61">
        <v>0.24472710192332783</v>
      </c>
      <c r="AF622" s="62">
        <v>2.9105957499026409E-2</v>
      </c>
      <c r="AG622" s="62">
        <v>0.27383305942235425</v>
      </c>
      <c r="AH622" s="63">
        <v>0.21562114442430141</v>
      </c>
      <c r="AI622">
        <v>0</v>
      </c>
    </row>
    <row r="623" spans="17:35" x14ac:dyDescent="0.25">
      <c r="Q623" s="57"/>
      <c r="R623" s="57"/>
      <c r="Z623">
        <v>591</v>
      </c>
      <c r="AA623" s="58">
        <v>89.884029865957089</v>
      </c>
      <c r="AB623" s="59">
        <v>4.4266824170510111</v>
      </c>
      <c r="AC623" s="59">
        <v>94.310712283008101</v>
      </c>
      <c r="AD623" s="60">
        <v>85.457347448906077</v>
      </c>
      <c r="AE623" s="61">
        <v>0.24511681506132396</v>
      </c>
      <c r="AF623" s="62">
        <v>2.9131859436474231E-2</v>
      </c>
      <c r="AG623" s="62">
        <v>0.27424867449779822</v>
      </c>
      <c r="AH623" s="63">
        <v>0.21598495562484973</v>
      </c>
      <c r="AI623">
        <v>0</v>
      </c>
    </row>
    <row r="624" spans="17:35" x14ac:dyDescent="0.25">
      <c r="Q624" s="57"/>
      <c r="R624" s="57"/>
      <c r="Z624">
        <v>592</v>
      </c>
      <c r="AA624" s="58">
        <v>90.001006590715733</v>
      </c>
      <c r="AB624" s="59">
        <v>4.3771270287809099</v>
      </c>
      <c r="AC624" s="59">
        <v>94.378133619496637</v>
      </c>
      <c r="AD624" s="60">
        <v>85.623879561934828</v>
      </c>
      <c r="AE624" s="61">
        <v>0.24544257470677919</v>
      </c>
      <c r="AF624" s="62">
        <v>2.9177298029485033E-2</v>
      </c>
      <c r="AG624" s="62">
        <v>0.2746198727362642</v>
      </c>
      <c r="AH624" s="63">
        <v>0.21626527667729414</v>
      </c>
      <c r="AI624">
        <v>0</v>
      </c>
    </row>
    <row r="625" spans="17:35" x14ac:dyDescent="0.25">
      <c r="Q625" s="57"/>
      <c r="R625" s="57"/>
      <c r="Z625">
        <v>593</v>
      </c>
      <c r="AA625" s="58">
        <v>90.113159226858158</v>
      </c>
      <c r="AB625" s="59">
        <v>4.3383680729274428</v>
      </c>
      <c r="AC625" s="59">
        <v>94.451527299785596</v>
      </c>
      <c r="AD625" s="60">
        <v>85.774791153930721</v>
      </c>
      <c r="AE625" s="61">
        <v>0.24575590533670158</v>
      </c>
      <c r="AF625" s="62">
        <v>2.9241702350299579E-2</v>
      </c>
      <c r="AG625" s="62">
        <v>0.27499760768700116</v>
      </c>
      <c r="AH625" s="63">
        <v>0.216514202986402</v>
      </c>
      <c r="AI625">
        <v>0</v>
      </c>
    </row>
    <row r="626" spans="17:35" x14ac:dyDescent="0.25">
      <c r="Q626" s="57"/>
      <c r="R626" s="57"/>
      <c r="Z626">
        <v>594</v>
      </c>
      <c r="AA626" s="58">
        <v>90.236002532619182</v>
      </c>
      <c r="AB626" s="59">
        <v>4.2979793502296415</v>
      </c>
      <c r="AC626" s="59">
        <v>94.533981882848821</v>
      </c>
      <c r="AD626" s="60">
        <v>85.938023182389543</v>
      </c>
      <c r="AE626" s="61">
        <v>0.24610140656770782</v>
      </c>
      <c r="AF626" s="62">
        <v>2.9335742165566774E-2</v>
      </c>
      <c r="AG626" s="62">
        <v>0.27543714873327457</v>
      </c>
      <c r="AH626" s="63">
        <v>0.21676566440214104</v>
      </c>
      <c r="AI626">
        <v>0</v>
      </c>
    </row>
    <row r="627" spans="17:35" x14ac:dyDescent="0.25">
      <c r="Q627" s="57"/>
      <c r="R627" s="57"/>
      <c r="Z627">
        <v>595</v>
      </c>
      <c r="AA627" s="58">
        <v>90.373706818463702</v>
      </c>
      <c r="AB627" s="59">
        <v>4.2625223635204925</v>
      </c>
      <c r="AC627" s="59">
        <v>94.636229181984191</v>
      </c>
      <c r="AD627" s="60">
        <v>86.111184454943213</v>
      </c>
      <c r="AE627" s="61">
        <v>0.24649516111074635</v>
      </c>
      <c r="AF627" s="62">
        <v>2.9519570854363495E-2</v>
      </c>
      <c r="AG627" s="62">
        <v>0.27601473196510984</v>
      </c>
      <c r="AH627" s="63">
        <v>0.21697559025638286</v>
      </c>
      <c r="AI627">
        <v>0</v>
      </c>
    </row>
    <row r="628" spans="17:35" x14ac:dyDescent="0.25">
      <c r="Q628" s="57"/>
      <c r="R628" s="57"/>
      <c r="Z628">
        <v>596</v>
      </c>
      <c r="AA628" s="58">
        <v>90.563428421786242</v>
      </c>
      <c r="AB628" s="59">
        <v>4.2637256862908828</v>
      </c>
      <c r="AC628" s="59">
        <v>94.827154108077124</v>
      </c>
      <c r="AD628" s="60">
        <v>86.299702735495359</v>
      </c>
      <c r="AE628" s="61">
        <v>0.24705646378127111</v>
      </c>
      <c r="AF628" s="62">
        <v>3.002759926313046E-2</v>
      </c>
      <c r="AG628" s="62">
        <v>0.27708406304440159</v>
      </c>
      <c r="AH628" s="63">
        <v>0.21702886451814066</v>
      </c>
      <c r="AI628">
        <v>0</v>
      </c>
    </row>
    <row r="629" spans="17:35" x14ac:dyDescent="0.25">
      <c r="Q629" s="57"/>
      <c r="R629" s="57"/>
      <c r="Z629">
        <v>597</v>
      </c>
      <c r="AA629" s="58">
        <v>90.640123939146122</v>
      </c>
      <c r="AB629" s="59">
        <v>4.2998353318707583</v>
      </c>
      <c r="AC629" s="59">
        <v>94.939959271016875</v>
      </c>
      <c r="AD629" s="60">
        <v>86.340288607275369</v>
      </c>
      <c r="AE629" s="61">
        <v>0.24728258721134774</v>
      </c>
      <c r="AF629" s="62">
        <v>3.0257066690335576E-2</v>
      </c>
      <c r="AG629" s="62">
        <v>0.27753965390168334</v>
      </c>
      <c r="AH629" s="63">
        <v>0.21702552052101218</v>
      </c>
      <c r="AI629">
        <v>0</v>
      </c>
    </row>
    <row r="630" spans="17:35" x14ac:dyDescent="0.25">
      <c r="Q630" s="57"/>
      <c r="R630" s="57"/>
      <c r="Z630">
        <v>598</v>
      </c>
      <c r="AA630" s="58">
        <v>90.782556920548004</v>
      </c>
      <c r="AB630" s="59">
        <v>4.229231985295697</v>
      </c>
      <c r="AC630" s="59">
        <v>95.011788905843702</v>
      </c>
      <c r="AD630" s="60">
        <v>86.553324935252306</v>
      </c>
      <c r="AE630" s="61">
        <v>0.24767802551811643</v>
      </c>
      <c r="AF630" s="62">
        <v>3.027987001451175E-2</v>
      </c>
      <c r="AG630" s="62">
        <v>0.27795789553262817</v>
      </c>
      <c r="AH630" s="63">
        <v>0.2173981555036047</v>
      </c>
      <c r="AI630">
        <v>0</v>
      </c>
    </row>
    <row r="631" spans="17:35" x14ac:dyDescent="0.25">
      <c r="Q631" s="57"/>
      <c r="R631" s="57"/>
      <c r="Z631">
        <v>599</v>
      </c>
      <c r="AA631" s="58">
        <v>90.8840961790454</v>
      </c>
      <c r="AB631" s="59">
        <v>4.1973831527176779</v>
      </c>
      <c r="AC631" s="59">
        <v>95.081479331763077</v>
      </c>
      <c r="AD631" s="60">
        <v>86.686713026327723</v>
      </c>
      <c r="AE631" s="61">
        <v>0.24795980721735708</v>
      </c>
      <c r="AF631" s="62">
        <v>3.0319592617483994E-2</v>
      </c>
      <c r="AG631" s="62">
        <v>0.27827939983484107</v>
      </c>
      <c r="AH631" s="63">
        <v>0.21764021459987309</v>
      </c>
      <c r="AI631">
        <v>0</v>
      </c>
    </row>
    <row r="632" spans="17:35" ht="15.75" thickBot="1" x14ac:dyDescent="0.3">
      <c r="Q632" s="57"/>
      <c r="R632" s="57"/>
      <c r="AA632" s="65">
        <v>95.657640413480365</v>
      </c>
      <c r="AB632" s="66">
        <v>13.449425991245434</v>
      </c>
      <c r="AC632" s="66">
        <v>109.1070664047258</v>
      </c>
      <c r="AD632" s="67">
        <v>82.208214422234931</v>
      </c>
      <c r="AE632" s="68">
        <v>0.22996048196251001</v>
      </c>
      <c r="AF632" s="62">
        <v>4.6933556451631796E-2</v>
      </c>
      <c r="AG632" s="62">
        <v>0.27689403841414179</v>
      </c>
      <c r="AH632" s="63">
        <v>0.18302692551087821</v>
      </c>
      <c r="AI632">
        <v>0</v>
      </c>
    </row>
    <row r="633" spans="17:35" x14ac:dyDescent="0.25">
      <c r="Q633" s="57"/>
      <c r="R633" s="57"/>
    </row>
    <row r="634" spans="17:35" x14ac:dyDescent="0.25">
      <c r="Q634" s="57"/>
      <c r="R634" s="57"/>
    </row>
    <row r="635" spans="17:35" x14ac:dyDescent="0.25">
      <c r="Q635" s="57"/>
      <c r="R635" s="57"/>
    </row>
    <row r="636" spans="17:35" x14ac:dyDescent="0.25">
      <c r="Q636" s="57"/>
      <c r="R636" s="57"/>
    </row>
    <row r="637" spans="17:35" x14ac:dyDescent="0.25">
      <c r="Q637" s="57"/>
      <c r="R637" s="57"/>
    </row>
    <row r="638" spans="17:35" x14ac:dyDescent="0.25">
      <c r="Q638" s="57"/>
      <c r="R638" s="57"/>
    </row>
    <row r="639" spans="17:35" x14ac:dyDescent="0.25">
      <c r="Q639" s="57"/>
      <c r="R639" s="57"/>
    </row>
    <row r="640" spans="17:35" x14ac:dyDescent="0.25">
      <c r="Q640" s="57"/>
      <c r="R640" s="57"/>
    </row>
    <row r="641" spans="17:18" x14ac:dyDescent="0.25">
      <c r="Q641" s="57"/>
      <c r="R641" s="57"/>
    </row>
    <row r="642" spans="17:18" x14ac:dyDescent="0.25">
      <c r="Q642" s="57"/>
      <c r="R642" s="57"/>
    </row>
    <row r="643" spans="17:18" x14ac:dyDescent="0.25">
      <c r="Q643" s="57"/>
      <c r="R643" s="57"/>
    </row>
    <row r="644" spans="17:18" x14ac:dyDescent="0.25">
      <c r="Q644" s="57"/>
      <c r="R644" s="57"/>
    </row>
    <row r="645" spans="17:18" x14ac:dyDescent="0.25">
      <c r="Q645" s="57"/>
      <c r="R645" s="57"/>
    </row>
    <row r="646" spans="17:18" x14ac:dyDescent="0.25">
      <c r="Q646" s="57"/>
      <c r="R646" s="57"/>
    </row>
    <row r="647" spans="17:18" x14ac:dyDescent="0.25">
      <c r="Q647" s="57"/>
      <c r="R647" s="57"/>
    </row>
    <row r="648" spans="17:18" x14ac:dyDescent="0.25">
      <c r="Q648" s="57"/>
      <c r="R648" s="57"/>
    </row>
    <row r="649" spans="17:18" x14ac:dyDescent="0.25">
      <c r="Q649" s="57"/>
      <c r="R649" s="57"/>
    </row>
    <row r="650" spans="17:18" x14ac:dyDescent="0.25">
      <c r="Q650" s="57"/>
      <c r="R650" s="57"/>
    </row>
    <row r="651" spans="17:18" x14ac:dyDescent="0.25">
      <c r="Q651" s="57"/>
      <c r="R651" s="57"/>
    </row>
    <row r="652" spans="17:18" x14ac:dyDescent="0.25">
      <c r="Q652" s="57"/>
      <c r="R652" s="57"/>
    </row>
    <row r="653" spans="17:18" x14ac:dyDescent="0.25">
      <c r="Q653" s="57"/>
      <c r="R653" s="57"/>
    </row>
    <row r="654" spans="17:18" x14ac:dyDescent="0.25">
      <c r="Q654" s="57"/>
      <c r="R654" s="57"/>
    </row>
    <row r="655" spans="17:18" x14ac:dyDescent="0.25">
      <c r="Q655" s="57"/>
      <c r="R655" s="57"/>
    </row>
    <row r="656" spans="17:18" x14ac:dyDescent="0.25">
      <c r="Q656" s="57"/>
      <c r="R656" s="57"/>
    </row>
    <row r="657" spans="17:18" x14ac:dyDescent="0.25">
      <c r="Q657" s="57"/>
      <c r="R657" s="57"/>
    </row>
    <row r="658" spans="17:18" x14ac:dyDescent="0.25">
      <c r="Q658" s="57"/>
      <c r="R658" s="57"/>
    </row>
    <row r="659" spans="17:18" x14ac:dyDescent="0.25">
      <c r="Q659" s="57"/>
      <c r="R659" s="57"/>
    </row>
    <row r="660" spans="17:18" x14ac:dyDescent="0.25">
      <c r="Q660" s="57"/>
      <c r="R660" s="57"/>
    </row>
    <row r="661" spans="17:18" x14ac:dyDescent="0.25">
      <c r="Q661" s="57"/>
      <c r="R661" s="57"/>
    </row>
    <row r="662" spans="17:18" x14ac:dyDescent="0.25">
      <c r="Q662" s="57"/>
      <c r="R662" s="57"/>
    </row>
    <row r="663" spans="17:18" x14ac:dyDescent="0.25">
      <c r="Q663" s="57"/>
      <c r="R663" s="57"/>
    </row>
    <row r="664" spans="17:18" x14ac:dyDescent="0.25">
      <c r="Q664" s="57"/>
      <c r="R664" s="57"/>
    </row>
    <row r="665" spans="17:18" x14ac:dyDescent="0.25">
      <c r="Q665" s="57"/>
      <c r="R665" s="57"/>
    </row>
    <row r="666" spans="17:18" x14ac:dyDescent="0.25">
      <c r="Q666" s="57"/>
      <c r="R666" s="57"/>
    </row>
    <row r="667" spans="17:18" x14ac:dyDescent="0.25">
      <c r="Q667" s="57"/>
      <c r="R667" s="57"/>
    </row>
    <row r="668" spans="17:18" x14ac:dyDescent="0.25">
      <c r="Q668" s="57"/>
      <c r="R668" s="57"/>
    </row>
    <row r="669" spans="17:18" x14ac:dyDescent="0.25">
      <c r="Q669" s="57"/>
      <c r="R669" s="57"/>
    </row>
    <row r="670" spans="17:18" x14ac:dyDescent="0.25">
      <c r="Q670" s="57"/>
      <c r="R670" s="57"/>
    </row>
    <row r="671" spans="17:18" x14ac:dyDescent="0.25">
      <c r="Q671" s="57"/>
      <c r="R671" s="57"/>
    </row>
    <row r="672" spans="17:18" x14ac:dyDescent="0.25">
      <c r="Q672" s="57"/>
      <c r="R672" s="57"/>
    </row>
    <row r="673" spans="17:18" x14ac:dyDescent="0.25">
      <c r="Q673" s="57"/>
      <c r="R673" s="57"/>
    </row>
    <row r="674" spans="17:18" x14ac:dyDescent="0.25">
      <c r="Q674" s="57"/>
      <c r="R674" s="57"/>
    </row>
    <row r="675" spans="17:18" x14ac:dyDescent="0.25">
      <c r="Q675" s="57"/>
      <c r="R675" s="57"/>
    </row>
    <row r="676" spans="17:18" x14ac:dyDescent="0.25">
      <c r="Q676" s="57"/>
      <c r="R676" s="57"/>
    </row>
    <row r="677" spans="17:18" x14ac:dyDescent="0.25">
      <c r="Q677" s="57"/>
      <c r="R677" s="57"/>
    </row>
    <row r="678" spans="17:18" x14ac:dyDescent="0.25">
      <c r="Q678" s="57"/>
      <c r="R678" s="57"/>
    </row>
    <row r="679" spans="17:18" x14ac:dyDescent="0.25">
      <c r="Q679" s="57"/>
      <c r="R679" s="57"/>
    </row>
    <row r="680" spans="17:18" x14ac:dyDescent="0.25">
      <c r="Q680" s="57"/>
      <c r="R680" s="57"/>
    </row>
    <row r="681" spans="17:18" x14ac:dyDescent="0.25">
      <c r="Q681" s="57"/>
      <c r="R681" s="57"/>
    </row>
    <row r="682" spans="17:18" x14ac:dyDescent="0.25">
      <c r="Q682" s="57"/>
      <c r="R682" s="57"/>
    </row>
    <row r="683" spans="17:18" x14ac:dyDescent="0.25">
      <c r="Q683" s="57"/>
      <c r="R683" s="57"/>
    </row>
    <row r="684" spans="17:18" x14ac:dyDescent="0.25">
      <c r="Q684" s="57"/>
      <c r="R684" s="57"/>
    </row>
    <row r="685" spans="17:18" x14ac:dyDescent="0.25">
      <c r="Q685" s="57"/>
      <c r="R685" s="57"/>
    </row>
    <row r="686" spans="17:18" x14ac:dyDescent="0.25">
      <c r="Q686" s="57"/>
      <c r="R686" s="57"/>
    </row>
    <row r="687" spans="17:18" x14ac:dyDescent="0.25">
      <c r="Q687" s="57"/>
      <c r="R687" s="57"/>
    </row>
    <row r="688" spans="17:18" x14ac:dyDescent="0.25">
      <c r="Q688" s="57"/>
      <c r="R688" s="57"/>
    </row>
    <row r="689" spans="17:18" x14ac:dyDescent="0.25">
      <c r="Q689" s="57"/>
      <c r="R689" s="57"/>
    </row>
    <row r="690" spans="17:18" x14ac:dyDescent="0.25">
      <c r="Q690" s="57"/>
      <c r="R690" s="57"/>
    </row>
    <row r="691" spans="17:18" x14ac:dyDescent="0.25">
      <c r="Q691" s="57"/>
      <c r="R691" s="57"/>
    </row>
    <row r="692" spans="17:18" x14ac:dyDescent="0.25">
      <c r="Q692" s="57"/>
      <c r="R692" s="57"/>
    </row>
    <row r="693" spans="17:18" x14ac:dyDescent="0.25">
      <c r="Q693" s="57"/>
      <c r="R693" s="57"/>
    </row>
    <row r="694" spans="17:18" x14ac:dyDescent="0.25">
      <c r="Q694" s="57"/>
      <c r="R694" s="57"/>
    </row>
    <row r="695" spans="17:18" x14ac:dyDescent="0.25">
      <c r="Q695" s="57"/>
      <c r="R695" s="57"/>
    </row>
    <row r="696" spans="17:18" x14ac:dyDescent="0.25">
      <c r="Q696" s="57"/>
      <c r="R696" s="57"/>
    </row>
    <row r="697" spans="17:18" x14ac:dyDescent="0.25">
      <c r="Q697" s="57"/>
      <c r="R697" s="57"/>
    </row>
    <row r="698" spans="17:18" x14ac:dyDescent="0.25">
      <c r="Q698" s="57"/>
      <c r="R698" s="57"/>
    </row>
    <row r="699" spans="17:18" x14ac:dyDescent="0.25">
      <c r="Q699" s="57"/>
      <c r="R699" s="57"/>
    </row>
    <row r="700" spans="17:18" x14ac:dyDescent="0.25">
      <c r="Q700" s="57"/>
      <c r="R700" s="57"/>
    </row>
    <row r="701" spans="17:18" x14ac:dyDescent="0.25">
      <c r="Q701" s="57"/>
      <c r="R701" s="57"/>
    </row>
    <row r="702" spans="17:18" x14ac:dyDescent="0.25">
      <c r="Q702" s="57"/>
      <c r="R702" s="57"/>
    </row>
    <row r="703" spans="17:18" x14ac:dyDescent="0.25">
      <c r="Q703" s="57"/>
      <c r="R703" s="57"/>
    </row>
    <row r="704" spans="17:18" x14ac:dyDescent="0.25">
      <c r="Q704" s="57"/>
      <c r="R704" s="57"/>
    </row>
    <row r="705" spans="17:18" x14ac:dyDescent="0.25">
      <c r="Q705" s="57"/>
      <c r="R705" s="57"/>
    </row>
    <row r="706" spans="17:18" x14ac:dyDescent="0.25">
      <c r="Q706" s="57"/>
      <c r="R706" s="57"/>
    </row>
    <row r="707" spans="17:18" x14ac:dyDescent="0.25">
      <c r="Q707" s="57"/>
      <c r="R707" s="57"/>
    </row>
    <row r="708" spans="17:18" x14ac:dyDescent="0.25">
      <c r="Q708" s="57"/>
      <c r="R708" s="57"/>
    </row>
    <row r="709" spans="17:18" x14ac:dyDescent="0.25">
      <c r="Q709" s="57"/>
      <c r="R709" s="57"/>
    </row>
    <row r="710" spans="17:18" x14ac:dyDescent="0.25">
      <c r="Q710" s="57"/>
      <c r="R710" s="57"/>
    </row>
    <row r="711" spans="17:18" x14ac:dyDescent="0.25">
      <c r="Q711" s="57"/>
      <c r="R711" s="57"/>
    </row>
    <row r="712" spans="17:18" x14ac:dyDescent="0.25">
      <c r="Q712" s="57"/>
      <c r="R712" s="57"/>
    </row>
    <row r="713" spans="17:18" x14ac:dyDescent="0.25">
      <c r="Q713" s="57"/>
      <c r="R713" s="57"/>
    </row>
    <row r="714" spans="17:18" x14ac:dyDescent="0.25">
      <c r="Q714" s="57"/>
      <c r="R714" s="57"/>
    </row>
    <row r="715" spans="17:18" x14ac:dyDescent="0.25">
      <c r="Q715" s="57"/>
      <c r="R715" s="57"/>
    </row>
    <row r="716" spans="17:18" x14ac:dyDescent="0.25">
      <c r="Q716" s="57"/>
      <c r="R716" s="57"/>
    </row>
    <row r="717" spans="17:18" x14ac:dyDescent="0.25">
      <c r="Q717" s="57"/>
      <c r="R717" s="57"/>
    </row>
    <row r="718" spans="17:18" x14ac:dyDescent="0.25">
      <c r="Q718" s="57"/>
      <c r="R718" s="57"/>
    </row>
    <row r="719" spans="17:18" x14ac:dyDescent="0.25">
      <c r="Q719" s="57"/>
      <c r="R719" s="57"/>
    </row>
    <row r="720" spans="17:18" x14ac:dyDescent="0.25">
      <c r="Q720" s="57"/>
      <c r="R720" s="57"/>
    </row>
    <row r="721" spans="17:18" x14ac:dyDescent="0.25">
      <c r="Q721" s="57"/>
      <c r="R721" s="57"/>
    </row>
    <row r="722" spans="17:18" x14ac:dyDescent="0.25">
      <c r="Q722" s="57"/>
      <c r="R722" s="57"/>
    </row>
    <row r="723" spans="17:18" x14ac:dyDescent="0.25">
      <c r="Q723" s="57"/>
      <c r="R723" s="57"/>
    </row>
    <row r="724" spans="17:18" x14ac:dyDescent="0.25">
      <c r="Q724" s="57"/>
      <c r="R724" s="57"/>
    </row>
    <row r="725" spans="17:18" x14ac:dyDescent="0.25">
      <c r="Q725" s="57"/>
      <c r="R725" s="57"/>
    </row>
    <row r="726" spans="17:18" x14ac:dyDescent="0.25">
      <c r="Q726" s="57"/>
      <c r="R726" s="57"/>
    </row>
    <row r="727" spans="17:18" x14ac:dyDescent="0.25">
      <c r="Q727" s="57"/>
      <c r="R727" s="57"/>
    </row>
    <row r="728" spans="17:18" x14ac:dyDescent="0.25">
      <c r="Q728" s="57"/>
      <c r="R728" s="57"/>
    </row>
    <row r="729" spans="17:18" x14ac:dyDescent="0.25">
      <c r="Q729" s="57"/>
      <c r="R729" s="57"/>
    </row>
    <row r="730" spans="17:18" x14ac:dyDescent="0.25">
      <c r="Q730" s="57"/>
      <c r="R730" s="57"/>
    </row>
    <row r="731" spans="17:18" x14ac:dyDescent="0.25">
      <c r="Q731" s="57"/>
      <c r="R731" s="57"/>
    </row>
    <row r="732" spans="17:18" x14ac:dyDescent="0.25">
      <c r="Q732" s="57"/>
      <c r="R732" s="57"/>
    </row>
    <row r="733" spans="17:18" x14ac:dyDescent="0.25">
      <c r="Q733" s="57"/>
      <c r="R733" s="57"/>
    </row>
    <row r="734" spans="17:18" x14ac:dyDescent="0.25">
      <c r="Q734" s="57"/>
      <c r="R734" s="57"/>
    </row>
    <row r="735" spans="17:18" x14ac:dyDescent="0.25">
      <c r="Q735" s="57"/>
      <c r="R735" s="57"/>
    </row>
    <row r="736" spans="17:18" x14ac:dyDescent="0.25">
      <c r="Q736" s="57"/>
      <c r="R736" s="57"/>
    </row>
    <row r="737" spans="17:18" x14ac:dyDescent="0.25">
      <c r="Q737" s="57"/>
      <c r="R737" s="57"/>
    </row>
    <row r="738" spans="17:18" x14ac:dyDescent="0.25">
      <c r="Q738" s="57"/>
      <c r="R738" s="57"/>
    </row>
    <row r="739" spans="17:18" x14ac:dyDescent="0.25">
      <c r="Q739" s="57"/>
      <c r="R739" s="57"/>
    </row>
    <row r="740" spans="17:18" x14ac:dyDescent="0.25">
      <c r="Q740" s="57"/>
      <c r="R740" s="57"/>
    </row>
    <row r="741" spans="17:18" x14ac:dyDescent="0.25">
      <c r="Q741" s="57"/>
      <c r="R741" s="57"/>
    </row>
    <row r="742" spans="17:18" x14ac:dyDescent="0.25">
      <c r="Q742" s="57"/>
      <c r="R742" s="57"/>
    </row>
    <row r="743" spans="17:18" x14ac:dyDescent="0.25">
      <c r="Q743" s="57"/>
      <c r="R743" s="57"/>
    </row>
    <row r="744" spans="17:18" x14ac:dyDescent="0.25">
      <c r="Q744" s="57"/>
      <c r="R744" s="57"/>
    </row>
    <row r="745" spans="17:18" x14ac:dyDescent="0.25">
      <c r="Q745" s="57"/>
      <c r="R745" s="57"/>
    </row>
    <row r="746" spans="17:18" x14ac:dyDescent="0.25">
      <c r="Q746" s="57"/>
      <c r="R746" s="57"/>
    </row>
    <row r="747" spans="17:18" x14ac:dyDescent="0.25">
      <c r="Q747" s="57"/>
      <c r="R747" s="57"/>
    </row>
    <row r="748" spans="17:18" x14ac:dyDescent="0.25">
      <c r="Q748" s="57"/>
      <c r="R748" s="57"/>
    </row>
    <row r="749" spans="17:18" x14ac:dyDescent="0.25">
      <c r="Q749" s="57"/>
      <c r="R749" s="57"/>
    </row>
    <row r="750" spans="17:18" x14ac:dyDescent="0.25">
      <c r="Q750" s="57"/>
      <c r="R750" s="57"/>
    </row>
    <row r="751" spans="17:18" x14ac:dyDescent="0.25">
      <c r="Q751" s="57"/>
      <c r="R751" s="57"/>
    </row>
    <row r="752" spans="17:18" x14ac:dyDescent="0.25">
      <c r="Q752" s="57"/>
      <c r="R752" s="57"/>
    </row>
    <row r="753" spans="17:18" x14ac:dyDescent="0.25">
      <c r="Q753" s="57"/>
      <c r="R753" s="57"/>
    </row>
    <row r="754" spans="17:18" x14ac:dyDescent="0.25">
      <c r="Q754" s="57"/>
      <c r="R754" s="57"/>
    </row>
    <row r="755" spans="17:18" x14ac:dyDescent="0.25">
      <c r="Q755" s="57"/>
      <c r="R755" s="57"/>
    </row>
    <row r="756" spans="17:18" x14ac:dyDescent="0.25">
      <c r="Q756" s="57"/>
      <c r="R756" s="57"/>
    </row>
    <row r="757" spans="17:18" x14ac:dyDescent="0.25">
      <c r="Q757" s="57"/>
      <c r="R757" s="57"/>
    </row>
    <row r="758" spans="17:18" x14ac:dyDescent="0.25">
      <c r="Q758" s="57"/>
      <c r="R758" s="57"/>
    </row>
    <row r="759" spans="17:18" x14ac:dyDescent="0.25">
      <c r="Q759" s="57"/>
      <c r="R759" s="57"/>
    </row>
    <row r="760" spans="17:18" x14ac:dyDescent="0.25">
      <c r="Q760" s="57"/>
      <c r="R760" s="57"/>
    </row>
    <row r="761" spans="17:18" x14ac:dyDescent="0.25">
      <c r="Q761" s="57"/>
      <c r="R761" s="57"/>
    </row>
    <row r="762" spans="17:18" x14ac:dyDescent="0.25">
      <c r="Q762" s="57"/>
      <c r="R762" s="57"/>
    </row>
    <row r="763" spans="17:18" x14ac:dyDescent="0.25">
      <c r="Q763" s="57"/>
      <c r="R763" s="57"/>
    </row>
    <row r="764" spans="17:18" x14ac:dyDescent="0.25">
      <c r="Q764" s="57"/>
      <c r="R764" s="57"/>
    </row>
    <row r="765" spans="17:18" x14ac:dyDescent="0.25">
      <c r="Q765" s="57"/>
      <c r="R765" s="57"/>
    </row>
    <row r="766" spans="17:18" x14ac:dyDescent="0.25">
      <c r="Q766" s="57"/>
      <c r="R766" s="57"/>
    </row>
    <row r="767" spans="17:18" x14ac:dyDescent="0.25">
      <c r="Q767" s="57"/>
      <c r="R767" s="57"/>
    </row>
    <row r="768" spans="17:18" x14ac:dyDescent="0.25">
      <c r="Q768" s="57"/>
      <c r="R768" s="57"/>
    </row>
    <row r="769" spans="17:18" x14ac:dyDescent="0.25">
      <c r="Q769" s="57"/>
      <c r="R769" s="57"/>
    </row>
    <row r="770" spans="17:18" x14ac:dyDescent="0.25">
      <c r="Q770" s="57"/>
      <c r="R770" s="57"/>
    </row>
    <row r="771" spans="17:18" x14ac:dyDescent="0.25">
      <c r="Q771" s="57"/>
      <c r="R771" s="57"/>
    </row>
    <row r="772" spans="17:18" x14ac:dyDescent="0.25">
      <c r="Q772" s="57"/>
      <c r="R772" s="57"/>
    </row>
    <row r="773" spans="17:18" x14ac:dyDescent="0.25">
      <c r="Q773" s="57"/>
      <c r="R773" s="57"/>
    </row>
    <row r="774" spans="17:18" x14ac:dyDescent="0.25">
      <c r="Q774" s="57"/>
      <c r="R774" s="57"/>
    </row>
    <row r="775" spans="17:18" x14ac:dyDescent="0.25">
      <c r="Q775" s="57"/>
      <c r="R775" s="57"/>
    </row>
    <row r="776" spans="17:18" x14ac:dyDescent="0.25">
      <c r="Q776" s="57"/>
      <c r="R776" s="57"/>
    </row>
    <row r="777" spans="17:18" x14ac:dyDescent="0.25">
      <c r="Q777" s="57"/>
      <c r="R777" s="57"/>
    </row>
    <row r="778" spans="17:18" x14ac:dyDescent="0.25">
      <c r="Q778" s="57"/>
      <c r="R778" s="57"/>
    </row>
    <row r="779" spans="17:18" x14ac:dyDescent="0.25">
      <c r="Q779" s="57"/>
      <c r="R779" s="57"/>
    </row>
    <row r="780" spans="17:18" x14ac:dyDescent="0.25">
      <c r="Q780" s="57"/>
      <c r="R780" s="57"/>
    </row>
    <row r="781" spans="17:18" x14ac:dyDescent="0.25">
      <c r="Q781" s="57"/>
      <c r="R781" s="57"/>
    </row>
    <row r="782" spans="17:18" x14ac:dyDescent="0.25">
      <c r="Q782" s="57"/>
      <c r="R782" s="57"/>
    </row>
    <row r="783" spans="17:18" x14ac:dyDescent="0.25">
      <c r="Q783" s="57"/>
      <c r="R783" s="57"/>
    </row>
    <row r="784" spans="17:18" x14ac:dyDescent="0.25">
      <c r="Q784" s="57"/>
      <c r="R784" s="57"/>
    </row>
    <row r="785" spans="17:18" x14ac:dyDescent="0.25">
      <c r="Q785" s="57"/>
      <c r="R785" s="57"/>
    </row>
    <row r="786" spans="17:18" x14ac:dyDescent="0.25">
      <c r="Q786" s="57"/>
      <c r="R786" s="57"/>
    </row>
    <row r="787" spans="17:18" x14ac:dyDescent="0.25">
      <c r="Q787" s="57"/>
      <c r="R787" s="57"/>
    </row>
    <row r="788" spans="17:18" x14ac:dyDescent="0.25">
      <c r="Q788" s="57"/>
      <c r="R788" s="57"/>
    </row>
    <row r="789" spans="17:18" x14ac:dyDescent="0.25">
      <c r="Q789" s="57"/>
      <c r="R789" s="57"/>
    </row>
    <row r="790" spans="17:18" x14ac:dyDescent="0.25">
      <c r="Q790" s="57"/>
      <c r="R790" s="57"/>
    </row>
    <row r="791" spans="17:18" x14ac:dyDescent="0.25">
      <c r="Q791" s="57"/>
      <c r="R791" s="57"/>
    </row>
    <row r="792" spans="17:18" x14ac:dyDescent="0.25">
      <c r="Q792" s="57"/>
      <c r="R792" s="57"/>
    </row>
    <row r="793" spans="17:18" x14ac:dyDescent="0.25">
      <c r="Q793" s="57"/>
      <c r="R793" s="57"/>
    </row>
    <row r="794" spans="17:18" x14ac:dyDescent="0.25">
      <c r="Q794" s="57"/>
      <c r="R794" s="57"/>
    </row>
    <row r="795" spans="17:18" x14ac:dyDescent="0.25">
      <c r="Q795" s="57"/>
      <c r="R795" s="57"/>
    </row>
    <row r="796" spans="17:18" x14ac:dyDescent="0.25">
      <c r="Q796" s="57"/>
      <c r="R796" s="57"/>
    </row>
    <row r="797" spans="17:18" x14ac:dyDescent="0.25">
      <c r="Q797" s="57"/>
      <c r="R797" s="57"/>
    </row>
    <row r="798" spans="17:18" x14ac:dyDescent="0.25">
      <c r="Q798" s="57"/>
      <c r="R798" s="57"/>
    </row>
    <row r="799" spans="17:18" x14ac:dyDescent="0.25">
      <c r="Q799" s="57"/>
      <c r="R799" s="57"/>
    </row>
    <row r="800" spans="17:18" x14ac:dyDescent="0.25">
      <c r="Q800" s="57"/>
      <c r="R800" s="57"/>
    </row>
    <row r="801" spans="17:18" x14ac:dyDescent="0.25">
      <c r="Q801" s="57"/>
      <c r="R801" s="57"/>
    </row>
    <row r="802" spans="17:18" x14ac:dyDescent="0.25">
      <c r="Q802" s="57"/>
      <c r="R802" s="57"/>
    </row>
    <row r="803" spans="17:18" x14ac:dyDescent="0.25">
      <c r="Q803" s="57"/>
      <c r="R803" s="57"/>
    </row>
    <row r="804" spans="17:18" x14ac:dyDescent="0.25">
      <c r="Q804" s="57"/>
      <c r="R804" s="57"/>
    </row>
    <row r="805" spans="17:18" x14ac:dyDescent="0.25">
      <c r="Q805" s="57"/>
      <c r="R805" s="57"/>
    </row>
    <row r="806" spans="17:18" x14ac:dyDescent="0.25">
      <c r="Q806" s="57"/>
      <c r="R806" s="57"/>
    </row>
    <row r="807" spans="17:18" x14ac:dyDescent="0.25">
      <c r="Q807" s="57"/>
      <c r="R807" s="57"/>
    </row>
    <row r="808" spans="17:18" x14ac:dyDescent="0.25">
      <c r="Q808" s="57"/>
      <c r="R808" s="57"/>
    </row>
    <row r="809" spans="17:18" x14ac:dyDescent="0.25">
      <c r="Q809" s="57"/>
      <c r="R809" s="57"/>
    </row>
    <row r="810" spans="17:18" x14ac:dyDescent="0.25">
      <c r="Q810" s="57"/>
      <c r="R810" s="57"/>
    </row>
    <row r="811" spans="17:18" x14ac:dyDescent="0.25">
      <c r="Q811" s="57"/>
      <c r="R811" s="57"/>
    </row>
    <row r="812" spans="17:18" x14ac:dyDescent="0.25">
      <c r="Q812" s="57"/>
      <c r="R812" s="57"/>
    </row>
    <row r="813" spans="17:18" x14ac:dyDescent="0.25">
      <c r="Q813" s="57"/>
      <c r="R813" s="57"/>
    </row>
    <row r="814" spans="17:18" x14ac:dyDescent="0.25">
      <c r="Q814" s="57"/>
      <c r="R814" s="57"/>
    </row>
    <row r="815" spans="17:18" x14ac:dyDescent="0.25">
      <c r="Q815" s="57"/>
      <c r="R815" s="57"/>
    </row>
    <row r="816" spans="17:18" x14ac:dyDescent="0.25">
      <c r="Q816" s="57"/>
      <c r="R816" s="57"/>
    </row>
    <row r="817" spans="17:18" x14ac:dyDescent="0.25">
      <c r="Q817" s="57"/>
      <c r="R817" s="57"/>
    </row>
    <row r="818" spans="17:18" x14ac:dyDescent="0.25">
      <c r="Q818" s="57"/>
      <c r="R818" s="57"/>
    </row>
    <row r="819" spans="17:18" x14ac:dyDescent="0.25">
      <c r="Q819" s="57"/>
      <c r="R819" s="57"/>
    </row>
    <row r="820" spans="17:18" x14ac:dyDescent="0.25">
      <c r="Q820" s="57"/>
      <c r="R820" s="57"/>
    </row>
    <row r="821" spans="17:18" x14ac:dyDescent="0.25">
      <c r="Q821" s="57"/>
      <c r="R821" s="57"/>
    </row>
    <row r="822" spans="17:18" x14ac:dyDescent="0.25">
      <c r="Q822" s="57"/>
      <c r="R822" s="57"/>
    </row>
    <row r="823" spans="17:18" x14ac:dyDescent="0.25">
      <c r="Q823" s="57"/>
      <c r="R823" s="57"/>
    </row>
    <row r="824" spans="17:18" x14ac:dyDescent="0.25">
      <c r="Q824" s="57"/>
      <c r="R824" s="57"/>
    </row>
    <row r="825" spans="17:18" x14ac:dyDescent="0.25">
      <c r="Q825" s="57"/>
      <c r="R825" s="57"/>
    </row>
    <row r="826" spans="17:18" x14ac:dyDescent="0.25">
      <c r="Q826" s="57"/>
      <c r="R826" s="57"/>
    </row>
    <row r="827" spans="17:18" x14ac:dyDescent="0.25">
      <c r="Q827" s="57"/>
      <c r="R827" s="57"/>
    </row>
    <row r="828" spans="17:18" x14ac:dyDescent="0.25">
      <c r="Q828" s="57"/>
      <c r="R828" s="57"/>
    </row>
    <row r="829" spans="17:18" x14ac:dyDescent="0.25">
      <c r="Q829" s="57"/>
      <c r="R829" s="57"/>
    </row>
    <row r="830" spans="17:18" x14ac:dyDescent="0.25">
      <c r="Q830" s="57"/>
      <c r="R830" s="57"/>
    </row>
    <row r="831" spans="17:18" x14ac:dyDescent="0.25">
      <c r="Q831" s="57"/>
      <c r="R831" s="57"/>
    </row>
    <row r="832" spans="17:18" x14ac:dyDescent="0.25">
      <c r="Q832" s="57"/>
      <c r="R832" s="57"/>
    </row>
    <row r="833" spans="17:18" x14ac:dyDescent="0.25">
      <c r="Q833" s="57"/>
      <c r="R833" s="57"/>
    </row>
    <row r="834" spans="17:18" x14ac:dyDescent="0.25">
      <c r="Q834" s="57"/>
      <c r="R834" s="57"/>
    </row>
    <row r="835" spans="17:18" x14ac:dyDescent="0.25">
      <c r="Q835" s="57"/>
      <c r="R835" s="57"/>
    </row>
    <row r="836" spans="17:18" x14ac:dyDescent="0.25">
      <c r="Q836" s="57"/>
      <c r="R836" s="57"/>
    </row>
    <row r="837" spans="17:18" x14ac:dyDescent="0.25">
      <c r="Q837" s="57"/>
      <c r="R837" s="57"/>
    </row>
    <row r="838" spans="17:18" x14ac:dyDescent="0.25">
      <c r="Q838" s="57"/>
      <c r="R838" s="57"/>
    </row>
    <row r="839" spans="17:18" x14ac:dyDescent="0.25">
      <c r="Q839" s="57"/>
      <c r="R839" s="57"/>
    </row>
    <row r="840" spans="17:18" x14ac:dyDescent="0.25">
      <c r="Q840" s="57"/>
      <c r="R840" s="57"/>
    </row>
    <row r="841" spans="17:18" x14ac:dyDescent="0.25">
      <c r="Q841" s="57"/>
      <c r="R841" s="57"/>
    </row>
    <row r="842" spans="17:18" x14ac:dyDescent="0.25">
      <c r="Q842" s="57"/>
      <c r="R842" s="57"/>
    </row>
    <row r="843" spans="17:18" x14ac:dyDescent="0.25">
      <c r="Q843" s="57"/>
      <c r="R843" s="57"/>
    </row>
    <row r="844" spans="17:18" x14ac:dyDescent="0.25">
      <c r="Q844" s="57"/>
      <c r="R844" s="57"/>
    </row>
    <row r="845" spans="17:18" x14ac:dyDescent="0.25">
      <c r="Q845" s="57"/>
      <c r="R845" s="57"/>
    </row>
    <row r="846" spans="17:18" x14ac:dyDescent="0.25">
      <c r="Q846" s="57"/>
      <c r="R846" s="57"/>
    </row>
    <row r="847" spans="17:18" x14ac:dyDescent="0.25">
      <c r="Q847" s="57"/>
      <c r="R847" s="57"/>
    </row>
    <row r="848" spans="17:18" x14ac:dyDescent="0.25">
      <c r="Q848" s="57"/>
      <c r="R848" s="57"/>
    </row>
    <row r="849" spans="17:18" x14ac:dyDescent="0.25">
      <c r="Q849" s="57"/>
      <c r="R849" s="57"/>
    </row>
    <row r="850" spans="17:18" x14ac:dyDescent="0.25">
      <c r="Q850" s="57"/>
      <c r="R850" s="57"/>
    </row>
    <row r="851" spans="17:18" x14ac:dyDescent="0.25">
      <c r="Q851" s="57"/>
      <c r="R851" s="57"/>
    </row>
    <row r="852" spans="17:18" x14ac:dyDescent="0.25">
      <c r="Q852" s="57"/>
      <c r="R852" s="57"/>
    </row>
    <row r="853" spans="17:18" x14ac:dyDescent="0.25">
      <c r="Q853" s="57"/>
      <c r="R853" s="57"/>
    </row>
    <row r="854" spans="17:18" x14ac:dyDescent="0.25">
      <c r="Q854" s="57"/>
      <c r="R854" s="57"/>
    </row>
    <row r="855" spans="17:18" x14ac:dyDescent="0.25">
      <c r="Q855" s="57"/>
      <c r="R855" s="57"/>
    </row>
    <row r="856" spans="17:18" x14ac:dyDescent="0.25">
      <c r="Q856" s="57"/>
      <c r="R856" s="57"/>
    </row>
    <row r="857" spans="17:18" x14ac:dyDescent="0.25">
      <c r="Q857" s="57"/>
      <c r="R857" s="57"/>
    </row>
    <row r="858" spans="17:18" x14ac:dyDescent="0.25">
      <c r="Q858" s="57"/>
      <c r="R858" s="57"/>
    </row>
    <row r="859" spans="17:18" x14ac:dyDescent="0.25">
      <c r="Q859" s="57"/>
      <c r="R859" s="57"/>
    </row>
    <row r="860" spans="17:18" x14ac:dyDescent="0.25">
      <c r="Q860" s="57"/>
      <c r="R860" s="57"/>
    </row>
    <row r="861" spans="17:18" x14ac:dyDescent="0.25">
      <c r="Q861" s="57"/>
      <c r="R861" s="57"/>
    </row>
    <row r="862" spans="17:18" x14ac:dyDescent="0.25">
      <c r="Q862" s="57"/>
      <c r="R862" s="57"/>
    </row>
    <row r="863" spans="17:18" x14ac:dyDescent="0.25">
      <c r="Q863" s="57"/>
      <c r="R863" s="57"/>
    </row>
    <row r="864" spans="17:18" x14ac:dyDescent="0.25">
      <c r="Q864" s="57"/>
      <c r="R864" s="57"/>
    </row>
    <row r="865" spans="17:18" x14ac:dyDescent="0.25">
      <c r="Q865" s="57"/>
      <c r="R865" s="57"/>
    </row>
    <row r="866" spans="17:18" x14ac:dyDescent="0.25">
      <c r="Q866" s="57"/>
      <c r="R866" s="57"/>
    </row>
    <row r="867" spans="17:18" x14ac:dyDescent="0.25">
      <c r="Q867" s="57"/>
      <c r="R867" s="57"/>
    </row>
    <row r="868" spans="17:18" x14ac:dyDescent="0.25">
      <c r="Q868" s="57"/>
      <c r="R868" s="57"/>
    </row>
    <row r="869" spans="17:18" x14ac:dyDescent="0.25">
      <c r="Q869" s="57"/>
      <c r="R869" s="57"/>
    </row>
    <row r="870" spans="17:18" x14ac:dyDescent="0.25">
      <c r="Q870" s="57"/>
      <c r="R870" s="57"/>
    </row>
    <row r="871" spans="17:18" x14ac:dyDescent="0.25">
      <c r="Q871" s="57"/>
      <c r="R871" s="57"/>
    </row>
    <row r="872" spans="17:18" x14ac:dyDescent="0.25">
      <c r="Q872" s="57"/>
      <c r="R872" s="57"/>
    </row>
    <row r="873" spans="17:18" x14ac:dyDescent="0.25">
      <c r="Q873" s="57"/>
      <c r="R873" s="57"/>
    </row>
    <row r="874" spans="17:18" x14ac:dyDescent="0.25">
      <c r="Q874" s="57"/>
      <c r="R874" s="57"/>
    </row>
    <row r="875" spans="17:18" x14ac:dyDescent="0.25">
      <c r="Q875" s="57"/>
      <c r="R875" s="57"/>
    </row>
    <row r="876" spans="17:18" x14ac:dyDescent="0.25">
      <c r="Q876" s="57"/>
      <c r="R876" s="57"/>
    </row>
    <row r="877" spans="17:18" x14ac:dyDescent="0.25">
      <c r="Q877" s="57"/>
      <c r="R877" s="57"/>
    </row>
    <row r="878" spans="17:18" x14ac:dyDescent="0.25">
      <c r="Q878" s="57"/>
      <c r="R878" s="57"/>
    </row>
    <row r="879" spans="17:18" x14ac:dyDescent="0.25">
      <c r="Q879" s="57"/>
      <c r="R879" s="57"/>
    </row>
    <row r="880" spans="17:18" x14ac:dyDescent="0.25">
      <c r="Q880" s="57"/>
      <c r="R880" s="57"/>
    </row>
    <row r="881" spans="17:18" x14ac:dyDescent="0.25">
      <c r="Q881" s="57"/>
      <c r="R881" s="57"/>
    </row>
    <row r="882" spans="17:18" x14ac:dyDescent="0.25">
      <c r="Q882" s="57"/>
      <c r="R882" s="57"/>
    </row>
    <row r="883" spans="17:18" x14ac:dyDescent="0.25">
      <c r="Q883" s="57"/>
      <c r="R883" s="57"/>
    </row>
    <row r="884" spans="17:18" x14ac:dyDescent="0.25">
      <c r="Q884" s="57"/>
      <c r="R884" s="57"/>
    </row>
    <row r="885" spans="17:18" x14ac:dyDescent="0.25">
      <c r="Q885" s="57"/>
      <c r="R885" s="57"/>
    </row>
    <row r="886" spans="17:18" x14ac:dyDescent="0.25">
      <c r="Q886" s="57"/>
      <c r="R886" s="57"/>
    </row>
    <row r="887" spans="17:18" x14ac:dyDescent="0.25">
      <c r="Q887" s="57"/>
      <c r="R887" s="57"/>
    </row>
    <row r="888" spans="17:18" x14ac:dyDescent="0.25">
      <c r="Q888" s="57"/>
      <c r="R888" s="57"/>
    </row>
    <row r="889" spans="17:18" x14ac:dyDescent="0.25">
      <c r="Q889" s="57"/>
      <c r="R889" s="57"/>
    </row>
    <row r="890" spans="17:18" x14ac:dyDescent="0.25">
      <c r="Q890" s="57"/>
      <c r="R890" s="57"/>
    </row>
    <row r="891" spans="17:18" x14ac:dyDescent="0.25">
      <c r="Q891" s="57"/>
      <c r="R891" s="57"/>
    </row>
    <row r="892" spans="17:18" x14ac:dyDescent="0.25">
      <c r="Q892" s="57"/>
      <c r="R892" s="57"/>
    </row>
    <row r="893" spans="17:18" x14ac:dyDescent="0.25">
      <c r="Q893" s="57"/>
      <c r="R893" s="57"/>
    </row>
    <row r="894" spans="17:18" x14ac:dyDescent="0.25">
      <c r="Q894" s="57"/>
      <c r="R894" s="57"/>
    </row>
    <row r="895" spans="17:18" x14ac:dyDescent="0.25">
      <c r="Q895" s="57"/>
      <c r="R895" s="57"/>
    </row>
    <row r="896" spans="17:18" x14ac:dyDescent="0.25">
      <c r="Q896" s="57"/>
      <c r="R896" s="57"/>
    </row>
    <row r="897" spans="17:18" x14ac:dyDescent="0.25">
      <c r="Q897" s="57"/>
      <c r="R897" s="57"/>
    </row>
    <row r="898" spans="17:18" x14ac:dyDescent="0.25">
      <c r="Q898" s="57"/>
      <c r="R898" s="57"/>
    </row>
    <row r="899" spans="17:18" x14ac:dyDescent="0.25">
      <c r="Q899" s="57"/>
      <c r="R899" s="57"/>
    </row>
    <row r="900" spans="17:18" x14ac:dyDescent="0.25">
      <c r="Q900" s="57"/>
      <c r="R900" s="57"/>
    </row>
    <row r="901" spans="17:18" x14ac:dyDescent="0.25">
      <c r="Q901" s="57"/>
      <c r="R901" s="57"/>
    </row>
    <row r="902" spans="17:18" x14ac:dyDescent="0.25">
      <c r="Q902" s="57"/>
      <c r="R902" s="57"/>
    </row>
    <row r="903" spans="17:18" x14ac:dyDescent="0.25">
      <c r="Q903" s="57"/>
      <c r="R903" s="57"/>
    </row>
    <row r="904" spans="17:18" x14ac:dyDescent="0.25">
      <c r="Q904" s="57"/>
      <c r="R904" s="57"/>
    </row>
    <row r="905" spans="17:18" x14ac:dyDescent="0.25">
      <c r="Q905" s="57"/>
      <c r="R905" s="57"/>
    </row>
    <row r="906" spans="17:18" x14ac:dyDescent="0.25">
      <c r="Q906" s="57"/>
      <c r="R906" s="57"/>
    </row>
    <row r="907" spans="17:18" x14ac:dyDescent="0.25">
      <c r="Q907" s="57"/>
      <c r="R907" s="57"/>
    </row>
    <row r="908" spans="17:18" x14ac:dyDescent="0.25">
      <c r="Q908" s="57"/>
      <c r="R908" s="57"/>
    </row>
    <row r="909" spans="17:18" x14ac:dyDescent="0.25">
      <c r="Q909" s="57"/>
      <c r="R909" s="57"/>
    </row>
    <row r="910" spans="17:18" x14ac:dyDescent="0.25">
      <c r="Q910" s="57"/>
      <c r="R910" s="57"/>
    </row>
    <row r="911" spans="17:18" x14ac:dyDescent="0.25">
      <c r="Q911" s="57"/>
      <c r="R911" s="57"/>
    </row>
    <row r="912" spans="17:18" x14ac:dyDescent="0.25">
      <c r="Q912" s="57"/>
      <c r="R912" s="57"/>
    </row>
    <row r="913" spans="17:18" x14ac:dyDescent="0.25">
      <c r="Q913" s="57"/>
      <c r="R913" s="57"/>
    </row>
    <row r="914" spans="17:18" x14ac:dyDescent="0.25">
      <c r="Q914" s="57"/>
      <c r="R914" s="57"/>
    </row>
    <row r="915" spans="17:18" x14ac:dyDescent="0.25">
      <c r="Q915" s="57"/>
      <c r="R915" s="57"/>
    </row>
    <row r="916" spans="17:18" x14ac:dyDescent="0.25">
      <c r="Q916" s="57"/>
      <c r="R916" s="57"/>
    </row>
    <row r="917" spans="17:18" x14ac:dyDescent="0.25">
      <c r="Q917" s="57"/>
      <c r="R917" s="57"/>
    </row>
    <row r="918" spans="17:18" x14ac:dyDescent="0.25">
      <c r="Q918" s="57"/>
      <c r="R918" s="57"/>
    </row>
    <row r="919" spans="17:18" x14ac:dyDescent="0.25">
      <c r="Q919" s="57"/>
      <c r="R919" s="57"/>
    </row>
    <row r="920" spans="17:18" x14ac:dyDescent="0.25">
      <c r="Q920" s="57"/>
      <c r="R920" s="57"/>
    </row>
    <row r="921" spans="17:18" x14ac:dyDescent="0.25">
      <c r="Q921" s="57"/>
      <c r="R921" s="57"/>
    </row>
    <row r="922" spans="17:18" x14ac:dyDescent="0.25">
      <c r="Q922" s="57"/>
      <c r="R922" s="57"/>
    </row>
    <row r="923" spans="17:18" x14ac:dyDescent="0.25">
      <c r="Q923" s="57"/>
      <c r="R923" s="57"/>
    </row>
    <row r="924" spans="17:18" x14ac:dyDescent="0.25">
      <c r="Q924" s="57"/>
      <c r="R924" s="57"/>
    </row>
    <row r="925" spans="17:18" x14ac:dyDescent="0.25">
      <c r="Q925" s="57"/>
      <c r="R925" s="57"/>
    </row>
    <row r="926" spans="17:18" x14ac:dyDescent="0.25">
      <c r="Q926" s="57"/>
      <c r="R926" s="57"/>
    </row>
    <row r="927" spans="17:18" x14ac:dyDescent="0.25">
      <c r="Q927" s="57"/>
      <c r="R927" s="57"/>
    </row>
    <row r="928" spans="17:18" x14ac:dyDescent="0.25">
      <c r="Q928" s="57"/>
      <c r="R928" s="57"/>
    </row>
    <row r="929" spans="17:18" x14ac:dyDescent="0.25">
      <c r="Q929" s="57"/>
      <c r="R929" s="57"/>
    </row>
    <row r="930" spans="17:18" x14ac:dyDescent="0.25">
      <c r="Q930" s="57"/>
      <c r="R930" s="57"/>
    </row>
    <row r="931" spans="17:18" x14ac:dyDescent="0.25">
      <c r="Q931" s="57"/>
      <c r="R931" s="57"/>
    </row>
    <row r="932" spans="17:18" x14ac:dyDescent="0.25">
      <c r="Q932" s="57"/>
      <c r="R932" s="57"/>
    </row>
    <row r="933" spans="17:18" x14ac:dyDescent="0.25">
      <c r="Q933" s="57"/>
      <c r="R933" s="57"/>
    </row>
    <row r="934" spans="17:18" x14ac:dyDescent="0.25">
      <c r="Q934" s="57"/>
      <c r="R934" s="57"/>
    </row>
    <row r="935" spans="17:18" x14ac:dyDescent="0.25">
      <c r="Q935" s="57"/>
      <c r="R935" s="57"/>
    </row>
    <row r="936" spans="17:18" x14ac:dyDescent="0.25">
      <c r="Q936" s="57"/>
      <c r="R936" s="57"/>
    </row>
    <row r="937" spans="17:18" x14ac:dyDescent="0.25">
      <c r="Q937" s="57"/>
      <c r="R937" s="57"/>
    </row>
    <row r="938" spans="17:18" x14ac:dyDescent="0.25">
      <c r="Q938" s="57"/>
      <c r="R938" s="57"/>
    </row>
    <row r="939" spans="17:18" x14ac:dyDescent="0.25">
      <c r="Q939" s="57"/>
      <c r="R939" s="57"/>
    </row>
    <row r="940" spans="17:18" x14ac:dyDescent="0.25">
      <c r="Q940" s="57"/>
      <c r="R940" s="57"/>
    </row>
    <row r="941" spans="17:18" x14ac:dyDescent="0.25">
      <c r="Q941" s="57"/>
      <c r="R941" s="57"/>
    </row>
    <row r="942" spans="17:18" x14ac:dyDescent="0.25">
      <c r="Q942" s="57"/>
      <c r="R942" s="57"/>
    </row>
    <row r="943" spans="17:18" x14ac:dyDescent="0.25">
      <c r="Q943" s="57"/>
      <c r="R943" s="57"/>
    </row>
    <row r="944" spans="17:18" x14ac:dyDescent="0.25">
      <c r="Q944" s="57"/>
      <c r="R944" s="57"/>
    </row>
    <row r="945" spans="17:18" x14ac:dyDescent="0.25">
      <c r="Q945" s="57"/>
      <c r="R945" s="57"/>
    </row>
    <row r="946" spans="17:18" x14ac:dyDescent="0.25">
      <c r="Q946" s="57"/>
      <c r="R946" s="57"/>
    </row>
    <row r="947" spans="17:18" x14ac:dyDescent="0.25">
      <c r="Q947" s="57"/>
      <c r="R947" s="57"/>
    </row>
    <row r="948" spans="17:18" x14ac:dyDescent="0.25">
      <c r="Q948" s="57"/>
      <c r="R948" s="57"/>
    </row>
    <row r="949" spans="17:18" x14ac:dyDescent="0.25">
      <c r="Q949" s="57"/>
      <c r="R949" s="57"/>
    </row>
    <row r="950" spans="17:18" x14ac:dyDescent="0.25">
      <c r="Q950" s="57"/>
      <c r="R950" s="57"/>
    </row>
    <row r="951" spans="17:18" x14ac:dyDescent="0.25">
      <c r="Q951" s="57"/>
      <c r="R951" s="57"/>
    </row>
    <row r="952" spans="17:18" x14ac:dyDescent="0.25">
      <c r="Q952" s="57"/>
      <c r="R952" s="57"/>
    </row>
    <row r="953" spans="17:18" x14ac:dyDescent="0.25">
      <c r="Q953" s="57"/>
      <c r="R953" s="57"/>
    </row>
    <row r="954" spans="17:18" x14ac:dyDescent="0.25">
      <c r="Q954" s="57"/>
      <c r="R954" s="57"/>
    </row>
    <row r="955" spans="17:18" x14ac:dyDescent="0.25">
      <c r="Q955" s="57"/>
      <c r="R955" s="57"/>
    </row>
    <row r="956" spans="17:18" x14ac:dyDescent="0.25">
      <c r="Q956" s="57"/>
      <c r="R956" s="57"/>
    </row>
    <row r="957" spans="17:18" x14ac:dyDescent="0.25">
      <c r="Q957" s="57"/>
      <c r="R957" s="57"/>
    </row>
    <row r="958" spans="17:18" x14ac:dyDescent="0.25">
      <c r="Q958" s="57"/>
      <c r="R958" s="57"/>
    </row>
    <row r="959" spans="17:18" x14ac:dyDescent="0.25">
      <c r="Q959" s="57"/>
      <c r="R959" s="57"/>
    </row>
    <row r="960" spans="17:18" x14ac:dyDescent="0.25">
      <c r="Q960" s="57"/>
      <c r="R960" s="57"/>
    </row>
    <row r="961" spans="17:18" x14ac:dyDescent="0.25">
      <c r="Q961" s="57"/>
      <c r="R961" s="57"/>
    </row>
    <row r="962" spans="17:18" x14ac:dyDescent="0.25">
      <c r="Q962" s="57"/>
      <c r="R962" s="57"/>
    </row>
    <row r="963" spans="17:18" x14ac:dyDescent="0.25">
      <c r="Q963" s="57"/>
      <c r="R963" s="57"/>
    </row>
    <row r="964" spans="17:18" x14ac:dyDescent="0.25">
      <c r="Q964" s="57"/>
      <c r="R964" s="57"/>
    </row>
    <row r="965" spans="17:18" x14ac:dyDescent="0.25">
      <c r="Q965" s="57"/>
      <c r="R965" s="57"/>
    </row>
    <row r="966" spans="17:18" x14ac:dyDescent="0.25">
      <c r="Q966" s="57"/>
      <c r="R966" s="57"/>
    </row>
    <row r="967" spans="17:18" x14ac:dyDescent="0.25">
      <c r="Q967" s="57"/>
      <c r="R967" s="57"/>
    </row>
    <row r="968" spans="17:18" x14ac:dyDescent="0.25">
      <c r="Q968" s="57"/>
      <c r="R968" s="57"/>
    </row>
    <row r="969" spans="17:18" x14ac:dyDescent="0.25">
      <c r="Q969" s="57"/>
      <c r="R969" s="57"/>
    </row>
    <row r="970" spans="17:18" x14ac:dyDescent="0.25">
      <c r="Q970" s="57"/>
      <c r="R970" s="57"/>
    </row>
    <row r="971" spans="17:18" x14ac:dyDescent="0.25">
      <c r="Q971" s="57"/>
      <c r="R971" s="57"/>
    </row>
    <row r="972" spans="17:18" x14ac:dyDescent="0.25">
      <c r="Q972" s="57"/>
      <c r="R972" s="57"/>
    </row>
    <row r="973" spans="17:18" x14ac:dyDescent="0.25">
      <c r="Q973" s="57"/>
      <c r="R973" s="57"/>
    </row>
    <row r="974" spans="17:18" x14ac:dyDescent="0.25">
      <c r="Q974" s="57"/>
      <c r="R974" s="57"/>
    </row>
    <row r="975" spans="17:18" x14ac:dyDescent="0.25">
      <c r="Q975" s="57"/>
      <c r="R975" s="57"/>
    </row>
    <row r="976" spans="17:18" x14ac:dyDescent="0.25">
      <c r="Q976" s="57"/>
      <c r="R976" s="57"/>
    </row>
    <row r="977" spans="17:18" x14ac:dyDescent="0.25">
      <c r="Q977" s="57"/>
      <c r="R977" s="57"/>
    </row>
    <row r="978" spans="17:18" x14ac:dyDescent="0.25">
      <c r="Q978" s="57"/>
      <c r="R978" s="57"/>
    </row>
    <row r="979" spans="17:18" x14ac:dyDescent="0.25">
      <c r="Q979" s="57"/>
      <c r="R979" s="57"/>
    </row>
    <row r="980" spans="17:18" x14ac:dyDescent="0.25">
      <c r="Q980" s="57"/>
      <c r="R980" s="57"/>
    </row>
    <row r="981" spans="17:18" x14ac:dyDescent="0.25">
      <c r="Q981" s="57"/>
      <c r="R981" s="57"/>
    </row>
    <row r="982" spans="17:18" x14ac:dyDescent="0.25">
      <c r="Q982" s="57"/>
      <c r="R982" s="57"/>
    </row>
    <row r="983" spans="17:18" x14ac:dyDescent="0.25">
      <c r="Q983" s="57"/>
      <c r="R983" s="57"/>
    </row>
    <row r="984" spans="17:18" x14ac:dyDescent="0.25">
      <c r="Q984" s="57"/>
      <c r="R984" s="57"/>
    </row>
    <row r="985" spans="17:18" x14ac:dyDescent="0.25">
      <c r="Q985" s="57"/>
      <c r="R985" s="57"/>
    </row>
    <row r="986" spans="17:18" x14ac:dyDescent="0.25">
      <c r="Q986" s="57"/>
      <c r="R986" s="57"/>
    </row>
    <row r="987" spans="17:18" x14ac:dyDescent="0.25">
      <c r="Q987" s="57"/>
      <c r="R987" s="57"/>
    </row>
    <row r="988" spans="17:18" x14ac:dyDescent="0.25">
      <c r="Q988" s="57"/>
      <c r="R988" s="57"/>
    </row>
    <row r="989" spans="17:18" x14ac:dyDescent="0.25">
      <c r="Q989" s="57"/>
      <c r="R989" s="57"/>
    </row>
    <row r="990" spans="17:18" x14ac:dyDescent="0.25">
      <c r="Q990" s="57"/>
      <c r="R990" s="57"/>
    </row>
    <row r="991" spans="17:18" x14ac:dyDescent="0.25">
      <c r="Q991" s="57"/>
      <c r="R991" s="57"/>
    </row>
    <row r="992" spans="17:18" x14ac:dyDescent="0.25">
      <c r="Q992" s="57"/>
      <c r="R992" s="57"/>
    </row>
    <row r="993" spans="17:18" x14ac:dyDescent="0.25">
      <c r="Q993" s="57"/>
      <c r="R993" s="57"/>
    </row>
    <row r="994" spans="17:18" x14ac:dyDescent="0.25">
      <c r="Q994" s="57"/>
      <c r="R994" s="57"/>
    </row>
    <row r="995" spans="17:18" x14ac:dyDescent="0.25">
      <c r="Q995" s="57"/>
      <c r="R995" s="57"/>
    </row>
    <row r="996" spans="17:18" x14ac:dyDescent="0.25">
      <c r="Q996" s="57"/>
      <c r="R996" s="57"/>
    </row>
    <row r="997" spans="17:18" x14ac:dyDescent="0.25">
      <c r="Q997" s="57"/>
      <c r="R997" s="57"/>
    </row>
    <row r="998" spans="17:18" x14ac:dyDescent="0.25">
      <c r="Q998" s="57"/>
      <c r="R998" s="57"/>
    </row>
    <row r="999" spans="17:18" x14ac:dyDescent="0.25">
      <c r="Q999" s="57"/>
      <c r="R999" s="57"/>
    </row>
    <row r="1000" spans="17:18" x14ac:dyDescent="0.25">
      <c r="Q1000" s="57"/>
      <c r="R1000" s="57"/>
    </row>
    <row r="1001" spans="17:18" x14ac:dyDescent="0.25">
      <c r="Q1001" s="57"/>
      <c r="R1001" s="57"/>
    </row>
    <row r="1002" spans="17:18" x14ac:dyDescent="0.25">
      <c r="Q1002" s="57"/>
      <c r="R1002" s="57"/>
    </row>
    <row r="1003" spans="17:18" x14ac:dyDescent="0.25">
      <c r="Q1003" s="57"/>
      <c r="R1003" s="57"/>
    </row>
    <row r="1004" spans="17:18" x14ac:dyDescent="0.25">
      <c r="Q1004" s="57"/>
      <c r="R1004" s="57"/>
    </row>
    <row r="1005" spans="17:18" x14ac:dyDescent="0.25">
      <c r="Q1005" s="57"/>
      <c r="R1005" s="57"/>
    </row>
    <row r="1006" spans="17:18" x14ac:dyDescent="0.25">
      <c r="Q1006" s="57"/>
      <c r="R1006" s="57"/>
    </row>
    <row r="1007" spans="17:18" x14ac:dyDescent="0.25">
      <c r="Q1007" s="57"/>
      <c r="R1007" s="57"/>
    </row>
    <row r="1008" spans="17:18" x14ac:dyDescent="0.25">
      <c r="Q1008" s="57"/>
      <c r="R1008" s="57"/>
    </row>
    <row r="1009" spans="17:18" x14ac:dyDescent="0.25">
      <c r="Q1009" s="57"/>
      <c r="R1009" s="57"/>
    </row>
    <row r="1010" spans="17:18" x14ac:dyDescent="0.25">
      <c r="Q1010" s="57"/>
      <c r="R1010" s="57"/>
    </row>
    <row r="1011" spans="17:18" x14ac:dyDescent="0.25">
      <c r="Q1011" s="57"/>
      <c r="R1011" s="57"/>
    </row>
    <row r="1012" spans="17:18" x14ac:dyDescent="0.25">
      <c r="Q1012" s="57"/>
      <c r="R1012" s="57"/>
    </row>
    <row r="1013" spans="17:18" x14ac:dyDescent="0.25">
      <c r="Q1013" s="57"/>
      <c r="R1013" s="57"/>
    </row>
    <row r="1014" spans="17:18" x14ac:dyDescent="0.25">
      <c r="Q1014" s="57"/>
      <c r="R1014" s="57"/>
    </row>
    <row r="1015" spans="17:18" x14ac:dyDescent="0.25">
      <c r="Q1015" s="57"/>
      <c r="R1015" s="57"/>
    </row>
    <row r="1016" spans="17:18" x14ac:dyDescent="0.25">
      <c r="Q1016" s="57"/>
      <c r="R1016" s="57"/>
    </row>
    <row r="1017" spans="17:18" x14ac:dyDescent="0.25">
      <c r="Q1017" s="57"/>
      <c r="R1017" s="57"/>
    </row>
    <row r="1018" spans="17:18" x14ac:dyDescent="0.25">
      <c r="Q1018" s="57"/>
      <c r="R1018" s="57"/>
    </row>
    <row r="1019" spans="17:18" x14ac:dyDescent="0.25">
      <c r="Q1019" s="57"/>
      <c r="R1019" s="57"/>
    </row>
    <row r="1020" spans="17:18" x14ac:dyDescent="0.25">
      <c r="Q1020" s="57"/>
      <c r="R1020" s="57"/>
    </row>
    <row r="1021" spans="17:18" x14ac:dyDescent="0.25">
      <c r="Q1021" s="57"/>
      <c r="R1021" s="57"/>
    </row>
    <row r="1022" spans="17:18" x14ac:dyDescent="0.25">
      <c r="Q1022" s="57"/>
      <c r="R1022" s="57"/>
    </row>
    <row r="1023" spans="17:18" x14ac:dyDescent="0.25">
      <c r="Q1023" s="57"/>
      <c r="R1023" s="57"/>
    </row>
    <row r="1024" spans="17:18" x14ac:dyDescent="0.25">
      <c r="Q1024" s="57"/>
      <c r="R1024" s="57"/>
    </row>
    <row r="1025" spans="17:18" x14ac:dyDescent="0.25">
      <c r="Q1025" s="57"/>
      <c r="R1025" s="57"/>
    </row>
    <row r="1026" spans="17:18" x14ac:dyDescent="0.25">
      <c r="Q1026" s="57"/>
      <c r="R1026" s="57"/>
    </row>
    <row r="1027" spans="17:18" x14ac:dyDescent="0.25">
      <c r="Q1027" s="57"/>
      <c r="R1027" s="57"/>
    </row>
    <row r="1028" spans="17:18" x14ac:dyDescent="0.25">
      <c r="Q1028" s="57"/>
      <c r="R1028" s="57"/>
    </row>
    <row r="1029" spans="17:18" x14ac:dyDescent="0.25">
      <c r="Q1029" s="57"/>
      <c r="R1029" s="57"/>
    </row>
    <row r="1030" spans="17:18" x14ac:dyDescent="0.25">
      <c r="Q1030" s="57"/>
      <c r="R1030" s="57"/>
    </row>
    <row r="1031" spans="17:18" x14ac:dyDescent="0.25">
      <c r="Q1031" s="57"/>
      <c r="R1031" s="57"/>
    </row>
    <row r="1032" spans="17:18" x14ac:dyDescent="0.25">
      <c r="Q1032" s="57"/>
      <c r="R1032" s="57"/>
    </row>
    <row r="1033" spans="17:18" x14ac:dyDescent="0.25">
      <c r="Q1033" s="57"/>
      <c r="R1033" s="57"/>
    </row>
    <row r="1034" spans="17:18" x14ac:dyDescent="0.25">
      <c r="Q1034" s="57"/>
      <c r="R1034" s="57"/>
    </row>
    <row r="1035" spans="17:18" x14ac:dyDescent="0.25">
      <c r="Q1035" s="57"/>
      <c r="R1035" s="57"/>
    </row>
    <row r="1036" spans="17:18" x14ac:dyDescent="0.25">
      <c r="Q1036" s="57"/>
      <c r="R1036" s="57"/>
    </row>
    <row r="1037" spans="17:18" x14ac:dyDescent="0.25">
      <c r="Q1037" s="57"/>
      <c r="R1037" s="57"/>
    </row>
    <row r="1038" spans="17:18" x14ac:dyDescent="0.25">
      <c r="Q1038" s="57"/>
      <c r="R1038" s="57"/>
    </row>
    <row r="1039" spans="17:18" x14ac:dyDescent="0.25">
      <c r="Q1039" s="57"/>
      <c r="R1039" s="57"/>
    </row>
    <row r="1040" spans="17:18" x14ac:dyDescent="0.25">
      <c r="Q1040" s="57"/>
      <c r="R1040" s="57"/>
    </row>
    <row r="1041" spans="17:18" x14ac:dyDescent="0.25">
      <c r="Q1041" s="57"/>
      <c r="R1041" s="57"/>
    </row>
    <row r="1042" spans="17:18" x14ac:dyDescent="0.25">
      <c r="Q1042" s="57"/>
      <c r="R1042" s="57"/>
    </row>
    <row r="1043" spans="17:18" x14ac:dyDescent="0.25">
      <c r="Q1043" s="57"/>
      <c r="R1043" s="57"/>
    </row>
    <row r="1044" spans="17:18" x14ac:dyDescent="0.25">
      <c r="Q1044" s="57"/>
      <c r="R1044" s="57"/>
    </row>
    <row r="1045" spans="17:18" x14ac:dyDescent="0.25">
      <c r="Q1045" s="57"/>
      <c r="R1045" s="57"/>
    </row>
    <row r="1046" spans="17:18" x14ac:dyDescent="0.25">
      <c r="Q1046" s="57"/>
      <c r="R1046" s="57"/>
    </row>
    <row r="1047" spans="17:18" x14ac:dyDescent="0.25">
      <c r="Q1047" s="57"/>
      <c r="R1047" s="57"/>
    </row>
    <row r="1048" spans="17:18" x14ac:dyDescent="0.25">
      <c r="Q1048" s="57"/>
      <c r="R1048" s="57"/>
    </row>
    <row r="1049" spans="17:18" x14ac:dyDescent="0.25">
      <c r="Q1049" s="57"/>
      <c r="R1049" s="57"/>
    </row>
    <row r="1050" spans="17:18" x14ac:dyDescent="0.25">
      <c r="Q1050" s="57"/>
      <c r="R1050" s="57"/>
    </row>
    <row r="1051" spans="17:18" x14ac:dyDescent="0.25">
      <c r="Q1051" s="57"/>
      <c r="R1051" s="57"/>
    </row>
    <row r="1052" spans="17:18" x14ac:dyDescent="0.25">
      <c r="Q1052" s="57"/>
      <c r="R1052" s="57"/>
    </row>
    <row r="1053" spans="17:18" x14ac:dyDescent="0.25">
      <c r="Q1053" s="57"/>
      <c r="R1053" s="57"/>
    </row>
    <row r="1054" spans="17:18" x14ac:dyDescent="0.25">
      <c r="Q1054" s="57"/>
      <c r="R1054" s="57"/>
    </row>
    <row r="1055" spans="17:18" x14ac:dyDescent="0.25">
      <c r="Q1055" s="57"/>
      <c r="R1055" s="57"/>
    </row>
    <row r="1056" spans="17:18" x14ac:dyDescent="0.25">
      <c r="Q1056" s="57"/>
      <c r="R1056" s="57"/>
    </row>
    <row r="1057" spans="17:18" x14ac:dyDescent="0.25">
      <c r="Q1057" s="57"/>
      <c r="R1057" s="57"/>
    </row>
    <row r="1058" spans="17:18" x14ac:dyDescent="0.25">
      <c r="Q1058" s="57"/>
      <c r="R1058" s="57"/>
    </row>
    <row r="1059" spans="17:18" x14ac:dyDescent="0.25">
      <c r="Q1059" s="57"/>
      <c r="R1059" s="57"/>
    </row>
    <row r="1060" spans="17:18" x14ac:dyDescent="0.25">
      <c r="Q1060" s="57"/>
      <c r="R1060" s="57"/>
    </row>
    <row r="1061" spans="17:18" x14ac:dyDescent="0.25">
      <c r="Q1061" s="57"/>
      <c r="R1061" s="57"/>
    </row>
    <row r="1062" spans="17:18" x14ac:dyDescent="0.25">
      <c r="Q1062" s="57"/>
      <c r="R1062" s="57"/>
    </row>
    <row r="1063" spans="17:18" x14ac:dyDescent="0.25">
      <c r="Q1063" s="57"/>
      <c r="R1063" s="57"/>
    </row>
    <row r="1064" spans="17:18" x14ac:dyDescent="0.25">
      <c r="Q1064" s="57"/>
      <c r="R1064" s="57"/>
    </row>
    <row r="1065" spans="17:18" x14ac:dyDescent="0.25">
      <c r="Q1065" s="57"/>
      <c r="R1065" s="57"/>
    </row>
    <row r="1066" spans="17:18" x14ac:dyDescent="0.25">
      <c r="Q1066" s="57"/>
      <c r="R1066" s="57"/>
    </row>
    <row r="1067" spans="17:18" x14ac:dyDescent="0.25">
      <c r="Q1067" s="57"/>
      <c r="R1067" s="57"/>
    </row>
    <row r="1068" spans="17:18" x14ac:dyDescent="0.25">
      <c r="Q1068" s="57"/>
      <c r="R1068" s="57"/>
    </row>
    <row r="1069" spans="17:18" x14ac:dyDescent="0.25">
      <c r="Q1069" s="57"/>
      <c r="R1069" s="57"/>
    </row>
    <row r="1070" spans="17:18" x14ac:dyDescent="0.25">
      <c r="Q1070" s="57"/>
      <c r="R1070" s="57"/>
    </row>
    <row r="1071" spans="17:18" x14ac:dyDescent="0.25">
      <c r="Q1071" s="57"/>
      <c r="R1071" s="57"/>
    </row>
    <row r="1072" spans="17:18" x14ac:dyDescent="0.25">
      <c r="Q1072" s="57"/>
      <c r="R1072" s="57"/>
    </row>
    <row r="1073" spans="17:18" x14ac:dyDescent="0.25">
      <c r="Q1073" s="57"/>
      <c r="R1073" s="57"/>
    </row>
    <row r="1074" spans="17:18" x14ac:dyDescent="0.25">
      <c r="Q1074" s="57"/>
      <c r="R1074" s="57"/>
    </row>
    <row r="1075" spans="17:18" x14ac:dyDescent="0.25">
      <c r="Q1075" s="57"/>
      <c r="R1075" s="57"/>
    </row>
    <row r="1076" spans="17:18" x14ac:dyDescent="0.25">
      <c r="Q1076" s="57"/>
      <c r="R1076" s="57"/>
    </row>
    <row r="1077" spans="17:18" x14ac:dyDescent="0.25">
      <c r="Q1077" s="57"/>
      <c r="R1077" s="57"/>
    </row>
    <row r="1078" spans="17:18" x14ac:dyDescent="0.25">
      <c r="Q1078" s="57"/>
      <c r="R1078" s="57"/>
    </row>
    <row r="1079" spans="17:18" x14ac:dyDescent="0.25">
      <c r="Q1079" s="57"/>
      <c r="R1079" s="57"/>
    </row>
    <row r="1080" spans="17:18" x14ac:dyDescent="0.25">
      <c r="Q1080" s="57"/>
      <c r="R1080" s="57"/>
    </row>
    <row r="1081" spans="17:18" x14ac:dyDescent="0.25">
      <c r="Q1081" s="57"/>
      <c r="R1081" s="57"/>
    </row>
    <row r="1082" spans="17:18" x14ac:dyDescent="0.25">
      <c r="Q1082" s="57"/>
      <c r="R1082" s="57"/>
    </row>
    <row r="1083" spans="17:18" x14ac:dyDescent="0.25">
      <c r="Q1083" s="57"/>
      <c r="R1083" s="57"/>
    </row>
    <row r="1084" spans="17:18" x14ac:dyDescent="0.25">
      <c r="Q1084" s="57"/>
      <c r="R1084" s="57"/>
    </row>
    <row r="1085" spans="17:18" x14ac:dyDescent="0.25">
      <c r="Q1085" s="57"/>
      <c r="R1085" s="57"/>
    </row>
    <row r="1086" spans="17:18" x14ac:dyDescent="0.25">
      <c r="Q1086" s="57"/>
      <c r="R1086" s="57"/>
    </row>
    <row r="1087" spans="17:18" x14ac:dyDescent="0.25">
      <c r="Q1087" s="57"/>
      <c r="R1087" s="57"/>
    </row>
    <row r="1088" spans="17:18" x14ac:dyDescent="0.25">
      <c r="Q1088" s="57"/>
      <c r="R1088" s="57"/>
    </row>
    <row r="1089" spans="17:18" x14ac:dyDescent="0.25">
      <c r="Q1089" s="57"/>
      <c r="R1089" s="57"/>
    </row>
    <row r="1090" spans="17:18" x14ac:dyDescent="0.25">
      <c r="Q1090" s="57"/>
      <c r="R1090" s="57"/>
    </row>
    <row r="1091" spans="17:18" x14ac:dyDescent="0.25">
      <c r="Q1091" s="57"/>
      <c r="R1091" s="57"/>
    </row>
    <row r="1092" spans="17:18" x14ac:dyDescent="0.25">
      <c r="Q1092" s="57"/>
      <c r="R1092" s="57"/>
    </row>
    <row r="1093" spans="17:18" x14ac:dyDescent="0.25">
      <c r="Q1093" s="57"/>
      <c r="R1093" s="57"/>
    </row>
    <row r="1094" spans="17:18" x14ac:dyDescent="0.25">
      <c r="Q1094" s="57"/>
      <c r="R1094" s="57"/>
    </row>
    <row r="1095" spans="17:18" x14ac:dyDescent="0.25">
      <c r="Q1095" s="57"/>
      <c r="R1095" s="57"/>
    </row>
    <row r="1096" spans="17:18" x14ac:dyDescent="0.25">
      <c r="Q1096" s="57"/>
      <c r="R1096" s="57"/>
    </row>
    <row r="1097" spans="17:18" x14ac:dyDescent="0.25">
      <c r="Q1097" s="57"/>
      <c r="R1097" s="57"/>
    </row>
    <row r="1098" spans="17:18" x14ac:dyDescent="0.25">
      <c r="Q1098" s="57"/>
      <c r="R1098" s="57"/>
    </row>
    <row r="1099" spans="17:18" x14ac:dyDescent="0.25">
      <c r="Q1099" s="57"/>
      <c r="R1099" s="57"/>
    </row>
    <row r="1100" spans="17:18" x14ac:dyDescent="0.25">
      <c r="Q1100" s="57"/>
      <c r="R1100" s="57"/>
    </row>
    <row r="1101" spans="17:18" x14ac:dyDescent="0.25">
      <c r="Q1101" s="57"/>
      <c r="R1101" s="57"/>
    </row>
    <row r="1102" spans="17:18" x14ac:dyDescent="0.25">
      <c r="Q1102" s="57"/>
      <c r="R1102" s="57"/>
    </row>
    <row r="1103" spans="17:18" x14ac:dyDescent="0.25">
      <c r="Q1103" s="57"/>
      <c r="R1103" s="57"/>
    </row>
    <row r="1104" spans="17:18" x14ac:dyDescent="0.25">
      <c r="Q1104" s="57"/>
      <c r="R1104" s="57"/>
    </row>
    <row r="1105" spans="17:18" x14ac:dyDescent="0.25">
      <c r="Q1105" s="57"/>
      <c r="R1105" s="57"/>
    </row>
    <row r="1106" spans="17:18" x14ac:dyDescent="0.25">
      <c r="Q1106" s="57"/>
      <c r="R1106" s="57"/>
    </row>
    <row r="1107" spans="17:18" x14ac:dyDescent="0.25">
      <c r="Q1107" s="57"/>
      <c r="R1107" s="57"/>
    </row>
    <row r="1108" spans="17:18" x14ac:dyDescent="0.25">
      <c r="Q1108" s="57"/>
      <c r="R1108" s="57"/>
    </row>
    <row r="1109" spans="17:18" x14ac:dyDescent="0.25">
      <c r="Q1109" s="57"/>
      <c r="R1109" s="57"/>
    </row>
    <row r="1110" spans="17:18" x14ac:dyDescent="0.25">
      <c r="Q1110" s="57"/>
      <c r="R1110" s="57"/>
    </row>
    <row r="1111" spans="17:18" x14ac:dyDescent="0.25">
      <c r="Q1111" s="57"/>
      <c r="R1111" s="57"/>
    </row>
    <row r="1112" spans="17:18" x14ac:dyDescent="0.25">
      <c r="Q1112" s="57"/>
      <c r="R1112" s="57"/>
    </row>
    <row r="1113" spans="17:18" x14ac:dyDescent="0.25">
      <c r="Q1113" s="57"/>
      <c r="R1113" s="57"/>
    </row>
    <row r="1114" spans="17:18" x14ac:dyDescent="0.25">
      <c r="Q1114" s="57"/>
      <c r="R1114" s="57"/>
    </row>
    <row r="1115" spans="17:18" x14ac:dyDescent="0.25">
      <c r="Q1115" s="57"/>
      <c r="R1115" s="57"/>
    </row>
    <row r="1116" spans="17:18" x14ac:dyDescent="0.25">
      <c r="Q1116" s="57"/>
      <c r="R1116" s="57"/>
    </row>
    <row r="1117" spans="17:18" x14ac:dyDescent="0.25">
      <c r="Q1117" s="57"/>
      <c r="R1117" s="57"/>
    </row>
    <row r="1118" spans="17:18" x14ac:dyDescent="0.25">
      <c r="Q1118" s="57"/>
      <c r="R1118" s="57"/>
    </row>
    <row r="1119" spans="17:18" x14ac:dyDescent="0.25">
      <c r="Q1119" s="57"/>
      <c r="R1119" s="57"/>
    </row>
    <row r="1120" spans="17:18" x14ac:dyDescent="0.25">
      <c r="Q1120" s="57"/>
      <c r="R1120" s="57"/>
    </row>
    <row r="1121" spans="17:18" x14ac:dyDescent="0.25">
      <c r="Q1121" s="57"/>
      <c r="R1121" s="57"/>
    </row>
    <row r="1122" spans="17:18" x14ac:dyDescent="0.25">
      <c r="Q1122" s="57"/>
      <c r="R1122" s="57"/>
    </row>
    <row r="1123" spans="17:18" x14ac:dyDescent="0.25">
      <c r="Q1123" s="57"/>
      <c r="R1123" s="57"/>
    </row>
    <row r="1124" spans="17:18" x14ac:dyDescent="0.25">
      <c r="Q1124" s="57"/>
      <c r="R1124" s="57"/>
    </row>
    <row r="1125" spans="17:18" x14ac:dyDescent="0.25">
      <c r="Q1125" s="57"/>
      <c r="R1125" s="57"/>
    </row>
    <row r="1126" spans="17:18" x14ac:dyDescent="0.25">
      <c r="Q1126" s="57"/>
      <c r="R1126" s="57"/>
    </row>
    <row r="1127" spans="17:18" x14ac:dyDescent="0.25">
      <c r="Q1127" s="57"/>
      <c r="R1127" s="57"/>
    </row>
    <row r="1128" spans="17:18" x14ac:dyDescent="0.25">
      <c r="Q1128" s="57"/>
      <c r="R1128" s="57"/>
    </row>
    <row r="1129" spans="17:18" x14ac:dyDescent="0.25">
      <c r="Q1129" s="57"/>
      <c r="R1129" s="57"/>
    </row>
    <row r="1130" spans="17:18" x14ac:dyDescent="0.25">
      <c r="Q1130" s="57"/>
      <c r="R1130" s="57"/>
    </row>
    <row r="1131" spans="17:18" x14ac:dyDescent="0.25">
      <c r="Q1131" s="57"/>
      <c r="R1131" s="57"/>
    </row>
    <row r="1132" spans="17:18" x14ac:dyDescent="0.25">
      <c r="Q1132" s="57"/>
      <c r="R1132" s="57"/>
    </row>
    <row r="1133" spans="17:18" x14ac:dyDescent="0.25">
      <c r="Q1133" s="57"/>
      <c r="R1133" s="57"/>
    </row>
    <row r="1134" spans="17:18" x14ac:dyDescent="0.25">
      <c r="Q1134" s="57"/>
      <c r="R1134" s="57"/>
    </row>
    <row r="1135" spans="17:18" x14ac:dyDescent="0.25">
      <c r="Q1135" s="57"/>
      <c r="R1135" s="57"/>
    </row>
    <row r="1136" spans="17:18" x14ac:dyDescent="0.25">
      <c r="Q1136" s="57"/>
      <c r="R1136" s="57"/>
    </row>
    <row r="1137" spans="17:18" x14ac:dyDescent="0.25">
      <c r="Q1137" s="57"/>
      <c r="R1137" s="57"/>
    </row>
    <row r="1138" spans="17:18" x14ac:dyDescent="0.25">
      <c r="Q1138" s="57"/>
      <c r="R1138" s="57"/>
    </row>
    <row r="1139" spans="17:18" x14ac:dyDescent="0.25">
      <c r="Q1139" s="57"/>
      <c r="R1139" s="57"/>
    </row>
    <row r="1140" spans="17:18" x14ac:dyDescent="0.25">
      <c r="Q1140" s="57"/>
      <c r="R1140" s="57"/>
    </row>
    <row r="1141" spans="17:18" x14ac:dyDescent="0.25">
      <c r="Q1141" s="57"/>
      <c r="R1141" s="57"/>
    </row>
    <row r="1142" spans="17:18" x14ac:dyDescent="0.25">
      <c r="Q1142" s="57"/>
      <c r="R1142" s="57"/>
    </row>
    <row r="1143" spans="17:18" x14ac:dyDescent="0.25">
      <c r="Q1143" s="57"/>
      <c r="R1143" s="57"/>
    </row>
    <row r="1144" spans="17:18" x14ac:dyDescent="0.25">
      <c r="Q1144" s="57"/>
      <c r="R1144" s="57"/>
    </row>
    <row r="1145" spans="17:18" x14ac:dyDescent="0.25">
      <c r="Q1145" s="57"/>
      <c r="R1145" s="57"/>
    </row>
    <row r="1146" spans="17:18" x14ac:dyDescent="0.25">
      <c r="Q1146" s="57"/>
      <c r="R1146" s="57"/>
    </row>
    <row r="1147" spans="17:18" x14ac:dyDescent="0.25">
      <c r="Q1147" s="57"/>
      <c r="R1147" s="57"/>
    </row>
    <row r="1148" spans="17:18" x14ac:dyDescent="0.25">
      <c r="Q1148" s="57"/>
      <c r="R1148" s="57"/>
    </row>
    <row r="1149" spans="17:18" x14ac:dyDescent="0.25">
      <c r="Q1149" s="57"/>
      <c r="R1149" s="57"/>
    </row>
    <row r="1150" spans="17:18" x14ac:dyDescent="0.25">
      <c r="Q1150" s="57"/>
      <c r="R1150" s="57"/>
    </row>
    <row r="1151" spans="17:18" x14ac:dyDescent="0.25">
      <c r="Q1151" s="57"/>
      <c r="R1151" s="57"/>
    </row>
    <row r="1152" spans="17:18" x14ac:dyDescent="0.25">
      <c r="Q1152" s="57"/>
      <c r="R1152" s="57"/>
    </row>
    <row r="1153" spans="17:18" x14ac:dyDescent="0.25">
      <c r="Q1153" s="57"/>
      <c r="R1153" s="57"/>
    </row>
    <row r="1154" spans="17:18" x14ac:dyDescent="0.25">
      <c r="Q1154" s="57"/>
      <c r="R1154" s="57"/>
    </row>
    <row r="1155" spans="17:18" x14ac:dyDescent="0.25">
      <c r="Q1155" s="57"/>
      <c r="R1155" s="57"/>
    </row>
    <row r="1156" spans="17:18" x14ac:dyDescent="0.25">
      <c r="Q1156" s="57"/>
      <c r="R1156" s="57"/>
    </row>
    <row r="1157" spans="17:18" x14ac:dyDescent="0.25">
      <c r="Q1157" s="57"/>
      <c r="R1157" s="57"/>
    </row>
    <row r="1158" spans="17:18" x14ac:dyDescent="0.25">
      <c r="Q1158" s="57"/>
      <c r="R1158" s="57"/>
    </row>
    <row r="1159" spans="17:18" x14ac:dyDescent="0.25">
      <c r="Q1159" s="57"/>
      <c r="R1159" s="57"/>
    </row>
    <row r="1160" spans="17:18" x14ac:dyDescent="0.25">
      <c r="Q1160" s="57"/>
      <c r="R1160" s="57"/>
    </row>
    <row r="1161" spans="17:18" x14ac:dyDescent="0.25">
      <c r="Q1161" s="57"/>
      <c r="R1161" s="57"/>
    </row>
    <row r="1162" spans="17:18" x14ac:dyDescent="0.25">
      <c r="Q1162" s="57"/>
      <c r="R1162" s="57"/>
    </row>
    <row r="1163" spans="17:18" x14ac:dyDescent="0.25">
      <c r="Q1163" s="57"/>
      <c r="R1163" s="57"/>
    </row>
    <row r="1164" spans="17:18" x14ac:dyDescent="0.25">
      <c r="Q1164" s="57"/>
      <c r="R1164" s="57"/>
    </row>
    <row r="1165" spans="17:18" x14ac:dyDescent="0.25">
      <c r="Q1165" s="57"/>
      <c r="R1165" s="57"/>
    </row>
    <row r="1166" spans="17:18" x14ac:dyDescent="0.25">
      <c r="Q1166" s="57"/>
      <c r="R1166" s="57"/>
    </row>
    <row r="1167" spans="17:18" x14ac:dyDescent="0.25">
      <c r="Q1167" s="57"/>
      <c r="R1167" s="57"/>
    </row>
    <row r="1168" spans="17:18" x14ac:dyDescent="0.25">
      <c r="Q1168" s="57"/>
      <c r="R1168" s="57"/>
    </row>
    <row r="1169" spans="17:18" x14ac:dyDescent="0.25">
      <c r="Q1169" s="57"/>
      <c r="R1169" s="57"/>
    </row>
    <row r="1170" spans="17:18" x14ac:dyDescent="0.25">
      <c r="Q1170" s="57"/>
      <c r="R1170" s="57"/>
    </row>
    <row r="1171" spans="17:18" x14ac:dyDescent="0.25">
      <c r="Q1171" s="57"/>
      <c r="R1171" s="57"/>
    </row>
    <row r="1172" spans="17:18" x14ac:dyDescent="0.25">
      <c r="Q1172" s="57"/>
      <c r="R1172" s="57"/>
    </row>
    <row r="1173" spans="17:18" x14ac:dyDescent="0.25">
      <c r="Q1173" s="57"/>
      <c r="R1173" s="57"/>
    </row>
    <row r="1174" spans="17:18" x14ac:dyDescent="0.25">
      <c r="Q1174" s="57"/>
      <c r="R1174" s="57"/>
    </row>
    <row r="1175" spans="17:18" x14ac:dyDescent="0.25">
      <c r="Q1175" s="57"/>
      <c r="R1175" s="57"/>
    </row>
    <row r="1176" spans="17:18" x14ac:dyDescent="0.25">
      <c r="Q1176" s="57"/>
      <c r="R1176" s="57"/>
    </row>
    <row r="1177" spans="17:18" x14ac:dyDescent="0.25">
      <c r="Q1177" s="57"/>
      <c r="R1177" s="57"/>
    </row>
    <row r="1178" spans="17:18" x14ac:dyDescent="0.25">
      <c r="Q1178" s="57"/>
      <c r="R1178" s="57"/>
    </row>
    <row r="1179" spans="17:18" x14ac:dyDescent="0.25">
      <c r="Q1179" s="57"/>
      <c r="R1179" s="57"/>
    </row>
    <row r="1180" spans="17:18" x14ac:dyDescent="0.25">
      <c r="Q1180" s="57"/>
      <c r="R1180" s="57"/>
    </row>
    <row r="1181" spans="17:18" x14ac:dyDescent="0.25">
      <c r="Q1181" s="57"/>
      <c r="R1181" s="57"/>
    </row>
    <row r="1182" spans="17:18" x14ac:dyDescent="0.25">
      <c r="Q1182" s="57"/>
      <c r="R1182" s="57"/>
    </row>
    <row r="1183" spans="17:18" x14ac:dyDescent="0.25">
      <c r="Q1183" s="57"/>
      <c r="R1183" s="57"/>
    </row>
    <row r="1184" spans="17:18" x14ac:dyDescent="0.25">
      <c r="Q1184" s="57"/>
      <c r="R1184" s="57"/>
    </row>
    <row r="1185" spans="17:18" x14ac:dyDescent="0.25">
      <c r="Q1185" s="57"/>
      <c r="R1185" s="57"/>
    </row>
    <row r="1186" spans="17:18" x14ac:dyDescent="0.25">
      <c r="Q1186" s="57"/>
      <c r="R1186" s="57"/>
    </row>
    <row r="1187" spans="17:18" x14ac:dyDescent="0.25">
      <c r="Q1187" s="57"/>
      <c r="R1187" s="57"/>
    </row>
    <row r="1188" spans="17:18" x14ac:dyDescent="0.25">
      <c r="Q1188" s="57"/>
      <c r="R1188" s="57"/>
    </row>
    <row r="1189" spans="17:18" x14ac:dyDescent="0.25">
      <c r="Q1189" s="57"/>
      <c r="R1189" s="57"/>
    </row>
    <row r="1190" spans="17:18" x14ac:dyDescent="0.25">
      <c r="Q1190" s="57"/>
      <c r="R1190" s="57"/>
    </row>
    <row r="1191" spans="17:18" x14ac:dyDescent="0.25">
      <c r="Q1191" s="57"/>
      <c r="R1191" s="57"/>
    </row>
    <row r="1192" spans="17:18" x14ac:dyDescent="0.25">
      <c r="Q1192" s="57"/>
      <c r="R1192" s="57"/>
    </row>
    <row r="1193" spans="17:18" x14ac:dyDescent="0.25">
      <c r="Q1193" s="57"/>
      <c r="R1193" s="57"/>
    </row>
    <row r="1194" spans="17:18" x14ac:dyDescent="0.25">
      <c r="Q1194" s="57"/>
      <c r="R1194" s="57"/>
    </row>
    <row r="1195" spans="17:18" x14ac:dyDescent="0.25">
      <c r="Q1195" s="57"/>
      <c r="R1195" s="57"/>
    </row>
    <row r="1196" spans="17:18" x14ac:dyDescent="0.25">
      <c r="Q1196" s="57"/>
      <c r="R1196" s="57"/>
    </row>
    <row r="1197" spans="17:18" x14ac:dyDescent="0.25">
      <c r="Q1197" s="57"/>
      <c r="R1197" s="57"/>
    </row>
    <row r="1198" spans="17:18" x14ac:dyDescent="0.25">
      <c r="Q1198" s="57"/>
      <c r="R1198" s="57"/>
    </row>
    <row r="1199" spans="17:18" x14ac:dyDescent="0.25">
      <c r="Q1199" s="57"/>
      <c r="R1199" s="57"/>
    </row>
    <row r="1200" spans="17:18" x14ac:dyDescent="0.25">
      <c r="Q1200" s="57"/>
      <c r="R1200" s="57"/>
    </row>
    <row r="1201" spans="17:18" x14ac:dyDescent="0.25">
      <c r="Q1201" s="57"/>
      <c r="R1201" s="57"/>
    </row>
    <row r="1202" spans="17:18" x14ac:dyDescent="0.25">
      <c r="Q1202" s="57"/>
      <c r="R1202" s="57"/>
    </row>
    <row r="1203" spans="17:18" x14ac:dyDescent="0.25">
      <c r="Q1203" s="57"/>
      <c r="R1203" s="57"/>
    </row>
    <row r="1204" spans="17:18" x14ac:dyDescent="0.25">
      <c r="Q1204" s="57"/>
      <c r="R1204" s="57"/>
    </row>
    <row r="1205" spans="17:18" x14ac:dyDescent="0.25">
      <c r="Q1205" s="57"/>
      <c r="R1205" s="57"/>
    </row>
    <row r="1206" spans="17:18" x14ac:dyDescent="0.25">
      <c r="Q1206" s="57"/>
      <c r="R1206" s="57"/>
    </row>
    <row r="1207" spans="17:18" x14ac:dyDescent="0.25">
      <c r="Q1207" s="57"/>
      <c r="R1207" s="57"/>
    </row>
    <row r="1208" spans="17:18" x14ac:dyDescent="0.25">
      <c r="Q1208" s="57"/>
      <c r="R1208" s="57"/>
    </row>
    <row r="1209" spans="17:18" x14ac:dyDescent="0.25">
      <c r="Q1209" s="57"/>
      <c r="R1209" s="57"/>
    </row>
    <row r="1210" spans="17:18" x14ac:dyDescent="0.25">
      <c r="Q1210" s="57"/>
      <c r="R1210" s="57"/>
    </row>
    <row r="1211" spans="17:18" x14ac:dyDescent="0.25">
      <c r="Q1211" s="57"/>
      <c r="R1211" s="57"/>
    </row>
    <row r="1212" spans="17:18" x14ac:dyDescent="0.25">
      <c r="Q1212" s="57"/>
      <c r="R1212" s="57"/>
    </row>
    <row r="1213" spans="17:18" x14ac:dyDescent="0.25">
      <c r="Q1213" s="57"/>
      <c r="R1213" s="57"/>
    </row>
    <row r="1214" spans="17:18" x14ac:dyDescent="0.25">
      <c r="Q1214" s="57"/>
      <c r="R1214" s="57"/>
    </row>
    <row r="1215" spans="17:18" x14ac:dyDescent="0.25">
      <c r="Q1215" s="57"/>
      <c r="R1215" s="57"/>
    </row>
    <row r="1216" spans="17:18" x14ac:dyDescent="0.25">
      <c r="Q1216" s="57"/>
      <c r="R1216" s="57"/>
    </row>
    <row r="1217" spans="17:18" x14ac:dyDescent="0.25">
      <c r="Q1217" s="57"/>
      <c r="R1217" s="57"/>
    </row>
    <row r="1218" spans="17:18" x14ac:dyDescent="0.25">
      <c r="Q1218" s="57"/>
      <c r="R1218" s="57"/>
    </row>
    <row r="1219" spans="17:18" x14ac:dyDescent="0.25">
      <c r="Q1219" s="57"/>
      <c r="R1219" s="57"/>
    </row>
    <row r="1220" spans="17:18" x14ac:dyDescent="0.25">
      <c r="Q1220" s="57"/>
      <c r="R1220" s="57"/>
    </row>
    <row r="1221" spans="17:18" x14ac:dyDescent="0.25">
      <c r="Q1221" s="57"/>
      <c r="R1221" s="57"/>
    </row>
    <row r="1222" spans="17:18" x14ac:dyDescent="0.25">
      <c r="Q1222" s="57"/>
      <c r="R1222" s="57"/>
    </row>
    <row r="1223" spans="17:18" x14ac:dyDescent="0.25">
      <c r="Q1223" s="57"/>
      <c r="R1223" s="57"/>
    </row>
    <row r="1224" spans="17:18" x14ac:dyDescent="0.25">
      <c r="Q1224" s="57"/>
      <c r="R1224" s="57"/>
    </row>
    <row r="1225" spans="17:18" x14ac:dyDescent="0.25">
      <c r="Q1225" s="57"/>
      <c r="R1225" s="57"/>
    </row>
    <row r="1226" spans="17:18" x14ac:dyDescent="0.25">
      <c r="Q1226" s="57"/>
      <c r="R1226" s="57"/>
    </row>
    <row r="1227" spans="17:18" x14ac:dyDescent="0.25">
      <c r="Q1227" s="57"/>
      <c r="R1227" s="57"/>
    </row>
    <row r="1228" spans="17:18" x14ac:dyDescent="0.25">
      <c r="Q1228" s="57"/>
      <c r="R1228" s="57"/>
    </row>
    <row r="1229" spans="17:18" x14ac:dyDescent="0.25">
      <c r="Q1229" s="57"/>
      <c r="R1229" s="57"/>
    </row>
    <row r="1230" spans="17:18" x14ac:dyDescent="0.25">
      <c r="Q1230" s="57"/>
      <c r="R1230" s="57"/>
    </row>
    <row r="1231" spans="17:18" x14ac:dyDescent="0.25">
      <c r="Q1231" s="57"/>
      <c r="R1231" s="57"/>
    </row>
    <row r="1232" spans="17:18" x14ac:dyDescent="0.25">
      <c r="Q1232" s="57"/>
      <c r="R1232" s="57"/>
    </row>
    <row r="1233" spans="17:18" x14ac:dyDescent="0.25">
      <c r="Q1233" s="57"/>
      <c r="R1233" s="57"/>
    </row>
    <row r="1234" spans="17:18" x14ac:dyDescent="0.25">
      <c r="Q1234" s="57"/>
      <c r="R1234" s="57"/>
    </row>
    <row r="1235" spans="17:18" x14ac:dyDescent="0.25">
      <c r="Q1235" s="57"/>
      <c r="R1235" s="57"/>
    </row>
    <row r="1236" spans="17:18" x14ac:dyDescent="0.25">
      <c r="Q1236" s="57"/>
      <c r="R1236" s="57"/>
    </row>
    <row r="1237" spans="17:18" x14ac:dyDescent="0.25">
      <c r="Q1237" s="57"/>
      <c r="R1237" s="57"/>
    </row>
    <row r="1238" spans="17:18" x14ac:dyDescent="0.25">
      <c r="Q1238" s="57"/>
      <c r="R1238" s="57"/>
    </row>
    <row r="1239" spans="17:18" x14ac:dyDescent="0.25">
      <c r="Q1239" s="57"/>
      <c r="R1239" s="57"/>
    </row>
    <row r="1240" spans="17:18" x14ac:dyDescent="0.25">
      <c r="Q1240" s="57"/>
      <c r="R1240" s="57"/>
    </row>
    <row r="1241" spans="17:18" x14ac:dyDescent="0.25">
      <c r="Q1241" s="57"/>
      <c r="R1241" s="57"/>
    </row>
    <row r="1242" spans="17:18" x14ac:dyDescent="0.25">
      <c r="Q1242" s="57"/>
      <c r="R1242" s="57"/>
    </row>
    <row r="1243" spans="17:18" x14ac:dyDescent="0.25">
      <c r="Q1243" s="57"/>
      <c r="R1243" s="57"/>
    </row>
    <row r="1244" spans="17:18" x14ac:dyDescent="0.25">
      <c r="Q1244" s="57"/>
      <c r="R1244" s="57"/>
    </row>
    <row r="1245" spans="17:18" x14ac:dyDescent="0.25">
      <c r="Q1245" s="57"/>
      <c r="R1245" s="57"/>
    </row>
    <row r="1246" spans="17:18" x14ac:dyDescent="0.25">
      <c r="Q1246" s="57"/>
      <c r="R1246" s="57"/>
    </row>
    <row r="1247" spans="17:18" x14ac:dyDescent="0.25">
      <c r="Q1247" s="57"/>
      <c r="R1247" s="57"/>
    </row>
    <row r="1248" spans="17:18" x14ac:dyDescent="0.25">
      <c r="Q1248" s="57"/>
      <c r="R1248" s="57"/>
    </row>
    <row r="1249" spans="17:18" x14ac:dyDescent="0.25">
      <c r="Q1249" s="57"/>
      <c r="R1249" s="57"/>
    </row>
    <row r="1250" spans="17:18" x14ac:dyDescent="0.25">
      <c r="Q1250" s="57"/>
      <c r="R1250" s="57"/>
    </row>
    <row r="1251" spans="17:18" x14ac:dyDescent="0.25">
      <c r="Q1251" s="57"/>
      <c r="R1251" s="57"/>
    </row>
    <row r="1252" spans="17:18" x14ac:dyDescent="0.25">
      <c r="Q1252" s="57"/>
      <c r="R1252" s="57"/>
    </row>
    <row r="1253" spans="17:18" x14ac:dyDescent="0.25">
      <c r="Q1253" s="57"/>
      <c r="R1253" s="57"/>
    </row>
    <row r="1254" spans="17:18" x14ac:dyDescent="0.25">
      <c r="Q1254" s="57"/>
      <c r="R1254" s="57"/>
    </row>
    <row r="1255" spans="17:18" x14ac:dyDescent="0.25">
      <c r="Q1255" s="57"/>
      <c r="R1255" s="57"/>
    </row>
    <row r="1256" spans="17:18" x14ac:dyDescent="0.25">
      <c r="Q1256" s="57"/>
      <c r="R1256" s="57"/>
    </row>
    <row r="1257" spans="17:18" x14ac:dyDescent="0.25">
      <c r="Q1257" s="57"/>
      <c r="R1257" s="57"/>
    </row>
    <row r="1258" spans="17:18" x14ac:dyDescent="0.25">
      <c r="Q1258" s="57"/>
      <c r="R1258" s="57"/>
    </row>
    <row r="1259" spans="17:18" x14ac:dyDescent="0.25">
      <c r="Q1259" s="57"/>
      <c r="R1259" s="57"/>
    </row>
    <row r="1260" spans="17:18" x14ac:dyDescent="0.25">
      <c r="Q1260" s="57"/>
      <c r="R1260" s="57"/>
    </row>
    <row r="1261" spans="17:18" x14ac:dyDescent="0.25">
      <c r="Q1261" s="57"/>
      <c r="R1261" s="57"/>
    </row>
    <row r="1262" spans="17:18" x14ac:dyDescent="0.25">
      <c r="Q1262" s="57"/>
      <c r="R1262" s="57"/>
    </row>
    <row r="1263" spans="17:18" x14ac:dyDescent="0.25">
      <c r="Q1263" s="57"/>
      <c r="R1263" s="57"/>
    </row>
    <row r="1264" spans="17:18" x14ac:dyDescent="0.25">
      <c r="Q1264" s="57"/>
      <c r="R1264" s="57"/>
    </row>
    <row r="1265" spans="17:18" x14ac:dyDescent="0.25">
      <c r="Q1265" s="57"/>
      <c r="R1265" s="57"/>
    </row>
    <row r="1266" spans="17:18" x14ac:dyDescent="0.25">
      <c r="Q1266" s="57"/>
      <c r="R1266" s="57"/>
    </row>
    <row r="1267" spans="17:18" x14ac:dyDescent="0.25">
      <c r="Q1267" s="57"/>
      <c r="R1267" s="57"/>
    </row>
    <row r="1268" spans="17:18" x14ac:dyDescent="0.25">
      <c r="Q1268" s="57"/>
      <c r="R1268" s="57"/>
    </row>
    <row r="1269" spans="17:18" x14ac:dyDescent="0.25">
      <c r="Q1269" s="57"/>
      <c r="R1269" s="57"/>
    </row>
    <row r="1270" spans="17:18" x14ac:dyDescent="0.25">
      <c r="Q1270" s="57"/>
      <c r="R1270" s="57"/>
    </row>
    <row r="1271" spans="17:18" x14ac:dyDescent="0.25">
      <c r="Q1271" s="57"/>
      <c r="R1271" s="57"/>
    </row>
    <row r="1272" spans="17:18" x14ac:dyDescent="0.25">
      <c r="Q1272" s="57"/>
      <c r="R1272" s="57"/>
    </row>
    <row r="1273" spans="17:18" x14ac:dyDescent="0.25">
      <c r="Q1273" s="57"/>
      <c r="R1273" s="57"/>
    </row>
    <row r="1274" spans="17:18" x14ac:dyDescent="0.25">
      <c r="Q1274" s="57"/>
      <c r="R1274" s="57"/>
    </row>
    <row r="1275" spans="17:18" x14ac:dyDescent="0.25">
      <c r="Q1275" s="57"/>
      <c r="R1275" s="57"/>
    </row>
    <row r="1276" spans="17:18" x14ac:dyDescent="0.25">
      <c r="Q1276" s="57"/>
      <c r="R1276" s="57"/>
    </row>
    <row r="1277" spans="17:18" x14ac:dyDescent="0.25">
      <c r="Q1277" s="57"/>
      <c r="R1277" s="57"/>
    </row>
    <row r="1278" spans="17:18" x14ac:dyDescent="0.25">
      <c r="Q1278" s="57"/>
      <c r="R1278" s="57"/>
    </row>
    <row r="1279" spans="17:18" x14ac:dyDescent="0.25">
      <c r="Q1279" s="57"/>
      <c r="R1279" s="57"/>
    </row>
    <row r="1280" spans="17:18" x14ac:dyDescent="0.25">
      <c r="Q1280" s="57"/>
      <c r="R1280" s="57"/>
    </row>
    <row r="1281" spans="17:18" x14ac:dyDescent="0.25">
      <c r="Q1281" s="57"/>
      <c r="R1281" s="57"/>
    </row>
    <row r="1282" spans="17:18" x14ac:dyDescent="0.25">
      <c r="Q1282" s="57"/>
      <c r="R1282" s="57"/>
    </row>
    <row r="1283" spans="17:18" x14ac:dyDescent="0.25">
      <c r="Q1283" s="57"/>
      <c r="R1283" s="57"/>
    </row>
    <row r="1284" spans="17:18" x14ac:dyDescent="0.25">
      <c r="Q1284" s="57"/>
      <c r="R1284" s="57"/>
    </row>
    <row r="1285" spans="17:18" x14ac:dyDescent="0.25">
      <c r="Q1285" s="57"/>
      <c r="R1285" s="57"/>
    </row>
    <row r="1286" spans="17:18" x14ac:dyDescent="0.25">
      <c r="Q1286" s="57"/>
      <c r="R1286" s="57"/>
    </row>
    <row r="1287" spans="17:18" x14ac:dyDescent="0.25">
      <c r="Q1287" s="57"/>
      <c r="R1287" s="57"/>
    </row>
    <row r="1288" spans="17:18" x14ac:dyDescent="0.25">
      <c r="Q1288" s="57"/>
      <c r="R1288" s="57"/>
    </row>
    <row r="1289" spans="17:18" x14ac:dyDescent="0.25">
      <c r="Q1289" s="57"/>
      <c r="R1289" s="57"/>
    </row>
    <row r="1290" spans="17:18" x14ac:dyDescent="0.25">
      <c r="Q1290" s="57"/>
      <c r="R1290" s="57"/>
    </row>
    <row r="1291" spans="17:18" x14ac:dyDescent="0.25">
      <c r="Q1291" s="57"/>
      <c r="R1291" s="57"/>
    </row>
    <row r="1292" spans="17:18" x14ac:dyDescent="0.25">
      <c r="Q1292" s="57"/>
      <c r="R1292" s="57"/>
    </row>
    <row r="1293" spans="17:18" x14ac:dyDescent="0.25">
      <c r="Q1293" s="57"/>
      <c r="R1293" s="57"/>
    </row>
    <row r="1294" spans="17:18" x14ac:dyDescent="0.25">
      <c r="Q1294" s="57"/>
      <c r="R1294" s="57"/>
    </row>
    <row r="1295" spans="17:18" x14ac:dyDescent="0.25">
      <c r="Q1295" s="57"/>
      <c r="R1295" s="57"/>
    </row>
    <row r="1296" spans="17:18" x14ac:dyDescent="0.25">
      <c r="Q1296" s="57"/>
      <c r="R1296" s="57"/>
    </row>
    <row r="1297" spans="17:18" x14ac:dyDescent="0.25">
      <c r="Q1297" s="57"/>
      <c r="R1297" s="57"/>
    </row>
    <row r="1298" spans="17:18" x14ac:dyDescent="0.25">
      <c r="Q1298" s="57"/>
      <c r="R1298" s="57"/>
    </row>
    <row r="1299" spans="17:18" x14ac:dyDescent="0.25">
      <c r="Q1299" s="57"/>
      <c r="R1299" s="57"/>
    </row>
    <row r="1300" spans="17:18" x14ac:dyDescent="0.25">
      <c r="Q1300" s="57"/>
      <c r="R1300" s="57"/>
    </row>
    <row r="1301" spans="17:18" x14ac:dyDescent="0.25">
      <c r="Q1301" s="57"/>
      <c r="R1301" s="57"/>
    </row>
    <row r="1302" spans="17:18" x14ac:dyDescent="0.25">
      <c r="Q1302" s="57"/>
      <c r="R1302" s="57"/>
    </row>
    <row r="1303" spans="17:18" x14ac:dyDescent="0.25">
      <c r="Q1303" s="57"/>
      <c r="R1303" s="57"/>
    </row>
    <row r="1304" spans="17:18" x14ac:dyDescent="0.25">
      <c r="Q1304" s="57"/>
      <c r="R1304" s="57"/>
    </row>
    <row r="1305" spans="17:18" x14ac:dyDescent="0.25">
      <c r="Q1305" s="57"/>
      <c r="R1305" s="57"/>
    </row>
    <row r="1306" spans="17:18" x14ac:dyDescent="0.25">
      <c r="Q1306" s="57"/>
      <c r="R1306" s="57"/>
    </row>
    <row r="1307" spans="17:18" x14ac:dyDescent="0.25">
      <c r="Q1307" s="57"/>
      <c r="R1307" s="57"/>
    </row>
    <row r="1308" spans="17:18" x14ac:dyDescent="0.25">
      <c r="Q1308" s="57"/>
      <c r="R1308" s="57"/>
    </row>
    <row r="1309" spans="17:18" x14ac:dyDescent="0.25">
      <c r="Q1309" s="57"/>
      <c r="R1309" s="57"/>
    </row>
    <row r="1310" spans="17:18" x14ac:dyDescent="0.25">
      <c r="Q1310" s="57"/>
      <c r="R1310" s="57"/>
    </row>
    <row r="1311" spans="17:18" x14ac:dyDescent="0.25">
      <c r="Q1311" s="57"/>
      <c r="R1311" s="57"/>
    </row>
    <row r="1312" spans="17:18" x14ac:dyDescent="0.25">
      <c r="Q1312" s="57"/>
      <c r="R1312" s="57"/>
    </row>
    <row r="1313" spans="17:18" x14ac:dyDescent="0.25">
      <c r="Q1313" s="57"/>
      <c r="R1313" s="57"/>
    </row>
    <row r="1314" spans="17:18" x14ac:dyDescent="0.25">
      <c r="Q1314" s="57"/>
      <c r="R1314" s="57"/>
    </row>
    <row r="1315" spans="17:18" x14ac:dyDescent="0.25">
      <c r="Q1315" s="57"/>
      <c r="R1315" s="57"/>
    </row>
    <row r="1316" spans="17:18" x14ac:dyDescent="0.25">
      <c r="Q1316" s="57"/>
      <c r="R1316" s="57"/>
    </row>
    <row r="1317" spans="17:18" x14ac:dyDescent="0.25">
      <c r="Q1317" s="57"/>
      <c r="R1317" s="57"/>
    </row>
    <row r="1318" spans="17:18" x14ac:dyDescent="0.25">
      <c r="Q1318" s="57"/>
      <c r="R1318" s="57"/>
    </row>
    <row r="1319" spans="17:18" x14ac:dyDescent="0.25">
      <c r="Q1319" s="57"/>
      <c r="R1319" s="57"/>
    </row>
    <row r="1320" spans="17:18" x14ac:dyDescent="0.25">
      <c r="Q1320" s="57"/>
      <c r="R1320" s="57"/>
    </row>
    <row r="1321" spans="17:18" x14ac:dyDescent="0.25">
      <c r="Q1321" s="57"/>
      <c r="R1321" s="57"/>
    </row>
    <row r="1322" spans="17:18" x14ac:dyDescent="0.25">
      <c r="Q1322" s="57"/>
      <c r="R1322" s="57"/>
    </row>
    <row r="1323" spans="17:18" x14ac:dyDescent="0.25">
      <c r="Q1323" s="57"/>
      <c r="R1323" s="57"/>
    </row>
    <row r="1324" spans="17:18" x14ac:dyDescent="0.25">
      <c r="Q1324" s="57"/>
      <c r="R1324" s="57"/>
    </row>
    <row r="1325" spans="17:18" x14ac:dyDescent="0.25">
      <c r="Q1325" s="57"/>
      <c r="R1325" s="57"/>
    </row>
    <row r="1326" spans="17:18" x14ac:dyDescent="0.25">
      <c r="Q1326" s="57"/>
      <c r="R1326" s="57"/>
    </row>
    <row r="1327" spans="17:18" x14ac:dyDescent="0.25">
      <c r="Q1327" s="57"/>
      <c r="R1327" s="57"/>
    </row>
    <row r="1328" spans="17:18" x14ac:dyDescent="0.25">
      <c r="Q1328" s="57"/>
      <c r="R1328" s="57"/>
    </row>
    <row r="1329" spans="17:18" x14ac:dyDescent="0.25">
      <c r="Q1329" s="57"/>
      <c r="R1329" s="57"/>
    </row>
    <row r="1330" spans="17:18" x14ac:dyDescent="0.25">
      <c r="Q1330" s="57"/>
      <c r="R1330" s="57"/>
    </row>
    <row r="1331" spans="17:18" x14ac:dyDescent="0.25">
      <c r="Q1331" s="57"/>
      <c r="R1331" s="57"/>
    </row>
    <row r="1332" spans="17:18" x14ac:dyDescent="0.25">
      <c r="Q1332" s="57"/>
      <c r="R1332" s="57"/>
    </row>
    <row r="1333" spans="17:18" x14ac:dyDescent="0.25">
      <c r="Q1333" s="57"/>
      <c r="R1333" s="57"/>
    </row>
    <row r="1334" spans="17:18" x14ac:dyDescent="0.25">
      <c r="Q1334" s="57"/>
      <c r="R1334" s="57"/>
    </row>
    <row r="1335" spans="17:18" x14ac:dyDescent="0.25">
      <c r="Q1335" s="57"/>
      <c r="R1335" s="57"/>
    </row>
    <row r="1336" spans="17:18" x14ac:dyDescent="0.25">
      <c r="Q1336" s="57"/>
      <c r="R1336" s="57"/>
    </row>
    <row r="1337" spans="17:18" x14ac:dyDescent="0.25">
      <c r="Q1337" s="57"/>
      <c r="R1337" s="57"/>
    </row>
    <row r="1338" spans="17:18" x14ac:dyDescent="0.25">
      <c r="Q1338" s="57"/>
      <c r="R1338" s="57"/>
    </row>
    <row r="1339" spans="17:18" x14ac:dyDescent="0.25">
      <c r="Q1339" s="57"/>
      <c r="R1339" s="57"/>
    </row>
    <row r="1340" spans="17:18" x14ac:dyDescent="0.25">
      <c r="Q1340" s="57"/>
      <c r="R1340" s="57"/>
    </row>
    <row r="1341" spans="17:18" x14ac:dyDescent="0.25">
      <c r="Q1341" s="57"/>
      <c r="R1341" s="57"/>
    </row>
    <row r="1342" spans="17:18" x14ac:dyDescent="0.25">
      <c r="Q1342" s="57"/>
      <c r="R1342" s="57"/>
    </row>
    <row r="1343" spans="17:18" x14ac:dyDescent="0.25">
      <c r="Q1343" s="57"/>
      <c r="R1343" s="57"/>
    </row>
    <row r="1344" spans="17:18" x14ac:dyDescent="0.25">
      <c r="Q1344" s="57"/>
      <c r="R1344" s="57"/>
    </row>
    <row r="1345" spans="17:18" x14ac:dyDescent="0.25">
      <c r="Q1345" s="57"/>
      <c r="R1345" s="57"/>
    </row>
    <row r="1346" spans="17:18" x14ac:dyDescent="0.25">
      <c r="Q1346" s="57"/>
      <c r="R1346" s="57"/>
    </row>
    <row r="1347" spans="17:18" x14ac:dyDescent="0.25">
      <c r="Q1347" s="57"/>
      <c r="R1347" s="57"/>
    </row>
    <row r="1348" spans="17:18" x14ac:dyDescent="0.25">
      <c r="Q1348" s="57"/>
      <c r="R1348" s="57"/>
    </row>
    <row r="1349" spans="17:18" x14ac:dyDescent="0.25">
      <c r="Q1349" s="57"/>
      <c r="R1349" s="57"/>
    </row>
    <row r="1350" spans="17:18" x14ac:dyDescent="0.25">
      <c r="Q1350" s="57"/>
      <c r="R1350" s="57"/>
    </row>
    <row r="1351" spans="17:18" x14ac:dyDescent="0.25">
      <c r="Q1351" s="57"/>
      <c r="R1351" s="57"/>
    </row>
    <row r="1352" spans="17:18" x14ac:dyDescent="0.25">
      <c r="Q1352" s="57"/>
      <c r="R1352" s="57"/>
    </row>
    <row r="1353" spans="17:18" x14ac:dyDescent="0.25">
      <c r="Q1353" s="57"/>
      <c r="R1353" s="57"/>
    </row>
    <row r="1354" spans="17:18" x14ac:dyDescent="0.25">
      <c r="Q1354" s="57"/>
      <c r="R1354" s="57"/>
    </row>
    <row r="1355" spans="17:18" x14ac:dyDescent="0.25">
      <c r="Q1355" s="57"/>
      <c r="R1355" s="57"/>
    </row>
    <row r="1356" spans="17:18" x14ac:dyDescent="0.25">
      <c r="Q1356" s="57"/>
      <c r="R1356" s="57"/>
    </row>
    <row r="1357" spans="17:18" x14ac:dyDescent="0.25">
      <c r="Q1357" s="57"/>
      <c r="R1357" s="57"/>
    </row>
    <row r="1358" spans="17:18" x14ac:dyDescent="0.25">
      <c r="Q1358" s="57"/>
      <c r="R1358" s="57"/>
    </row>
    <row r="1359" spans="17:18" x14ac:dyDescent="0.25">
      <c r="Q1359" s="57"/>
      <c r="R1359" s="57"/>
    </row>
    <row r="1360" spans="17:18" x14ac:dyDescent="0.25">
      <c r="Q1360" s="57"/>
      <c r="R1360" s="57"/>
    </row>
    <row r="1361" spans="17:18" x14ac:dyDescent="0.25">
      <c r="Q1361" s="57"/>
      <c r="R1361" s="57"/>
    </row>
    <row r="1362" spans="17:18" x14ac:dyDescent="0.25">
      <c r="Q1362" s="57"/>
      <c r="R1362" s="57"/>
    </row>
    <row r="1363" spans="17:18" x14ac:dyDescent="0.25">
      <c r="Q1363" s="57"/>
      <c r="R1363" s="57"/>
    </row>
    <row r="1364" spans="17:18" x14ac:dyDescent="0.25">
      <c r="Q1364" s="57"/>
      <c r="R1364" s="57"/>
    </row>
    <row r="1365" spans="17:18" x14ac:dyDescent="0.25">
      <c r="Q1365" s="57"/>
      <c r="R1365" s="57"/>
    </row>
    <row r="1366" spans="17:18" x14ac:dyDescent="0.25">
      <c r="Q1366" s="57"/>
      <c r="R1366" s="57"/>
    </row>
    <row r="1367" spans="17:18" x14ac:dyDescent="0.25">
      <c r="Q1367" s="57"/>
      <c r="R1367" s="57"/>
    </row>
    <row r="1368" spans="17:18" x14ac:dyDescent="0.25">
      <c r="Q1368" s="57"/>
      <c r="R1368" s="57"/>
    </row>
    <row r="1369" spans="17:18" x14ac:dyDescent="0.25">
      <c r="Q1369" s="57"/>
      <c r="R1369" s="57"/>
    </row>
    <row r="1370" spans="17:18" x14ac:dyDescent="0.25">
      <c r="Q1370" s="57"/>
      <c r="R1370" s="57"/>
    </row>
    <row r="1371" spans="17:18" x14ac:dyDescent="0.25">
      <c r="Q1371" s="57"/>
      <c r="R1371" s="57"/>
    </row>
    <row r="1372" spans="17:18" x14ac:dyDescent="0.25">
      <c r="Q1372" s="57"/>
      <c r="R1372" s="57"/>
    </row>
    <row r="1373" spans="17:18" x14ac:dyDescent="0.25">
      <c r="Q1373" s="57"/>
      <c r="R1373" s="57"/>
    </row>
    <row r="1374" spans="17:18" x14ac:dyDescent="0.25">
      <c r="Q1374" s="57"/>
      <c r="R1374" s="57"/>
    </row>
    <row r="1375" spans="17:18" x14ac:dyDescent="0.25">
      <c r="Q1375" s="57"/>
      <c r="R1375" s="57"/>
    </row>
    <row r="1376" spans="17:18" x14ac:dyDescent="0.25">
      <c r="Q1376" s="57"/>
      <c r="R1376" s="57"/>
    </row>
    <row r="1377" spans="17:18" x14ac:dyDescent="0.25">
      <c r="Q1377" s="57"/>
      <c r="R1377" s="57"/>
    </row>
    <row r="1378" spans="17:18" x14ac:dyDescent="0.25">
      <c r="Q1378" s="57"/>
      <c r="R1378" s="57"/>
    </row>
    <row r="1379" spans="17:18" x14ac:dyDescent="0.25">
      <c r="Q1379" s="57"/>
      <c r="R1379" s="57"/>
    </row>
    <row r="1380" spans="17:18" x14ac:dyDescent="0.25">
      <c r="Q1380" s="57"/>
      <c r="R1380" s="57"/>
    </row>
    <row r="1381" spans="17:18" x14ac:dyDescent="0.25">
      <c r="Q1381" s="57"/>
      <c r="R1381" s="57"/>
    </row>
    <row r="1382" spans="17:18" x14ac:dyDescent="0.25">
      <c r="Q1382" s="57"/>
      <c r="R1382" s="57"/>
    </row>
    <row r="1383" spans="17:18" x14ac:dyDescent="0.25">
      <c r="Q1383" s="57"/>
      <c r="R1383" s="57"/>
    </row>
    <row r="1384" spans="17:18" x14ac:dyDescent="0.25">
      <c r="Q1384" s="57"/>
      <c r="R1384" s="57"/>
    </row>
    <row r="1385" spans="17:18" x14ac:dyDescent="0.25">
      <c r="Q1385" s="57"/>
      <c r="R1385" s="57"/>
    </row>
    <row r="1386" spans="17:18" x14ac:dyDescent="0.25">
      <c r="Q1386" s="57"/>
      <c r="R1386" s="57"/>
    </row>
    <row r="1387" spans="17:18" x14ac:dyDescent="0.25">
      <c r="Q1387" s="57"/>
      <c r="R1387" s="57"/>
    </row>
    <row r="1388" spans="17:18" x14ac:dyDescent="0.25">
      <c r="Q1388" s="57"/>
      <c r="R1388" s="57"/>
    </row>
    <row r="1389" spans="17:18" x14ac:dyDescent="0.25">
      <c r="Q1389" s="57"/>
      <c r="R1389" s="57"/>
    </row>
    <row r="1390" spans="17:18" x14ac:dyDescent="0.25">
      <c r="Q1390" s="57"/>
      <c r="R1390" s="57"/>
    </row>
    <row r="1391" spans="17:18" x14ac:dyDescent="0.25">
      <c r="Q1391" s="57"/>
      <c r="R1391" s="57"/>
    </row>
    <row r="1392" spans="17:18" x14ac:dyDescent="0.25">
      <c r="Q1392" s="57"/>
      <c r="R1392" s="57"/>
    </row>
    <row r="1393" spans="17:18" x14ac:dyDescent="0.25">
      <c r="Q1393" s="57"/>
      <c r="R1393" s="57"/>
    </row>
    <row r="1394" spans="17:18" x14ac:dyDescent="0.25">
      <c r="Q1394" s="57"/>
      <c r="R1394" s="57"/>
    </row>
    <row r="1395" spans="17:18" x14ac:dyDescent="0.25">
      <c r="Q1395" s="57"/>
      <c r="R1395" s="57"/>
    </row>
    <row r="1396" spans="17:18" x14ac:dyDescent="0.25">
      <c r="Q1396" s="57"/>
      <c r="R1396" s="57"/>
    </row>
    <row r="1397" spans="17:18" x14ac:dyDescent="0.25">
      <c r="Q1397" s="57"/>
      <c r="R1397" s="57"/>
    </row>
    <row r="1398" spans="17:18" x14ac:dyDescent="0.25">
      <c r="Q1398" s="57"/>
      <c r="R1398" s="57"/>
    </row>
    <row r="1399" spans="17:18" x14ac:dyDescent="0.25">
      <c r="Q1399" s="57"/>
      <c r="R1399" s="57"/>
    </row>
    <row r="1400" spans="17:18" x14ac:dyDescent="0.25">
      <c r="Q1400" s="57"/>
      <c r="R1400" s="57"/>
    </row>
    <row r="1401" spans="17:18" x14ac:dyDescent="0.25">
      <c r="Q1401" s="57"/>
      <c r="R1401" s="57"/>
    </row>
    <row r="1402" spans="17:18" x14ac:dyDescent="0.25">
      <c r="Q1402" s="57"/>
      <c r="R1402" s="57"/>
    </row>
    <row r="1403" spans="17:18" x14ac:dyDescent="0.25">
      <c r="Q1403" s="57"/>
      <c r="R1403" s="57"/>
    </row>
    <row r="1404" spans="17:18" x14ac:dyDescent="0.25">
      <c r="Q1404" s="57"/>
      <c r="R1404" s="57"/>
    </row>
    <row r="1405" spans="17:18" x14ac:dyDescent="0.25">
      <c r="Q1405" s="57"/>
      <c r="R1405" s="57"/>
    </row>
    <row r="1406" spans="17:18" x14ac:dyDescent="0.25">
      <c r="Q1406" s="57"/>
      <c r="R1406" s="57"/>
    </row>
    <row r="1407" spans="17:18" x14ac:dyDescent="0.25">
      <c r="Q1407" s="57"/>
      <c r="R1407" s="57"/>
    </row>
    <row r="1408" spans="17:18" x14ac:dyDescent="0.25">
      <c r="Q1408" s="57"/>
      <c r="R1408" s="57"/>
    </row>
    <row r="1409" spans="17:18" x14ac:dyDescent="0.25">
      <c r="Q1409" s="57"/>
      <c r="R1409" s="57"/>
    </row>
    <row r="1410" spans="17:18" x14ac:dyDescent="0.25">
      <c r="Q1410" s="57"/>
      <c r="R1410" s="57"/>
    </row>
    <row r="1411" spans="17:18" x14ac:dyDescent="0.25">
      <c r="Q1411" s="57"/>
      <c r="R1411" s="57"/>
    </row>
    <row r="1412" spans="17:18" x14ac:dyDescent="0.25">
      <c r="Q1412" s="57"/>
      <c r="R1412" s="57"/>
    </row>
    <row r="1413" spans="17:18" x14ac:dyDescent="0.25">
      <c r="Q1413" s="57"/>
      <c r="R1413" s="57"/>
    </row>
    <row r="1414" spans="17:18" x14ac:dyDescent="0.25">
      <c r="Q1414" s="57"/>
      <c r="R1414" s="57"/>
    </row>
    <row r="1415" spans="17:18" x14ac:dyDescent="0.25">
      <c r="Q1415" s="57"/>
      <c r="R1415" s="57"/>
    </row>
    <row r="1416" spans="17:18" x14ac:dyDescent="0.25">
      <c r="Q1416" s="57"/>
      <c r="R1416" s="57"/>
    </row>
    <row r="1417" spans="17:18" x14ac:dyDescent="0.25">
      <c r="Q1417" s="57"/>
      <c r="R1417" s="57"/>
    </row>
    <row r="1418" spans="17:18" x14ac:dyDescent="0.25">
      <c r="Q1418" s="57"/>
      <c r="R1418" s="57"/>
    </row>
    <row r="1419" spans="17:18" x14ac:dyDescent="0.25">
      <c r="Q1419" s="57"/>
      <c r="R1419" s="57"/>
    </row>
    <row r="1420" spans="17:18" x14ac:dyDescent="0.25">
      <c r="Q1420" s="57"/>
      <c r="R1420" s="57"/>
    </row>
    <row r="1421" spans="17:18" x14ac:dyDescent="0.25">
      <c r="Q1421" s="57"/>
      <c r="R1421" s="57"/>
    </row>
    <row r="1422" spans="17:18" x14ac:dyDescent="0.25">
      <c r="Q1422" s="57"/>
      <c r="R1422" s="57"/>
    </row>
    <row r="1423" spans="17:18" x14ac:dyDescent="0.25">
      <c r="Q1423" s="57"/>
      <c r="R1423" s="57"/>
    </row>
    <row r="1424" spans="17:18" x14ac:dyDescent="0.25">
      <c r="Q1424" s="57"/>
      <c r="R1424" s="57"/>
    </row>
    <row r="1425" spans="17:18" x14ac:dyDescent="0.25">
      <c r="Q1425" s="57"/>
      <c r="R1425" s="57"/>
    </row>
    <row r="1426" spans="17:18" x14ac:dyDescent="0.25">
      <c r="Q1426" s="57"/>
      <c r="R1426" s="57"/>
    </row>
    <row r="1427" spans="17:18" x14ac:dyDescent="0.25">
      <c r="Q1427" s="57"/>
      <c r="R1427" s="57"/>
    </row>
    <row r="1428" spans="17:18" x14ac:dyDescent="0.25">
      <c r="Q1428" s="57"/>
      <c r="R1428" s="57"/>
    </row>
    <row r="1429" spans="17:18" x14ac:dyDescent="0.25">
      <c r="Q1429" s="57"/>
      <c r="R1429" s="57"/>
    </row>
    <row r="1430" spans="17:18" x14ac:dyDescent="0.25">
      <c r="Q1430" s="57"/>
      <c r="R1430" s="57"/>
    </row>
    <row r="1431" spans="17:18" x14ac:dyDescent="0.25">
      <c r="Q1431" s="57"/>
      <c r="R1431" s="57"/>
    </row>
    <row r="1432" spans="17:18" x14ac:dyDescent="0.25">
      <c r="Q1432" s="57"/>
      <c r="R1432" s="57"/>
    </row>
    <row r="1433" spans="17:18" x14ac:dyDescent="0.25">
      <c r="Q1433" s="57"/>
      <c r="R1433" s="57"/>
    </row>
    <row r="1434" spans="17:18" x14ac:dyDescent="0.25">
      <c r="Q1434" s="57"/>
      <c r="R1434" s="57"/>
    </row>
    <row r="1435" spans="17:18" x14ac:dyDescent="0.25">
      <c r="Q1435" s="57"/>
      <c r="R1435" s="57"/>
    </row>
    <row r="1436" spans="17:18" x14ac:dyDescent="0.25">
      <c r="Q1436" s="57"/>
      <c r="R1436" s="57"/>
    </row>
    <row r="1437" spans="17:18" x14ac:dyDescent="0.25">
      <c r="Q1437" s="57"/>
      <c r="R1437" s="57"/>
    </row>
    <row r="1438" spans="17:18" x14ac:dyDescent="0.25">
      <c r="Q1438" s="57"/>
      <c r="R1438" s="57"/>
    </row>
    <row r="1439" spans="17:18" x14ac:dyDescent="0.25">
      <c r="Q1439" s="57"/>
      <c r="R1439" s="57"/>
    </row>
    <row r="1440" spans="17:18" x14ac:dyDescent="0.25">
      <c r="Q1440" s="57"/>
      <c r="R1440" s="57"/>
    </row>
    <row r="1441" spans="17:18" x14ac:dyDescent="0.25">
      <c r="Q1441" s="57"/>
      <c r="R1441" s="57"/>
    </row>
    <row r="1442" spans="17:18" x14ac:dyDescent="0.25">
      <c r="Q1442" s="57"/>
      <c r="R1442" s="57"/>
    </row>
    <row r="1443" spans="17:18" x14ac:dyDescent="0.25">
      <c r="Q1443" s="57"/>
      <c r="R1443" s="57"/>
    </row>
    <row r="1444" spans="17:18" x14ac:dyDescent="0.25">
      <c r="Q1444" s="57"/>
      <c r="R1444" s="57"/>
    </row>
    <row r="1445" spans="17:18" x14ac:dyDescent="0.25">
      <c r="Q1445" s="57"/>
      <c r="R1445" s="57"/>
    </row>
    <row r="1446" spans="17:18" x14ac:dyDescent="0.25">
      <c r="Q1446" s="57"/>
      <c r="R1446" s="57"/>
    </row>
    <row r="1447" spans="17:18" x14ac:dyDescent="0.25">
      <c r="Q1447" s="57"/>
      <c r="R1447" s="57"/>
    </row>
    <row r="1448" spans="17:18" x14ac:dyDescent="0.25">
      <c r="Q1448" s="57"/>
      <c r="R1448" s="57"/>
    </row>
    <row r="1449" spans="17:18" x14ac:dyDescent="0.25">
      <c r="Q1449" s="57"/>
      <c r="R1449" s="57"/>
    </row>
    <row r="1450" spans="17:18" x14ac:dyDescent="0.25">
      <c r="Q1450" s="57"/>
      <c r="R1450" s="57"/>
    </row>
    <row r="1451" spans="17:18" x14ac:dyDescent="0.25">
      <c r="Q1451" s="57"/>
      <c r="R1451" s="57"/>
    </row>
    <row r="1452" spans="17:18" x14ac:dyDescent="0.25">
      <c r="Q1452" s="57"/>
      <c r="R1452" s="57"/>
    </row>
    <row r="1453" spans="17:18" x14ac:dyDescent="0.25">
      <c r="Q1453" s="57"/>
      <c r="R1453" s="57"/>
    </row>
    <row r="1454" spans="17:18" x14ac:dyDescent="0.25">
      <c r="Q1454" s="57"/>
      <c r="R1454" s="57"/>
    </row>
    <row r="1455" spans="17:18" x14ac:dyDescent="0.25">
      <c r="Q1455" s="57"/>
      <c r="R1455" s="57"/>
    </row>
    <row r="1456" spans="17:18" x14ac:dyDescent="0.25">
      <c r="Q1456" s="57"/>
      <c r="R1456" s="57"/>
    </row>
    <row r="1457" spans="17:18" x14ac:dyDescent="0.25">
      <c r="Q1457" s="57"/>
      <c r="R1457" s="57"/>
    </row>
    <row r="1458" spans="17:18" x14ac:dyDescent="0.25">
      <c r="Q1458" s="57"/>
      <c r="R1458" s="57"/>
    </row>
    <row r="1459" spans="17:18" x14ac:dyDescent="0.25">
      <c r="Q1459" s="57"/>
      <c r="R1459" s="57"/>
    </row>
    <row r="1460" spans="17:18" x14ac:dyDescent="0.25">
      <c r="Q1460" s="57"/>
      <c r="R1460" s="57"/>
    </row>
    <row r="1461" spans="17:18" x14ac:dyDescent="0.25">
      <c r="Q1461" s="57"/>
      <c r="R1461" s="57"/>
    </row>
    <row r="1462" spans="17:18" x14ac:dyDescent="0.25">
      <c r="Q1462" s="57"/>
      <c r="R1462" s="57"/>
    </row>
    <row r="1463" spans="17:18" x14ac:dyDescent="0.25">
      <c r="Q1463" s="57"/>
      <c r="R1463" s="57"/>
    </row>
    <row r="1464" spans="17:18" x14ac:dyDescent="0.25">
      <c r="Q1464" s="57"/>
      <c r="R1464" s="57"/>
    </row>
    <row r="1465" spans="17:18" x14ac:dyDescent="0.25">
      <c r="Q1465" s="57"/>
      <c r="R1465" s="57"/>
    </row>
    <row r="1466" spans="17:18" x14ac:dyDescent="0.25">
      <c r="Q1466" s="57"/>
      <c r="R1466" s="57"/>
    </row>
    <row r="1467" spans="17:18" x14ac:dyDescent="0.25">
      <c r="Q1467" s="57"/>
      <c r="R1467" s="57"/>
    </row>
    <row r="1468" spans="17:18" x14ac:dyDescent="0.25">
      <c r="Q1468" s="57"/>
      <c r="R1468" s="57"/>
    </row>
    <row r="1469" spans="17:18" x14ac:dyDescent="0.25">
      <c r="Q1469" s="57"/>
      <c r="R1469" s="57"/>
    </row>
    <row r="1470" spans="17:18" x14ac:dyDescent="0.25">
      <c r="Q1470" s="57"/>
      <c r="R1470" s="57"/>
    </row>
    <row r="1471" spans="17:18" x14ac:dyDescent="0.25">
      <c r="Q1471" s="57"/>
      <c r="R1471" s="57"/>
    </row>
    <row r="1472" spans="17:18" x14ac:dyDescent="0.25">
      <c r="Q1472" s="57"/>
      <c r="R1472" s="57"/>
    </row>
    <row r="1473" spans="17:18" x14ac:dyDescent="0.25">
      <c r="Q1473" s="57"/>
      <c r="R1473" s="57"/>
    </row>
    <row r="1474" spans="17:18" x14ac:dyDescent="0.25">
      <c r="Q1474" s="57"/>
      <c r="R1474" s="57"/>
    </row>
    <row r="1475" spans="17:18" x14ac:dyDescent="0.25">
      <c r="Q1475" s="57"/>
      <c r="R1475" s="57"/>
    </row>
    <row r="1476" spans="17:18" x14ac:dyDescent="0.25">
      <c r="Q1476" s="57"/>
      <c r="R1476" s="57"/>
    </row>
    <row r="1477" spans="17:18" x14ac:dyDescent="0.25">
      <c r="Q1477" s="57"/>
      <c r="R1477" s="57"/>
    </row>
    <row r="1478" spans="17:18" x14ac:dyDescent="0.25">
      <c r="Q1478" s="57"/>
      <c r="R1478" s="57"/>
    </row>
    <row r="1479" spans="17:18" x14ac:dyDescent="0.25">
      <c r="Q1479" s="57"/>
      <c r="R1479" s="57"/>
    </row>
    <row r="1480" spans="17:18" x14ac:dyDescent="0.25">
      <c r="Q1480" s="57"/>
      <c r="R1480" s="57"/>
    </row>
    <row r="1481" spans="17:18" x14ac:dyDescent="0.25">
      <c r="Q1481" s="57"/>
      <c r="R1481" s="57"/>
    </row>
    <row r="1482" spans="17:18" x14ac:dyDescent="0.25">
      <c r="Q1482" s="57"/>
      <c r="R1482" s="57"/>
    </row>
    <row r="1483" spans="17:18" x14ac:dyDescent="0.25">
      <c r="Q1483" s="57"/>
      <c r="R1483" s="57"/>
    </row>
    <row r="1484" spans="17:18" x14ac:dyDescent="0.25">
      <c r="Q1484" s="57"/>
      <c r="R1484" s="57"/>
    </row>
    <row r="1485" spans="17:18" x14ac:dyDescent="0.25">
      <c r="Q1485" s="57"/>
      <c r="R1485" s="57"/>
    </row>
    <row r="1486" spans="17:18" x14ac:dyDescent="0.25">
      <c r="Q1486" s="57"/>
      <c r="R1486" s="57"/>
    </row>
    <row r="1487" spans="17:18" x14ac:dyDescent="0.25">
      <c r="Q1487" s="57"/>
      <c r="R1487" s="57"/>
    </row>
    <row r="1488" spans="17:18" x14ac:dyDescent="0.25">
      <c r="Q1488" s="57"/>
      <c r="R1488" s="57"/>
    </row>
    <row r="1489" spans="17:18" x14ac:dyDescent="0.25">
      <c r="Q1489" s="57"/>
      <c r="R1489" s="57"/>
    </row>
    <row r="1490" spans="17:18" x14ac:dyDescent="0.25">
      <c r="Q1490" s="57"/>
      <c r="R1490" s="57"/>
    </row>
    <row r="1491" spans="17:18" x14ac:dyDescent="0.25">
      <c r="Q1491" s="57"/>
      <c r="R1491" s="57"/>
    </row>
    <row r="1492" spans="17:18" x14ac:dyDescent="0.25">
      <c r="Q1492" s="57"/>
      <c r="R1492" s="57"/>
    </row>
    <row r="1493" spans="17:18" x14ac:dyDescent="0.25">
      <c r="Q1493" s="57"/>
      <c r="R1493" s="57"/>
    </row>
    <row r="1494" spans="17:18" x14ac:dyDescent="0.25">
      <c r="Q1494" s="57"/>
      <c r="R1494" s="57"/>
    </row>
    <row r="1495" spans="17:18" x14ac:dyDescent="0.25">
      <c r="Q1495" s="57"/>
      <c r="R1495" s="57"/>
    </row>
    <row r="1496" spans="17:18" x14ac:dyDescent="0.25">
      <c r="Q1496" s="57"/>
      <c r="R1496" s="57"/>
    </row>
    <row r="1497" spans="17:18" x14ac:dyDescent="0.25">
      <c r="Q1497" s="57"/>
      <c r="R1497" s="57"/>
    </row>
    <row r="1498" spans="17:18" x14ac:dyDescent="0.25">
      <c r="Q1498" s="57"/>
      <c r="R1498" s="57"/>
    </row>
    <row r="1499" spans="17:18" x14ac:dyDescent="0.25">
      <c r="Q1499" s="57"/>
      <c r="R1499" s="57"/>
    </row>
    <row r="1500" spans="17:18" x14ac:dyDescent="0.25">
      <c r="Q1500" s="57"/>
      <c r="R1500" s="57"/>
    </row>
    <row r="1501" spans="17:18" x14ac:dyDescent="0.25">
      <c r="Q1501" s="57"/>
      <c r="R1501" s="57"/>
    </row>
    <row r="1502" spans="17:18" x14ac:dyDescent="0.25">
      <c r="Q1502" s="57"/>
      <c r="R1502" s="57"/>
    </row>
    <row r="1503" spans="17:18" x14ac:dyDescent="0.25">
      <c r="Q1503" s="57"/>
      <c r="R1503" s="57"/>
    </row>
    <row r="1504" spans="17:18" x14ac:dyDescent="0.25">
      <c r="Q1504" s="57"/>
      <c r="R1504" s="57"/>
    </row>
    <row r="1505" spans="17:18" x14ac:dyDescent="0.25">
      <c r="Q1505" s="57"/>
      <c r="R1505" s="57"/>
    </row>
    <row r="1506" spans="17:18" x14ac:dyDescent="0.25">
      <c r="Q1506" s="57"/>
      <c r="R1506" s="57"/>
    </row>
    <row r="1507" spans="17:18" x14ac:dyDescent="0.25">
      <c r="Q1507" s="57"/>
      <c r="R1507" s="57"/>
    </row>
    <row r="1508" spans="17:18" x14ac:dyDescent="0.25">
      <c r="Q1508" s="57"/>
      <c r="R1508" s="57"/>
    </row>
    <row r="1509" spans="17:18" x14ac:dyDescent="0.25">
      <c r="Q1509" s="57"/>
      <c r="R1509" s="57"/>
    </row>
    <row r="1510" spans="17:18" x14ac:dyDescent="0.25">
      <c r="Q1510" s="57"/>
      <c r="R1510" s="57"/>
    </row>
    <row r="1511" spans="17:18" x14ac:dyDescent="0.25">
      <c r="Q1511" s="57"/>
      <c r="R1511" s="57"/>
    </row>
    <row r="1512" spans="17:18" x14ac:dyDescent="0.25">
      <c r="Q1512" s="57"/>
      <c r="R1512" s="57"/>
    </row>
    <row r="1513" spans="17:18" x14ac:dyDescent="0.25">
      <c r="Q1513" s="57"/>
      <c r="R1513" s="57"/>
    </row>
    <row r="1514" spans="17:18" x14ac:dyDescent="0.25">
      <c r="Q1514" s="57"/>
      <c r="R1514" s="57"/>
    </row>
    <row r="1515" spans="17:18" x14ac:dyDescent="0.25">
      <c r="Q1515" s="57"/>
      <c r="R1515" s="57"/>
    </row>
    <row r="1516" spans="17:18" x14ac:dyDescent="0.25">
      <c r="Q1516" s="57"/>
      <c r="R1516" s="57"/>
    </row>
    <row r="1517" spans="17:18" x14ac:dyDescent="0.25">
      <c r="Q1517" s="57"/>
      <c r="R1517" s="57"/>
    </row>
    <row r="1518" spans="17:18" x14ac:dyDescent="0.25">
      <c r="Q1518" s="57"/>
      <c r="R1518" s="57"/>
    </row>
    <row r="1519" spans="17:18" x14ac:dyDescent="0.25">
      <c r="Q1519" s="57"/>
      <c r="R1519" s="57"/>
    </row>
    <row r="1520" spans="17:18" x14ac:dyDescent="0.25">
      <c r="Q1520" s="57"/>
      <c r="R1520" s="57"/>
    </row>
    <row r="1521" spans="17:18" x14ac:dyDescent="0.25">
      <c r="Q1521" s="57"/>
      <c r="R1521" s="57"/>
    </row>
    <row r="1522" spans="17:18" x14ac:dyDescent="0.25">
      <c r="Q1522" s="57"/>
      <c r="R1522" s="57"/>
    </row>
    <row r="1523" spans="17:18" x14ac:dyDescent="0.25">
      <c r="Q1523" s="57"/>
      <c r="R1523" s="57"/>
    </row>
    <row r="1524" spans="17:18" x14ac:dyDescent="0.25">
      <c r="Q1524" s="57"/>
      <c r="R1524" s="57"/>
    </row>
    <row r="1525" spans="17:18" x14ac:dyDescent="0.25">
      <c r="Q1525" s="57"/>
      <c r="R1525" s="57"/>
    </row>
    <row r="1526" spans="17:18" x14ac:dyDescent="0.25">
      <c r="Q1526" s="57"/>
      <c r="R1526" s="57"/>
    </row>
    <row r="1527" spans="17:18" x14ac:dyDescent="0.25">
      <c r="Q1527" s="57"/>
      <c r="R1527" s="57"/>
    </row>
    <row r="1528" spans="17:18" x14ac:dyDescent="0.25">
      <c r="Q1528" s="57"/>
      <c r="R1528" s="57"/>
    </row>
    <row r="1529" spans="17:18" x14ac:dyDescent="0.25">
      <c r="Q1529" s="57"/>
      <c r="R1529" s="57"/>
    </row>
    <row r="1530" spans="17:18" x14ac:dyDescent="0.25">
      <c r="Q1530" s="57"/>
      <c r="R1530" s="57"/>
    </row>
    <row r="1531" spans="17:18" x14ac:dyDescent="0.25">
      <c r="Q1531" s="57"/>
      <c r="R1531" s="57"/>
    </row>
    <row r="1532" spans="17:18" x14ac:dyDescent="0.25">
      <c r="Q1532" s="57"/>
      <c r="R1532" s="57"/>
    </row>
    <row r="1533" spans="17:18" x14ac:dyDescent="0.25">
      <c r="Q1533" s="57"/>
      <c r="R1533" s="57"/>
    </row>
    <row r="1534" spans="17:18" x14ac:dyDescent="0.25">
      <c r="Q1534" s="57"/>
      <c r="R1534" s="57"/>
    </row>
    <row r="1535" spans="17:18" x14ac:dyDescent="0.25">
      <c r="Q1535" s="57"/>
      <c r="R1535" s="57"/>
    </row>
    <row r="1536" spans="17:18" x14ac:dyDescent="0.25">
      <c r="Q1536" s="57"/>
      <c r="R1536" s="57"/>
    </row>
    <row r="1537" spans="17:18" x14ac:dyDescent="0.25">
      <c r="Q1537" s="57"/>
      <c r="R1537" s="57"/>
    </row>
    <row r="1538" spans="17:18" x14ac:dyDescent="0.25">
      <c r="Q1538" s="57"/>
      <c r="R1538" s="57"/>
    </row>
    <row r="1539" spans="17:18" x14ac:dyDescent="0.25">
      <c r="Q1539" s="57"/>
      <c r="R1539" s="57"/>
    </row>
    <row r="1540" spans="17:18" x14ac:dyDescent="0.25">
      <c r="Q1540" s="57"/>
      <c r="R1540" s="57"/>
    </row>
    <row r="1541" spans="17:18" x14ac:dyDescent="0.25">
      <c r="Q1541" s="57"/>
      <c r="R1541" s="57"/>
    </row>
    <row r="1542" spans="17:18" x14ac:dyDescent="0.25">
      <c r="Q1542" s="57"/>
      <c r="R1542" s="57"/>
    </row>
    <row r="1543" spans="17:18" x14ac:dyDescent="0.25">
      <c r="Q1543" s="57"/>
      <c r="R1543" s="57"/>
    </row>
    <row r="1544" spans="17:18" x14ac:dyDescent="0.25">
      <c r="Q1544" s="57"/>
      <c r="R1544" s="57"/>
    </row>
    <row r="1545" spans="17:18" x14ac:dyDescent="0.25">
      <c r="Q1545" s="57"/>
      <c r="R1545" s="57"/>
    </row>
    <row r="1546" spans="17:18" x14ac:dyDescent="0.25">
      <c r="Q1546" s="57"/>
      <c r="R1546" s="57"/>
    </row>
    <row r="1547" spans="17:18" x14ac:dyDescent="0.25">
      <c r="Q1547" s="57"/>
      <c r="R1547" s="57"/>
    </row>
    <row r="1548" spans="17:18" x14ac:dyDescent="0.25">
      <c r="Q1548" s="57"/>
      <c r="R1548" s="57"/>
    </row>
    <row r="1549" spans="17:18" x14ac:dyDescent="0.25">
      <c r="Q1549" s="57"/>
      <c r="R1549" s="57"/>
    </row>
    <row r="1550" spans="17:18" x14ac:dyDescent="0.25">
      <c r="Q1550" s="57"/>
      <c r="R1550" s="57"/>
    </row>
    <row r="1551" spans="17:18" x14ac:dyDescent="0.25">
      <c r="Q1551" s="57"/>
      <c r="R1551" s="57"/>
    </row>
    <row r="1552" spans="17:18" x14ac:dyDescent="0.25">
      <c r="Q1552" s="57"/>
      <c r="R1552" s="57"/>
    </row>
    <row r="1553" spans="17:18" x14ac:dyDescent="0.25">
      <c r="Q1553" s="57"/>
      <c r="R1553" s="57"/>
    </row>
    <row r="1554" spans="17:18" x14ac:dyDescent="0.25">
      <c r="Q1554" s="57"/>
      <c r="R1554" s="57"/>
    </row>
    <row r="1555" spans="17:18" x14ac:dyDescent="0.25">
      <c r="Q1555" s="57"/>
      <c r="R1555" s="57"/>
    </row>
    <row r="1556" spans="17:18" x14ac:dyDescent="0.25">
      <c r="Q1556" s="57"/>
      <c r="R1556" s="57"/>
    </row>
    <row r="1557" spans="17:18" x14ac:dyDescent="0.25">
      <c r="Q1557" s="57"/>
      <c r="R1557" s="57"/>
    </row>
    <row r="1558" spans="17:18" x14ac:dyDescent="0.25">
      <c r="Q1558" s="57"/>
      <c r="R1558" s="57"/>
    </row>
    <row r="1559" spans="17:18" x14ac:dyDescent="0.25">
      <c r="Q1559" s="57"/>
      <c r="R1559" s="57"/>
    </row>
    <row r="1560" spans="17:18" x14ac:dyDescent="0.25">
      <c r="Q1560" s="57"/>
      <c r="R1560" s="57"/>
    </row>
    <row r="1561" spans="17:18" x14ac:dyDescent="0.25">
      <c r="Q1561" s="57"/>
      <c r="R1561" s="57"/>
    </row>
    <row r="1562" spans="17:18" x14ac:dyDescent="0.25">
      <c r="Q1562" s="57"/>
      <c r="R1562" s="57"/>
    </row>
    <row r="1563" spans="17:18" x14ac:dyDescent="0.25">
      <c r="Q1563" s="57"/>
      <c r="R1563" s="57"/>
    </row>
    <row r="1564" spans="17:18" x14ac:dyDescent="0.25">
      <c r="Q1564" s="57"/>
      <c r="R1564" s="57"/>
    </row>
    <row r="1565" spans="17:18" x14ac:dyDescent="0.25">
      <c r="Q1565" s="57"/>
      <c r="R1565" s="57"/>
    </row>
    <row r="1566" spans="17:18" x14ac:dyDescent="0.25">
      <c r="Q1566" s="57"/>
      <c r="R1566" s="57"/>
    </row>
    <row r="1567" spans="17:18" x14ac:dyDescent="0.25">
      <c r="Q1567" s="57"/>
      <c r="R1567" s="57"/>
    </row>
    <row r="1568" spans="17:18" x14ac:dyDescent="0.25">
      <c r="Q1568" s="57"/>
      <c r="R1568" s="57"/>
    </row>
    <row r="1569" spans="17:18" x14ac:dyDescent="0.25">
      <c r="Q1569" s="57"/>
      <c r="R1569" s="57"/>
    </row>
    <row r="1570" spans="17:18" x14ac:dyDescent="0.25">
      <c r="Q1570" s="57"/>
      <c r="R1570" s="57"/>
    </row>
    <row r="1571" spans="17:18" x14ac:dyDescent="0.25">
      <c r="Q1571" s="57"/>
      <c r="R1571" s="57"/>
    </row>
    <row r="1572" spans="17:18" x14ac:dyDescent="0.25">
      <c r="Q1572" s="57"/>
      <c r="R1572" s="57"/>
    </row>
    <row r="1573" spans="17:18" x14ac:dyDescent="0.25">
      <c r="Q1573" s="57"/>
      <c r="R1573" s="57"/>
    </row>
    <row r="1574" spans="17:18" x14ac:dyDescent="0.25">
      <c r="Q1574" s="57"/>
      <c r="R1574" s="57"/>
    </row>
    <row r="1575" spans="17:18" x14ac:dyDescent="0.25">
      <c r="Q1575" s="57"/>
      <c r="R1575" s="57"/>
    </row>
    <row r="1576" spans="17:18" x14ac:dyDescent="0.25">
      <c r="Q1576" s="57"/>
      <c r="R1576" s="57"/>
    </row>
    <row r="1577" spans="17:18" x14ac:dyDescent="0.25">
      <c r="Q1577" s="57"/>
      <c r="R1577" s="57"/>
    </row>
    <row r="1578" spans="17:18" x14ac:dyDescent="0.25">
      <c r="Q1578" s="57"/>
      <c r="R1578" s="57"/>
    </row>
    <row r="1579" spans="17:18" x14ac:dyDescent="0.25">
      <c r="Q1579" s="57"/>
      <c r="R1579" s="57"/>
    </row>
    <row r="1580" spans="17:18" x14ac:dyDescent="0.25">
      <c r="Q1580" s="57"/>
      <c r="R1580" s="57"/>
    </row>
    <row r="1581" spans="17:18" x14ac:dyDescent="0.25">
      <c r="Q1581" s="57"/>
      <c r="R1581" s="57"/>
    </row>
    <row r="1582" spans="17:18" x14ac:dyDescent="0.25">
      <c r="Q1582" s="57"/>
      <c r="R1582" s="57"/>
    </row>
    <row r="1583" spans="17:18" x14ac:dyDescent="0.25">
      <c r="Q1583" s="57"/>
      <c r="R1583" s="57"/>
    </row>
    <row r="1584" spans="17:18" x14ac:dyDescent="0.25">
      <c r="Q1584" s="57"/>
      <c r="R1584" s="57"/>
    </row>
    <row r="1585" spans="17:18" x14ac:dyDescent="0.25">
      <c r="Q1585" s="57"/>
      <c r="R1585" s="57"/>
    </row>
    <row r="1586" spans="17:18" x14ac:dyDescent="0.25">
      <c r="Q1586" s="57"/>
      <c r="R1586" s="57"/>
    </row>
    <row r="1587" spans="17:18" x14ac:dyDescent="0.25">
      <c r="Q1587" s="57"/>
      <c r="R1587" s="57"/>
    </row>
    <row r="1588" spans="17:18" x14ac:dyDescent="0.25">
      <c r="Q1588" s="57"/>
      <c r="R1588" s="57"/>
    </row>
    <row r="1589" spans="17:18" x14ac:dyDescent="0.25">
      <c r="Q1589" s="57"/>
      <c r="R1589" s="57"/>
    </row>
    <row r="1590" spans="17:18" x14ac:dyDescent="0.25">
      <c r="Q1590" s="57"/>
      <c r="R1590" s="57"/>
    </row>
    <row r="1591" spans="17:18" x14ac:dyDescent="0.25">
      <c r="Q1591" s="57"/>
      <c r="R1591" s="57"/>
    </row>
    <row r="1592" spans="17:18" x14ac:dyDescent="0.25">
      <c r="Q1592" s="57"/>
      <c r="R1592" s="57"/>
    </row>
    <row r="1593" spans="17:18" x14ac:dyDescent="0.25">
      <c r="Q1593" s="57"/>
      <c r="R1593" s="57"/>
    </row>
    <row r="1594" spans="17:18" x14ac:dyDescent="0.25">
      <c r="Q1594" s="57"/>
      <c r="R1594" s="57"/>
    </row>
    <row r="1595" spans="17:18" x14ac:dyDescent="0.25">
      <c r="Q1595" s="57"/>
      <c r="R1595" s="57"/>
    </row>
    <row r="1596" spans="17:18" x14ac:dyDescent="0.25">
      <c r="Q1596" s="57"/>
      <c r="R1596" s="57"/>
    </row>
    <row r="1597" spans="17:18" x14ac:dyDescent="0.25">
      <c r="Q1597" s="57"/>
      <c r="R1597" s="57"/>
    </row>
    <row r="1598" spans="17:18" x14ac:dyDescent="0.25">
      <c r="Q1598" s="57"/>
      <c r="R1598" s="57"/>
    </row>
    <row r="1599" spans="17:18" x14ac:dyDescent="0.25">
      <c r="Q1599" s="57"/>
      <c r="R1599" s="57"/>
    </row>
    <row r="1600" spans="17:18" x14ac:dyDescent="0.25">
      <c r="Q1600" s="57"/>
      <c r="R1600" s="57"/>
    </row>
    <row r="1601" spans="17:18" x14ac:dyDescent="0.25">
      <c r="Q1601" s="57"/>
      <c r="R1601" s="57"/>
    </row>
    <row r="1602" spans="17:18" x14ac:dyDescent="0.25">
      <c r="Q1602" s="57"/>
      <c r="R1602" s="57"/>
    </row>
    <row r="1603" spans="17:18" x14ac:dyDescent="0.25">
      <c r="Q1603" s="57"/>
      <c r="R1603" s="57"/>
    </row>
    <row r="1604" spans="17:18" x14ac:dyDescent="0.25">
      <c r="Q1604" s="57"/>
      <c r="R1604" s="57"/>
    </row>
    <row r="1605" spans="17:18" x14ac:dyDescent="0.25">
      <c r="Q1605" s="57"/>
      <c r="R1605" s="57"/>
    </row>
    <row r="1606" spans="17:18" x14ac:dyDescent="0.25">
      <c r="Q1606" s="57"/>
      <c r="R1606" s="57"/>
    </row>
    <row r="1607" spans="17:18" x14ac:dyDescent="0.25">
      <c r="Q1607" s="57"/>
      <c r="R1607" s="57"/>
    </row>
    <row r="1608" spans="17:18" x14ac:dyDescent="0.25">
      <c r="Q1608" s="57"/>
      <c r="R1608" s="57"/>
    </row>
    <row r="1609" spans="17:18" x14ac:dyDescent="0.25">
      <c r="Q1609" s="57"/>
      <c r="R1609" s="57"/>
    </row>
    <row r="1610" spans="17:18" x14ac:dyDescent="0.25">
      <c r="Q1610" s="57"/>
      <c r="R1610" s="57"/>
    </row>
    <row r="1611" spans="17:18" x14ac:dyDescent="0.25">
      <c r="Q1611" s="57"/>
      <c r="R1611" s="57"/>
    </row>
    <row r="1612" spans="17:18" x14ac:dyDescent="0.25">
      <c r="Q1612" s="57"/>
      <c r="R1612" s="57"/>
    </row>
    <row r="1613" spans="17:18" x14ac:dyDescent="0.25">
      <c r="Q1613" s="57"/>
      <c r="R1613" s="57"/>
    </row>
    <row r="1614" spans="17:18" x14ac:dyDescent="0.25">
      <c r="Q1614" s="57"/>
      <c r="R1614" s="57"/>
    </row>
    <row r="1615" spans="17:18" x14ac:dyDescent="0.25">
      <c r="Q1615" s="57"/>
      <c r="R1615" s="57"/>
    </row>
    <row r="1616" spans="17:18" x14ac:dyDescent="0.25">
      <c r="Q1616" s="57"/>
      <c r="R1616" s="57"/>
    </row>
    <row r="1617" spans="17:18" x14ac:dyDescent="0.25">
      <c r="Q1617" s="57"/>
      <c r="R1617" s="57"/>
    </row>
    <row r="1618" spans="17:18" x14ac:dyDescent="0.25">
      <c r="Q1618" s="57"/>
      <c r="R1618" s="57"/>
    </row>
    <row r="1619" spans="17:18" x14ac:dyDescent="0.25">
      <c r="Q1619" s="57"/>
      <c r="R1619" s="57"/>
    </row>
    <row r="1620" spans="17:18" x14ac:dyDescent="0.25">
      <c r="Q1620" s="57"/>
      <c r="R1620" s="57"/>
    </row>
    <row r="1621" spans="17:18" x14ac:dyDescent="0.25">
      <c r="Q1621" s="57"/>
      <c r="R1621" s="57"/>
    </row>
    <row r="1622" spans="17:18" x14ac:dyDescent="0.25">
      <c r="Q1622" s="57"/>
      <c r="R1622" s="57"/>
    </row>
    <row r="1623" spans="17:18" x14ac:dyDescent="0.25">
      <c r="Q1623" s="57"/>
      <c r="R1623" s="57"/>
    </row>
    <row r="1624" spans="17:18" x14ac:dyDescent="0.25">
      <c r="Q1624" s="57"/>
      <c r="R1624" s="57"/>
    </row>
    <row r="1625" spans="17:18" x14ac:dyDescent="0.25">
      <c r="Q1625" s="57"/>
      <c r="R1625" s="57"/>
    </row>
    <row r="1626" spans="17:18" x14ac:dyDescent="0.25">
      <c r="Q1626" s="57"/>
      <c r="R1626" s="57"/>
    </row>
    <row r="1627" spans="17:18" x14ac:dyDescent="0.25">
      <c r="Q1627" s="57"/>
      <c r="R1627" s="57"/>
    </row>
    <row r="1628" spans="17:18" x14ac:dyDescent="0.25">
      <c r="Q1628" s="57"/>
      <c r="R1628" s="57"/>
    </row>
    <row r="1629" spans="17:18" x14ac:dyDescent="0.25">
      <c r="Q1629" s="57"/>
      <c r="R1629" s="57"/>
    </row>
    <row r="1630" spans="17:18" x14ac:dyDescent="0.25">
      <c r="Q1630" s="57"/>
      <c r="R1630" s="57"/>
    </row>
    <row r="1631" spans="17:18" x14ac:dyDescent="0.25">
      <c r="Q1631" s="57"/>
      <c r="R1631" s="57"/>
    </row>
    <row r="1632" spans="17:18" x14ac:dyDescent="0.25">
      <c r="Q1632" s="57"/>
      <c r="R1632" s="57"/>
    </row>
    <row r="1633" spans="17:18" x14ac:dyDescent="0.25">
      <c r="Q1633" s="57"/>
      <c r="R1633" s="57"/>
    </row>
    <row r="1634" spans="17:18" x14ac:dyDescent="0.25">
      <c r="Q1634" s="57"/>
      <c r="R1634" s="57"/>
    </row>
    <row r="1635" spans="17:18" x14ac:dyDescent="0.25">
      <c r="Q1635" s="57"/>
      <c r="R1635" s="57"/>
    </row>
    <row r="1636" spans="17:18" x14ac:dyDescent="0.25">
      <c r="Q1636" s="57"/>
      <c r="R1636" s="57"/>
    </row>
    <row r="1637" spans="17:18" x14ac:dyDescent="0.25">
      <c r="Q1637" s="57"/>
      <c r="R1637" s="57"/>
    </row>
    <row r="1638" spans="17:18" x14ac:dyDescent="0.25">
      <c r="Q1638" s="57"/>
      <c r="R1638" s="57"/>
    </row>
    <row r="1639" spans="17:18" x14ac:dyDescent="0.25">
      <c r="Q1639" s="57"/>
      <c r="R1639" s="57"/>
    </row>
    <row r="1640" spans="17:18" x14ac:dyDescent="0.25">
      <c r="Q1640" s="57"/>
      <c r="R1640" s="57"/>
    </row>
    <row r="1641" spans="17:18" x14ac:dyDescent="0.25">
      <c r="Q1641" s="57"/>
      <c r="R1641" s="57"/>
    </row>
    <row r="1642" spans="17:18" x14ac:dyDescent="0.25">
      <c r="Q1642" s="57"/>
      <c r="R1642" s="57"/>
    </row>
    <row r="1643" spans="17:18" x14ac:dyDescent="0.25">
      <c r="Q1643" s="57"/>
      <c r="R1643" s="57"/>
    </row>
    <row r="1644" spans="17:18" x14ac:dyDescent="0.25">
      <c r="Q1644" s="57"/>
      <c r="R1644" s="57"/>
    </row>
    <row r="1645" spans="17:18" x14ac:dyDescent="0.25">
      <c r="Q1645" s="57"/>
      <c r="R1645" s="57"/>
    </row>
    <row r="1646" spans="17:18" x14ac:dyDescent="0.25">
      <c r="Q1646" s="57"/>
      <c r="R1646" s="57"/>
    </row>
    <row r="1647" spans="17:18" x14ac:dyDescent="0.25">
      <c r="Q1647" s="57"/>
      <c r="R1647" s="57"/>
    </row>
    <row r="1648" spans="17:18" x14ac:dyDescent="0.25">
      <c r="Q1648" s="57"/>
      <c r="R1648" s="57"/>
    </row>
    <row r="1649" spans="17:18" x14ac:dyDescent="0.25">
      <c r="Q1649" s="57"/>
      <c r="R1649" s="57"/>
    </row>
    <row r="1650" spans="17:18" x14ac:dyDescent="0.25">
      <c r="Q1650" s="57"/>
      <c r="R1650" s="57"/>
    </row>
    <row r="1651" spans="17:18" x14ac:dyDescent="0.25">
      <c r="Q1651" s="57"/>
      <c r="R1651" s="57"/>
    </row>
    <row r="1652" spans="17:18" x14ac:dyDescent="0.25">
      <c r="Q1652" s="57"/>
      <c r="R1652" s="57"/>
    </row>
    <row r="1653" spans="17:18" x14ac:dyDescent="0.25">
      <c r="Q1653" s="57"/>
      <c r="R1653" s="57"/>
    </row>
    <row r="1654" spans="17:18" x14ac:dyDescent="0.25">
      <c r="Q1654" s="57"/>
      <c r="R1654" s="57"/>
    </row>
    <row r="1655" spans="17:18" x14ac:dyDescent="0.25">
      <c r="Q1655" s="57"/>
      <c r="R1655" s="57"/>
    </row>
    <row r="1656" spans="17:18" x14ac:dyDescent="0.25">
      <c r="Q1656" s="57"/>
      <c r="R1656" s="57"/>
    </row>
    <row r="1657" spans="17:18" x14ac:dyDescent="0.25">
      <c r="Q1657" s="57"/>
      <c r="R1657" s="57"/>
    </row>
    <row r="1658" spans="17:18" x14ac:dyDescent="0.25">
      <c r="Q1658" s="57"/>
      <c r="R1658" s="57"/>
    </row>
    <row r="1659" spans="17:18" x14ac:dyDescent="0.25">
      <c r="Q1659" s="57"/>
      <c r="R1659" s="57"/>
    </row>
    <row r="1660" spans="17:18" x14ac:dyDescent="0.25">
      <c r="Q1660" s="57"/>
      <c r="R1660" s="57"/>
    </row>
    <row r="1661" spans="17:18" x14ac:dyDescent="0.25">
      <c r="Q1661" s="57"/>
      <c r="R1661" s="57"/>
    </row>
    <row r="1662" spans="17:18" x14ac:dyDescent="0.25">
      <c r="Q1662" s="57"/>
      <c r="R1662" s="57"/>
    </row>
    <row r="1663" spans="17:18" x14ac:dyDescent="0.25">
      <c r="Q1663" s="57"/>
      <c r="R1663" s="57"/>
    </row>
    <row r="1664" spans="17:18" x14ac:dyDescent="0.25">
      <c r="Q1664" s="57"/>
      <c r="R1664" s="57"/>
    </row>
    <row r="1665" spans="17:18" x14ac:dyDescent="0.25">
      <c r="Q1665" s="57"/>
      <c r="R1665" s="57"/>
    </row>
    <row r="1666" spans="17:18" x14ac:dyDescent="0.25">
      <c r="Q1666" s="57"/>
      <c r="R1666" s="57"/>
    </row>
    <row r="1667" spans="17:18" x14ac:dyDescent="0.25">
      <c r="Q1667" s="57"/>
      <c r="R1667" s="57"/>
    </row>
    <row r="1668" spans="17:18" x14ac:dyDescent="0.25">
      <c r="Q1668" s="57"/>
      <c r="R1668" s="57"/>
    </row>
    <row r="1669" spans="17:18" x14ac:dyDescent="0.25">
      <c r="Q1669" s="57"/>
      <c r="R1669" s="57"/>
    </row>
    <row r="1670" spans="17:18" x14ac:dyDescent="0.25">
      <c r="Q1670" s="57"/>
      <c r="R1670" s="57"/>
    </row>
    <row r="1671" spans="17:18" x14ac:dyDescent="0.25">
      <c r="Q1671" s="57"/>
      <c r="R1671" s="57"/>
    </row>
    <row r="1672" spans="17:18" x14ac:dyDescent="0.25">
      <c r="Q1672" s="57"/>
      <c r="R1672" s="57"/>
    </row>
    <row r="1673" spans="17:18" x14ac:dyDescent="0.25">
      <c r="Q1673" s="57"/>
      <c r="R1673" s="57"/>
    </row>
    <row r="1674" spans="17:18" x14ac:dyDescent="0.25">
      <c r="Q1674" s="57"/>
      <c r="R1674" s="57"/>
    </row>
    <row r="1675" spans="17:18" x14ac:dyDescent="0.25">
      <c r="Q1675" s="57"/>
      <c r="R1675" s="57"/>
    </row>
    <row r="1676" spans="17:18" x14ac:dyDescent="0.25">
      <c r="Q1676" s="57"/>
      <c r="R1676" s="57"/>
    </row>
    <row r="1677" spans="17:18" x14ac:dyDescent="0.25">
      <c r="Q1677" s="57"/>
      <c r="R1677" s="57"/>
    </row>
    <row r="1678" spans="17:18" x14ac:dyDescent="0.25">
      <c r="Q1678" s="57"/>
      <c r="R1678" s="57"/>
    </row>
    <row r="1679" spans="17:18" x14ac:dyDescent="0.25">
      <c r="Q1679" s="57"/>
      <c r="R1679" s="57"/>
    </row>
    <row r="1680" spans="17:18" x14ac:dyDescent="0.25">
      <c r="Q1680" s="57"/>
      <c r="R1680" s="57"/>
    </row>
    <row r="1681" spans="17:18" x14ac:dyDescent="0.25">
      <c r="Q1681" s="57"/>
      <c r="R1681" s="57"/>
    </row>
    <row r="1682" spans="17:18" x14ac:dyDescent="0.25">
      <c r="Q1682" s="57"/>
      <c r="R1682" s="57"/>
    </row>
    <row r="1683" spans="17:18" x14ac:dyDescent="0.25">
      <c r="Q1683" s="57"/>
      <c r="R1683" s="57"/>
    </row>
    <row r="1684" spans="17:18" x14ac:dyDescent="0.25">
      <c r="Q1684" s="57"/>
      <c r="R1684" s="57"/>
    </row>
    <row r="1685" spans="17:18" x14ac:dyDescent="0.25">
      <c r="Q1685" s="57"/>
      <c r="R1685" s="57"/>
    </row>
    <row r="1686" spans="17:18" x14ac:dyDescent="0.25">
      <c r="Q1686" s="57"/>
      <c r="R1686" s="57"/>
    </row>
    <row r="1687" spans="17:18" x14ac:dyDescent="0.25">
      <c r="Q1687" s="57"/>
      <c r="R1687" s="57"/>
    </row>
    <row r="1688" spans="17:18" x14ac:dyDescent="0.25">
      <c r="Q1688" s="57"/>
      <c r="R1688" s="57"/>
    </row>
    <row r="1689" spans="17:18" x14ac:dyDescent="0.25">
      <c r="Q1689" s="57"/>
      <c r="R1689" s="57"/>
    </row>
    <row r="1690" spans="17:18" x14ac:dyDescent="0.25">
      <c r="Q1690" s="57"/>
      <c r="R1690" s="57"/>
    </row>
    <row r="1691" spans="17:18" x14ac:dyDescent="0.25">
      <c r="Q1691" s="57"/>
      <c r="R1691" s="57"/>
    </row>
    <row r="1692" spans="17:18" x14ac:dyDescent="0.25">
      <c r="Q1692" s="57"/>
      <c r="R1692" s="57"/>
    </row>
    <row r="1693" spans="17:18" x14ac:dyDescent="0.25">
      <c r="Q1693" s="57"/>
      <c r="R1693" s="57"/>
    </row>
    <row r="1694" spans="17:18" x14ac:dyDescent="0.25">
      <c r="Q1694" s="57"/>
      <c r="R1694" s="57"/>
    </row>
    <row r="1695" spans="17:18" x14ac:dyDescent="0.25">
      <c r="Q1695" s="57"/>
      <c r="R1695" s="57"/>
    </row>
    <row r="1696" spans="17:18" x14ac:dyDescent="0.25">
      <c r="Q1696" s="57"/>
      <c r="R1696" s="57"/>
    </row>
    <row r="1697" spans="17:18" x14ac:dyDescent="0.25">
      <c r="Q1697" s="57"/>
      <c r="R1697" s="57"/>
    </row>
    <row r="1698" spans="17:18" x14ac:dyDescent="0.25">
      <c r="Q1698" s="57"/>
      <c r="R1698" s="57"/>
    </row>
    <row r="1699" spans="17:18" x14ac:dyDescent="0.25">
      <c r="Q1699" s="57"/>
      <c r="R1699" s="57"/>
    </row>
    <row r="1700" spans="17:18" x14ac:dyDescent="0.25">
      <c r="Q1700" s="57"/>
      <c r="R1700" s="57"/>
    </row>
    <row r="1701" spans="17:18" x14ac:dyDescent="0.25">
      <c r="Q1701" s="57"/>
      <c r="R1701" s="57"/>
    </row>
    <row r="1702" spans="17:18" x14ac:dyDescent="0.25">
      <c r="Q1702" s="57"/>
      <c r="R1702" s="57"/>
    </row>
    <row r="1703" spans="17:18" x14ac:dyDescent="0.25">
      <c r="Q1703" s="57"/>
      <c r="R1703" s="57"/>
    </row>
    <row r="1704" spans="17:18" x14ac:dyDescent="0.25">
      <c r="Q1704" s="57"/>
      <c r="R1704" s="57"/>
    </row>
    <row r="1705" spans="17:18" x14ac:dyDescent="0.25">
      <c r="Q1705" s="57"/>
      <c r="R1705" s="57"/>
    </row>
    <row r="1706" spans="17:18" x14ac:dyDescent="0.25">
      <c r="Q1706" s="57"/>
      <c r="R1706" s="57"/>
    </row>
    <row r="1707" spans="17:18" x14ac:dyDescent="0.25">
      <c r="Q1707" s="57"/>
      <c r="R1707" s="57"/>
    </row>
    <row r="1708" spans="17:18" x14ac:dyDescent="0.25">
      <c r="Q1708" s="57"/>
      <c r="R1708" s="57"/>
    </row>
    <row r="1709" spans="17:18" x14ac:dyDescent="0.25">
      <c r="Q1709" s="57"/>
      <c r="R1709" s="57"/>
    </row>
    <row r="1710" spans="17:18" x14ac:dyDescent="0.25">
      <c r="Q1710" s="57"/>
      <c r="R1710" s="57"/>
    </row>
    <row r="1711" spans="17:18" x14ac:dyDescent="0.25">
      <c r="Q1711" s="57"/>
      <c r="R1711" s="57"/>
    </row>
    <row r="1712" spans="17:18" x14ac:dyDescent="0.25">
      <c r="Q1712" s="57"/>
      <c r="R1712" s="57"/>
    </row>
    <row r="1713" spans="17:18" x14ac:dyDescent="0.25">
      <c r="Q1713" s="57"/>
      <c r="R1713" s="57"/>
    </row>
    <row r="1714" spans="17:18" x14ac:dyDescent="0.25">
      <c r="Q1714" s="57"/>
      <c r="R1714" s="57"/>
    </row>
    <row r="1715" spans="17:18" x14ac:dyDescent="0.25">
      <c r="Q1715" s="57"/>
      <c r="R1715" s="57"/>
    </row>
    <row r="1716" spans="17:18" x14ac:dyDescent="0.25">
      <c r="Q1716" s="57"/>
      <c r="R1716" s="57"/>
    </row>
    <row r="1717" spans="17:18" x14ac:dyDescent="0.25">
      <c r="Q1717" s="57"/>
      <c r="R1717" s="57"/>
    </row>
    <row r="1718" spans="17:18" x14ac:dyDescent="0.25">
      <c r="Q1718" s="57"/>
      <c r="R1718" s="57"/>
    </row>
    <row r="1719" spans="17:18" x14ac:dyDescent="0.25">
      <c r="Q1719" s="57"/>
      <c r="R1719" s="57"/>
    </row>
    <row r="1720" spans="17:18" x14ac:dyDescent="0.25">
      <c r="Q1720" s="57"/>
      <c r="R1720" s="57"/>
    </row>
    <row r="1721" spans="17:18" x14ac:dyDescent="0.25">
      <c r="Q1721" s="57"/>
      <c r="R1721" s="57"/>
    </row>
    <row r="1722" spans="17:18" x14ac:dyDescent="0.25">
      <c r="Q1722" s="57"/>
      <c r="R1722" s="57"/>
    </row>
    <row r="1723" spans="17:18" x14ac:dyDescent="0.25">
      <c r="Q1723" s="57"/>
      <c r="R1723" s="57"/>
    </row>
    <row r="1724" spans="17:18" x14ac:dyDescent="0.25">
      <c r="Q1724" s="57"/>
      <c r="R1724" s="57"/>
    </row>
    <row r="1725" spans="17:18" x14ac:dyDescent="0.25">
      <c r="Q1725" s="57"/>
      <c r="R1725" s="57"/>
    </row>
    <row r="1726" spans="17:18" x14ac:dyDescent="0.25">
      <c r="Q1726" s="57"/>
      <c r="R1726" s="57"/>
    </row>
    <row r="1727" spans="17:18" x14ac:dyDescent="0.25">
      <c r="Q1727" s="57"/>
      <c r="R1727" s="57"/>
    </row>
    <row r="1728" spans="17:18" x14ac:dyDescent="0.25">
      <c r="Q1728" s="57"/>
      <c r="R1728" s="57"/>
    </row>
    <row r="1729" spans="17:18" x14ac:dyDescent="0.25">
      <c r="Q1729" s="57"/>
      <c r="R1729" s="57"/>
    </row>
    <row r="1730" spans="17:18" x14ac:dyDescent="0.25">
      <c r="Q1730" s="57"/>
      <c r="R1730" s="57"/>
    </row>
    <row r="1731" spans="17:18" x14ac:dyDescent="0.25">
      <c r="Q1731" s="57"/>
      <c r="R1731" s="57"/>
    </row>
    <row r="1732" spans="17:18" x14ac:dyDescent="0.25">
      <c r="Q1732" s="57"/>
      <c r="R1732" s="57"/>
    </row>
    <row r="1733" spans="17:18" x14ac:dyDescent="0.25">
      <c r="Q1733" s="57"/>
      <c r="R1733" s="57"/>
    </row>
    <row r="1734" spans="17:18" x14ac:dyDescent="0.25">
      <c r="Q1734" s="57"/>
      <c r="R1734" s="57"/>
    </row>
    <row r="1735" spans="17:18" x14ac:dyDescent="0.25">
      <c r="Q1735" s="57"/>
      <c r="R1735" s="57"/>
    </row>
    <row r="1736" spans="17:18" x14ac:dyDescent="0.25">
      <c r="Q1736" s="57"/>
      <c r="R1736" s="57"/>
    </row>
    <row r="1737" spans="17:18" x14ac:dyDescent="0.25">
      <c r="Q1737" s="57"/>
      <c r="R1737" s="57"/>
    </row>
    <row r="1738" spans="17:18" x14ac:dyDescent="0.25">
      <c r="Q1738" s="57"/>
      <c r="R1738" s="57"/>
    </row>
    <row r="1739" spans="17:18" x14ac:dyDescent="0.25">
      <c r="Q1739" s="57"/>
      <c r="R1739" s="57"/>
    </row>
    <row r="1740" spans="17:18" x14ac:dyDescent="0.25">
      <c r="Q1740" s="57"/>
      <c r="R1740" s="57"/>
    </row>
    <row r="1741" spans="17:18" x14ac:dyDescent="0.25">
      <c r="Q1741" s="57"/>
      <c r="R1741" s="57"/>
    </row>
    <row r="1742" spans="17:18" x14ac:dyDescent="0.25">
      <c r="Q1742" s="57"/>
      <c r="R1742" s="57"/>
    </row>
    <row r="1743" spans="17:18" x14ac:dyDescent="0.25">
      <c r="Q1743" s="57"/>
      <c r="R1743" s="57"/>
    </row>
    <row r="1744" spans="17:18" x14ac:dyDescent="0.25">
      <c r="Q1744" s="57"/>
      <c r="R1744" s="57"/>
    </row>
    <row r="1745" spans="17:18" x14ac:dyDescent="0.25">
      <c r="Q1745" s="57"/>
      <c r="R1745" s="57"/>
    </row>
    <row r="1746" spans="17:18" x14ac:dyDescent="0.25">
      <c r="Q1746" s="57"/>
      <c r="R1746" s="57"/>
    </row>
    <row r="1747" spans="17:18" x14ac:dyDescent="0.25">
      <c r="Q1747" s="57"/>
      <c r="R1747" s="57"/>
    </row>
    <row r="1748" spans="17:18" x14ac:dyDescent="0.25">
      <c r="Q1748" s="57"/>
      <c r="R1748" s="57"/>
    </row>
    <row r="1749" spans="17:18" x14ac:dyDescent="0.25">
      <c r="Q1749" s="57"/>
      <c r="R1749" s="57"/>
    </row>
    <row r="1750" spans="17:18" x14ac:dyDescent="0.25">
      <c r="Q1750" s="57"/>
      <c r="R1750" s="57"/>
    </row>
    <row r="1751" spans="17:18" x14ac:dyDescent="0.25">
      <c r="Q1751" s="57"/>
      <c r="R1751" s="57"/>
    </row>
    <row r="1752" spans="17:18" x14ac:dyDescent="0.25">
      <c r="Q1752" s="57"/>
      <c r="R1752" s="57"/>
    </row>
    <row r="1753" spans="17:18" x14ac:dyDescent="0.25">
      <c r="Q1753" s="57"/>
      <c r="R1753" s="57"/>
    </row>
    <row r="1754" spans="17:18" x14ac:dyDescent="0.25">
      <c r="Q1754" s="57"/>
      <c r="R1754" s="57"/>
    </row>
    <row r="1755" spans="17:18" x14ac:dyDescent="0.25">
      <c r="Q1755" s="57"/>
      <c r="R1755" s="57"/>
    </row>
    <row r="1756" spans="17:18" x14ac:dyDescent="0.25">
      <c r="Q1756" s="57"/>
      <c r="R1756" s="57"/>
    </row>
    <row r="1757" spans="17:18" x14ac:dyDescent="0.25">
      <c r="Q1757" s="57"/>
      <c r="R1757" s="57"/>
    </row>
    <row r="1758" spans="17:18" x14ac:dyDescent="0.25">
      <c r="Q1758" s="57"/>
      <c r="R1758" s="57"/>
    </row>
    <row r="1759" spans="17:18" x14ac:dyDescent="0.25">
      <c r="Q1759" s="57"/>
      <c r="R1759" s="57"/>
    </row>
    <row r="1760" spans="17:18" x14ac:dyDescent="0.25">
      <c r="Q1760" s="57"/>
      <c r="R1760" s="57"/>
    </row>
    <row r="1761" spans="17:18" x14ac:dyDescent="0.25">
      <c r="Q1761" s="57"/>
      <c r="R1761" s="57"/>
    </row>
    <row r="1762" spans="17:18" x14ac:dyDescent="0.25">
      <c r="Q1762" s="57"/>
      <c r="R1762" s="57"/>
    </row>
    <row r="1763" spans="17:18" x14ac:dyDescent="0.25">
      <c r="Q1763" s="57"/>
      <c r="R1763" s="57"/>
    </row>
    <row r="1764" spans="17:18" x14ac:dyDescent="0.25">
      <c r="Q1764" s="57"/>
      <c r="R1764" s="57"/>
    </row>
    <row r="1765" spans="17:18" x14ac:dyDescent="0.25">
      <c r="Q1765" s="57"/>
      <c r="R1765" s="57"/>
    </row>
    <row r="1766" spans="17:18" x14ac:dyDescent="0.25">
      <c r="Q1766" s="57"/>
      <c r="R1766" s="57"/>
    </row>
    <row r="1767" spans="17:18" x14ac:dyDescent="0.25">
      <c r="Q1767" s="57"/>
      <c r="R1767" s="57"/>
    </row>
    <row r="1768" spans="17:18" x14ac:dyDescent="0.25">
      <c r="Q1768" s="57"/>
      <c r="R1768" s="57"/>
    </row>
    <row r="1769" spans="17:18" x14ac:dyDescent="0.25">
      <c r="Q1769" s="57"/>
      <c r="R1769" s="57"/>
    </row>
    <row r="1770" spans="17:18" x14ac:dyDescent="0.25">
      <c r="Q1770" s="57"/>
      <c r="R1770" s="57"/>
    </row>
    <row r="1771" spans="17:18" x14ac:dyDescent="0.25">
      <c r="Q1771" s="57"/>
      <c r="R1771" s="57"/>
    </row>
    <row r="1772" spans="17:18" x14ac:dyDescent="0.25">
      <c r="Q1772" s="57"/>
      <c r="R1772" s="57"/>
    </row>
    <row r="1773" spans="17:18" x14ac:dyDescent="0.25">
      <c r="Q1773" s="57"/>
      <c r="R1773" s="57"/>
    </row>
    <row r="1774" spans="17:18" x14ac:dyDescent="0.25">
      <c r="Q1774" s="57"/>
      <c r="R1774" s="57"/>
    </row>
    <row r="1775" spans="17:18" x14ac:dyDescent="0.25">
      <c r="Q1775" s="57"/>
      <c r="R1775" s="57"/>
    </row>
    <row r="1776" spans="17:18" x14ac:dyDescent="0.25">
      <c r="Q1776" s="57"/>
      <c r="R1776" s="57"/>
    </row>
    <row r="1777" spans="17:18" x14ac:dyDescent="0.25">
      <c r="Q1777" s="57"/>
      <c r="R1777" s="57"/>
    </row>
    <row r="1778" spans="17:18" x14ac:dyDescent="0.25">
      <c r="Q1778" s="57"/>
      <c r="R1778" s="57"/>
    </row>
    <row r="1779" spans="17:18" x14ac:dyDescent="0.25">
      <c r="Q1779" s="57"/>
      <c r="R1779" s="57"/>
    </row>
    <row r="1780" spans="17:18" x14ac:dyDescent="0.25">
      <c r="Q1780" s="57"/>
      <c r="R1780" s="57"/>
    </row>
    <row r="1781" spans="17:18" x14ac:dyDescent="0.25">
      <c r="Q1781" s="57"/>
      <c r="R1781" s="57"/>
    </row>
    <row r="1782" spans="17:18" x14ac:dyDescent="0.25">
      <c r="Q1782" s="57"/>
      <c r="R1782" s="57"/>
    </row>
    <row r="1783" spans="17:18" x14ac:dyDescent="0.25">
      <c r="Q1783" s="57"/>
      <c r="R1783" s="57"/>
    </row>
    <row r="1784" spans="17:18" x14ac:dyDescent="0.25">
      <c r="Q1784" s="57"/>
      <c r="R1784" s="57"/>
    </row>
    <row r="1785" spans="17:18" x14ac:dyDescent="0.25">
      <c r="Q1785" s="57"/>
      <c r="R1785" s="57"/>
    </row>
    <row r="1786" spans="17:18" x14ac:dyDescent="0.25">
      <c r="Q1786" s="57"/>
      <c r="R1786" s="57"/>
    </row>
    <row r="1787" spans="17:18" x14ac:dyDescent="0.25">
      <c r="Q1787" s="57"/>
      <c r="R1787" s="57"/>
    </row>
    <row r="1788" spans="17:18" x14ac:dyDescent="0.25">
      <c r="Q1788" s="57"/>
      <c r="R1788" s="57"/>
    </row>
    <row r="1789" spans="17:18" x14ac:dyDescent="0.25">
      <c r="Q1789" s="57"/>
      <c r="R1789" s="57"/>
    </row>
    <row r="1790" spans="17:18" x14ac:dyDescent="0.25">
      <c r="Q1790" s="57"/>
      <c r="R1790" s="57"/>
    </row>
    <row r="1791" spans="17:18" x14ac:dyDescent="0.25">
      <c r="Q1791" s="57"/>
      <c r="R1791" s="57"/>
    </row>
    <row r="1792" spans="17:18" x14ac:dyDescent="0.25">
      <c r="Q1792" s="57"/>
      <c r="R1792" s="57"/>
    </row>
    <row r="1793" spans="17:18" x14ac:dyDescent="0.25">
      <c r="Q1793" s="57"/>
      <c r="R1793" s="57"/>
    </row>
    <row r="1794" spans="17:18" x14ac:dyDescent="0.25">
      <c r="Q1794" s="57"/>
      <c r="R1794" s="57"/>
    </row>
    <row r="1795" spans="17:18" x14ac:dyDescent="0.25">
      <c r="Q1795" s="57"/>
      <c r="R1795" s="57"/>
    </row>
    <row r="1796" spans="17:18" x14ac:dyDescent="0.25">
      <c r="Q1796" s="57"/>
      <c r="R1796" s="57"/>
    </row>
    <row r="1797" spans="17:18" x14ac:dyDescent="0.25">
      <c r="Q1797" s="57"/>
      <c r="R1797" s="57"/>
    </row>
    <row r="1798" spans="17:18" x14ac:dyDescent="0.25">
      <c r="Q1798" s="57"/>
      <c r="R1798" s="57"/>
    </row>
    <row r="1799" spans="17:18" x14ac:dyDescent="0.25">
      <c r="Q1799" s="57"/>
      <c r="R1799" s="57"/>
    </row>
    <row r="1800" spans="17:18" x14ac:dyDescent="0.25">
      <c r="Q1800" s="57"/>
      <c r="R1800" s="57"/>
    </row>
    <row r="1801" spans="17:18" x14ac:dyDescent="0.25">
      <c r="Q1801" s="57"/>
      <c r="R1801" s="57"/>
    </row>
    <row r="1802" spans="17:18" x14ac:dyDescent="0.25">
      <c r="Q1802" s="57"/>
      <c r="R1802" s="57"/>
    </row>
    <row r="1803" spans="17:18" x14ac:dyDescent="0.25">
      <c r="Q1803" s="57"/>
      <c r="R1803" s="57"/>
    </row>
    <row r="1804" spans="17:18" x14ac:dyDescent="0.25">
      <c r="Q1804" s="57"/>
      <c r="R1804" s="57"/>
    </row>
    <row r="1805" spans="17:18" x14ac:dyDescent="0.25">
      <c r="Q1805" s="57"/>
      <c r="R1805" s="57"/>
    </row>
    <row r="1806" spans="17:18" x14ac:dyDescent="0.25">
      <c r="Q1806" s="57"/>
      <c r="R1806" s="57"/>
    </row>
    <row r="1807" spans="17:18" x14ac:dyDescent="0.25">
      <c r="Q1807" s="57"/>
      <c r="R1807" s="57"/>
    </row>
    <row r="1808" spans="17:18" x14ac:dyDescent="0.25">
      <c r="Q1808" s="57"/>
      <c r="R1808" s="57"/>
    </row>
    <row r="1809" spans="17:18" x14ac:dyDescent="0.25">
      <c r="Q1809" s="57"/>
      <c r="R1809" s="57"/>
    </row>
    <row r="1810" spans="17:18" x14ac:dyDescent="0.25">
      <c r="Q1810" s="57"/>
      <c r="R1810" s="57"/>
    </row>
    <row r="1811" spans="17:18" x14ac:dyDescent="0.25">
      <c r="Q1811" s="57"/>
      <c r="R1811" s="57"/>
    </row>
    <row r="1812" spans="17:18" x14ac:dyDescent="0.25">
      <c r="Q1812" s="57"/>
      <c r="R1812" s="57"/>
    </row>
    <row r="1813" spans="17:18" x14ac:dyDescent="0.25">
      <c r="Q1813" s="57"/>
      <c r="R1813" s="57"/>
    </row>
    <row r="1814" spans="17:18" x14ac:dyDescent="0.25">
      <c r="Q1814" s="57"/>
      <c r="R1814" s="57"/>
    </row>
    <row r="1815" spans="17:18" x14ac:dyDescent="0.25">
      <c r="Q1815" s="57"/>
      <c r="R1815" s="57"/>
    </row>
    <row r="1816" spans="17:18" x14ac:dyDescent="0.25">
      <c r="Q1816" s="57"/>
      <c r="R1816" s="57"/>
    </row>
    <row r="1817" spans="17:18" x14ac:dyDescent="0.25">
      <c r="Q1817" s="57"/>
      <c r="R1817" s="57"/>
    </row>
    <row r="1818" spans="17:18" x14ac:dyDescent="0.25">
      <c r="Q1818" s="57"/>
      <c r="R1818" s="57"/>
    </row>
    <row r="1819" spans="17:18" x14ac:dyDescent="0.25">
      <c r="Q1819" s="57"/>
      <c r="R1819" s="57"/>
    </row>
    <row r="1820" spans="17:18" x14ac:dyDescent="0.25">
      <c r="Q1820" s="57"/>
      <c r="R1820" s="57"/>
    </row>
    <row r="1821" spans="17:18" x14ac:dyDescent="0.25">
      <c r="Q1821" s="57"/>
      <c r="R1821" s="57"/>
    </row>
    <row r="1822" spans="17:18" x14ac:dyDescent="0.25">
      <c r="Q1822" s="57"/>
      <c r="R1822" s="57"/>
    </row>
    <row r="1823" spans="17:18" x14ac:dyDescent="0.25">
      <c r="Q1823" s="57"/>
      <c r="R1823" s="57"/>
    </row>
    <row r="1824" spans="17:18" x14ac:dyDescent="0.25">
      <c r="Q1824" s="57"/>
      <c r="R1824" s="57"/>
    </row>
    <row r="1825" spans="17:18" x14ac:dyDescent="0.25">
      <c r="Q1825" s="57"/>
      <c r="R1825" s="57"/>
    </row>
    <row r="1826" spans="17:18" x14ac:dyDescent="0.25">
      <c r="Q1826" s="57"/>
      <c r="R1826" s="57"/>
    </row>
    <row r="1827" spans="17:18" x14ac:dyDescent="0.25">
      <c r="Q1827" s="57"/>
      <c r="R1827" s="57"/>
    </row>
    <row r="1828" spans="17:18" x14ac:dyDescent="0.25">
      <c r="Q1828" s="57"/>
      <c r="R1828" s="57"/>
    </row>
    <row r="1829" spans="17:18" x14ac:dyDescent="0.25">
      <c r="Q1829" s="57"/>
      <c r="R1829" s="57"/>
    </row>
    <row r="1830" spans="17:18" x14ac:dyDescent="0.25">
      <c r="Q1830" s="57"/>
      <c r="R1830" s="57"/>
    </row>
    <row r="1831" spans="17:18" x14ac:dyDescent="0.25">
      <c r="Q1831" s="57"/>
      <c r="R1831" s="57"/>
    </row>
  </sheetData>
  <mergeCells count="3">
    <mergeCell ref="Q14:S14"/>
    <mergeCell ref="AA31:AD31"/>
    <mergeCell ref="AE31:AH3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REGAP Mesmos Parametros</vt:lpstr>
      <vt:lpstr>REFAP Mesmos Parametros</vt:lpstr>
      <vt:lpstr>REVAP Mesmos Parametros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</dc:creator>
  <cp:lastModifiedBy>Teste</cp:lastModifiedBy>
  <dcterms:created xsi:type="dcterms:W3CDTF">2018-12-14T20:21:19Z</dcterms:created>
  <dcterms:modified xsi:type="dcterms:W3CDTF">2018-12-14T21:09:09Z</dcterms:modified>
</cp:coreProperties>
</file>